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ndmanu/Downloads/"/>
    </mc:Choice>
  </mc:AlternateContent>
  <xr:revisionPtr revIDLastSave="0" documentId="13_ncr:1_{3AC801E3-B281-EA4C-AF79-3FF313FCD944}" xr6:coauthVersionLast="47" xr6:coauthVersionMax="47" xr10:uidLastSave="{00000000-0000-0000-0000-000000000000}"/>
  <bookViews>
    <workbookView xWindow="0" yWindow="0" windowWidth="68800" windowHeight="28800" tabRatio="500" activeTab="4" xr2:uid="{00000000-000D-0000-FFFF-FFFF00000000}"/>
  </bookViews>
  <sheets>
    <sheet name="Прайс-лист" sheetId="1" r:id="rId1"/>
    <sheet name="Бланк заказа" sheetId="2" r:id="rId2"/>
    <sheet name="Партнерская программа" sheetId="3" r:id="rId3"/>
    <sheet name="Условия работы" sheetId="4" r:id="rId4"/>
    <sheet name="Служебный лист" sheetId="5" r:id="rId5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310" i="1" l="1"/>
  <c r="R310" i="1"/>
  <c r="S310" i="1" s="1"/>
  <c r="T309" i="1"/>
  <c r="R309" i="1"/>
  <c r="S309" i="1" s="1"/>
  <c r="T308" i="1"/>
  <c r="R308" i="1"/>
  <c r="S308" i="1" s="1"/>
  <c r="T307" i="1"/>
  <c r="R307" i="1"/>
  <c r="S307" i="1" s="1"/>
  <c r="T306" i="1"/>
  <c r="R306" i="1"/>
  <c r="S306" i="1" s="1"/>
  <c r="T305" i="1"/>
  <c r="R305" i="1"/>
  <c r="S305" i="1" s="1"/>
  <c r="T304" i="1"/>
  <c r="R304" i="1"/>
  <c r="S304" i="1" s="1"/>
  <c r="T303" i="1"/>
  <c r="R303" i="1"/>
  <c r="S303" i="1" s="1"/>
  <c r="T302" i="1"/>
  <c r="R302" i="1"/>
  <c r="S302" i="1" s="1"/>
  <c r="T301" i="1"/>
  <c r="R301" i="1"/>
  <c r="S301" i="1" s="1"/>
  <c r="T300" i="1"/>
  <c r="R300" i="1"/>
  <c r="S300" i="1" s="1"/>
  <c r="T299" i="1"/>
  <c r="R299" i="1"/>
  <c r="S299" i="1" s="1"/>
  <c r="T298" i="1"/>
  <c r="R298" i="1"/>
  <c r="S298" i="1" s="1"/>
  <c r="T297" i="1"/>
  <c r="R297" i="1"/>
  <c r="S297" i="1" s="1"/>
  <c r="T296" i="1"/>
  <c r="R296" i="1"/>
  <c r="S296" i="1" s="1"/>
  <c r="T295" i="1"/>
  <c r="R295" i="1"/>
  <c r="S295" i="1" s="1"/>
  <c r="T294" i="1"/>
  <c r="R294" i="1"/>
  <c r="S294" i="1" s="1"/>
  <c r="T293" i="1"/>
  <c r="R293" i="1"/>
  <c r="S293" i="1" s="1"/>
  <c r="T292" i="1"/>
  <c r="R292" i="1"/>
  <c r="S292" i="1" s="1"/>
  <c r="T291" i="1"/>
  <c r="R291" i="1"/>
  <c r="S291" i="1" s="1"/>
  <c r="T290" i="1"/>
  <c r="R290" i="1"/>
  <c r="S290" i="1" s="1"/>
  <c r="T289" i="1"/>
  <c r="R289" i="1"/>
  <c r="S289" i="1" s="1"/>
  <c r="T288" i="1"/>
  <c r="R288" i="1"/>
  <c r="S288" i="1" s="1"/>
  <c r="T287" i="1"/>
  <c r="R287" i="1"/>
  <c r="S287" i="1" s="1"/>
  <c r="T286" i="1"/>
  <c r="R286" i="1"/>
  <c r="S286" i="1" s="1"/>
  <c r="T285" i="1"/>
  <c r="S285" i="1"/>
  <c r="R285" i="1"/>
  <c r="T284" i="1"/>
  <c r="R284" i="1"/>
  <c r="S284" i="1" s="1"/>
  <c r="T283" i="1"/>
  <c r="R283" i="1"/>
  <c r="S283" i="1" s="1"/>
  <c r="T282" i="1"/>
  <c r="R282" i="1"/>
  <c r="S282" i="1" s="1"/>
  <c r="T281" i="1"/>
  <c r="R281" i="1"/>
  <c r="S281" i="1" s="1"/>
  <c r="T280" i="1"/>
  <c r="R280" i="1"/>
  <c r="S280" i="1" s="1"/>
  <c r="T279" i="1"/>
  <c r="R279" i="1"/>
  <c r="S279" i="1" s="1"/>
  <c r="T278" i="1"/>
  <c r="R278" i="1"/>
  <c r="S278" i="1" s="1"/>
  <c r="T277" i="1"/>
  <c r="R277" i="1"/>
  <c r="S277" i="1" s="1"/>
  <c r="T276" i="1"/>
  <c r="R276" i="1"/>
  <c r="S276" i="1" s="1"/>
  <c r="T275" i="1"/>
  <c r="R275" i="1"/>
  <c r="S275" i="1" s="1"/>
  <c r="T274" i="1"/>
  <c r="R274" i="1"/>
  <c r="S274" i="1" s="1"/>
  <c r="T273" i="1"/>
  <c r="R273" i="1"/>
  <c r="S273" i="1" s="1"/>
  <c r="T272" i="1"/>
  <c r="R272" i="1"/>
  <c r="S272" i="1" s="1"/>
  <c r="T271" i="1"/>
  <c r="R271" i="1"/>
  <c r="S271" i="1" s="1"/>
  <c r="T270" i="1"/>
  <c r="R270" i="1"/>
  <c r="S270" i="1" s="1"/>
  <c r="T269" i="1"/>
  <c r="R269" i="1"/>
  <c r="S269" i="1" s="1"/>
  <c r="T268" i="1"/>
  <c r="R268" i="1"/>
  <c r="S268" i="1" s="1"/>
  <c r="T267" i="1"/>
  <c r="R267" i="1"/>
  <c r="S267" i="1" s="1"/>
  <c r="T266" i="1"/>
  <c r="R266" i="1"/>
  <c r="S266" i="1" s="1"/>
  <c r="T265" i="1"/>
  <c r="R265" i="1"/>
  <c r="S265" i="1" s="1"/>
  <c r="T264" i="1"/>
  <c r="R264" i="1"/>
  <c r="S264" i="1" s="1"/>
  <c r="T263" i="1"/>
  <c r="R263" i="1"/>
  <c r="S263" i="1" s="1"/>
  <c r="T262" i="1"/>
  <c r="R262" i="1"/>
  <c r="S262" i="1" s="1"/>
  <c r="T261" i="1"/>
  <c r="R261" i="1"/>
  <c r="S261" i="1" s="1"/>
  <c r="T260" i="1"/>
  <c r="R260" i="1"/>
  <c r="S260" i="1" s="1"/>
  <c r="T259" i="1"/>
  <c r="R259" i="1"/>
  <c r="S259" i="1" s="1"/>
  <c r="T258" i="1"/>
  <c r="R258" i="1"/>
  <c r="S258" i="1" s="1"/>
  <c r="T257" i="1"/>
  <c r="R257" i="1"/>
  <c r="S257" i="1" s="1"/>
  <c r="T256" i="1"/>
  <c r="R256" i="1"/>
  <c r="S256" i="1" s="1"/>
  <c r="T255" i="1"/>
  <c r="R255" i="1"/>
  <c r="S255" i="1" s="1"/>
  <c r="T254" i="1"/>
  <c r="R254" i="1"/>
  <c r="S254" i="1" s="1"/>
  <c r="T253" i="1"/>
  <c r="R253" i="1"/>
  <c r="S253" i="1" s="1"/>
  <c r="T252" i="1"/>
  <c r="R252" i="1"/>
  <c r="S252" i="1" s="1"/>
  <c r="T251" i="1"/>
  <c r="R251" i="1"/>
  <c r="S251" i="1" s="1"/>
  <c r="T250" i="1"/>
  <c r="R250" i="1"/>
  <c r="S250" i="1" s="1"/>
  <c r="T249" i="1"/>
  <c r="R249" i="1"/>
  <c r="S249" i="1" s="1"/>
  <c r="T248" i="1"/>
  <c r="R248" i="1"/>
  <c r="S248" i="1" s="1"/>
  <c r="T247" i="1"/>
  <c r="R247" i="1"/>
  <c r="S247" i="1" s="1"/>
  <c r="T246" i="1"/>
  <c r="R246" i="1"/>
  <c r="S246" i="1" s="1"/>
  <c r="T245" i="1"/>
  <c r="R245" i="1"/>
  <c r="S245" i="1" s="1"/>
  <c r="T244" i="1"/>
  <c r="R244" i="1"/>
  <c r="S244" i="1" s="1"/>
  <c r="T243" i="1"/>
  <c r="R243" i="1"/>
  <c r="S243" i="1" s="1"/>
  <c r="T242" i="1"/>
  <c r="R242" i="1"/>
  <c r="S242" i="1" s="1"/>
  <c r="T241" i="1"/>
  <c r="R241" i="1"/>
  <c r="S241" i="1" s="1"/>
  <c r="T240" i="1"/>
  <c r="R240" i="1"/>
  <c r="S240" i="1" s="1"/>
  <c r="T239" i="1"/>
  <c r="R239" i="1"/>
  <c r="S239" i="1" s="1"/>
  <c r="T238" i="1"/>
  <c r="R238" i="1"/>
  <c r="S238" i="1" s="1"/>
  <c r="T237" i="1"/>
  <c r="R237" i="1"/>
  <c r="S237" i="1" s="1"/>
  <c r="T236" i="1"/>
  <c r="R236" i="1"/>
  <c r="S236" i="1" s="1"/>
  <c r="T235" i="1"/>
  <c r="R235" i="1"/>
  <c r="S235" i="1" s="1"/>
  <c r="T234" i="1"/>
  <c r="R234" i="1"/>
  <c r="S234" i="1" s="1"/>
  <c r="T233" i="1"/>
  <c r="R233" i="1"/>
  <c r="S233" i="1" s="1"/>
  <c r="T232" i="1"/>
  <c r="R232" i="1"/>
  <c r="S232" i="1" s="1"/>
  <c r="T231" i="1"/>
  <c r="R231" i="1"/>
  <c r="S231" i="1" s="1"/>
  <c r="T230" i="1"/>
  <c r="R230" i="1"/>
  <c r="S230" i="1" s="1"/>
  <c r="T229" i="1"/>
  <c r="R229" i="1"/>
  <c r="S229" i="1" s="1"/>
  <c r="T228" i="1"/>
  <c r="R228" i="1"/>
  <c r="S228" i="1" s="1"/>
  <c r="T227" i="1"/>
  <c r="R227" i="1"/>
  <c r="S227" i="1" s="1"/>
  <c r="T226" i="1"/>
  <c r="R226" i="1"/>
  <c r="S226" i="1" s="1"/>
  <c r="T225" i="1"/>
  <c r="R225" i="1"/>
  <c r="S225" i="1" s="1"/>
  <c r="T224" i="1"/>
  <c r="R224" i="1"/>
  <c r="S224" i="1" s="1"/>
  <c r="T223" i="1"/>
  <c r="R223" i="1"/>
  <c r="S223" i="1" s="1"/>
  <c r="T222" i="1"/>
  <c r="R222" i="1"/>
  <c r="S222" i="1" s="1"/>
  <c r="T221" i="1"/>
  <c r="R221" i="1"/>
  <c r="S221" i="1" s="1"/>
  <c r="T220" i="1"/>
  <c r="R220" i="1"/>
  <c r="S220" i="1" s="1"/>
  <c r="T219" i="1"/>
  <c r="R219" i="1"/>
  <c r="S219" i="1" s="1"/>
  <c r="T218" i="1"/>
  <c r="R218" i="1"/>
  <c r="S218" i="1" s="1"/>
  <c r="T217" i="1"/>
  <c r="R217" i="1"/>
  <c r="S217" i="1" s="1"/>
  <c r="T216" i="1"/>
  <c r="R216" i="1"/>
  <c r="S216" i="1" s="1"/>
  <c r="T215" i="1"/>
  <c r="R215" i="1"/>
  <c r="S215" i="1" s="1"/>
  <c r="T214" i="1"/>
  <c r="R214" i="1"/>
  <c r="S214" i="1" s="1"/>
  <c r="T213" i="1"/>
  <c r="R213" i="1"/>
  <c r="S213" i="1" s="1"/>
  <c r="T212" i="1"/>
  <c r="R212" i="1"/>
  <c r="S212" i="1" s="1"/>
  <c r="T211" i="1"/>
  <c r="R211" i="1"/>
  <c r="S211" i="1" s="1"/>
  <c r="T210" i="1"/>
  <c r="R210" i="1"/>
  <c r="S210" i="1" s="1"/>
  <c r="T209" i="1"/>
  <c r="R209" i="1"/>
  <c r="S209" i="1" s="1"/>
  <c r="T208" i="1"/>
  <c r="R208" i="1"/>
  <c r="S208" i="1" s="1"/>
  <c r="T207" i="1"/>
  <c r="R207" i="1"/>
  <c r="S207" i="1" s="1"/>
  <c r="T206" i="1"/>
  <c r="R206" i="1"/>
  <c r="S206" i="1" s="1"/>
  <c r="T205" i="1"/>
  <c r="R205" i="1"/>
  <c r="S205" i="1" s="1"/>
  <c r="T204" i="1"/>
  <c r="R204" i="1"/>
  <c r="S204" i="1" s="1"/>
  <c r="T203" i="1"/>
  <c r="R203" i="1"/>
  <c r="S203" i="1" s="1"/>
  <c r="T202" i="1"/>
  <c r="R202" i="1"/>
  <c r="S202" i="1" s="1"/>
  <c r="T201" i="1"/>
  <c r="R201" i="1"/>
  <c r="S201" i="1" s="1"/>
  <c r="T200" i="1"/>
  <c r="R200" i="1"/>
  <c r="S200" i="1" s="1"/>
  <c r="T199" i="1"/>
  <c r="R199" i="1"/>
  <c r="S199" i="1" s="1"/>
  <c r="T198" i="1"/>
  <c r="R198" i="1"/>
  <c r="S198" i="1" s="1"/>
  <c r="T197" i="1"/>
  <c r="R197" i="1"/>
  <c r="S197" i="1" s="1"/>
  <c r="T196" i="1"/>
  <c r="R196" i="1"/>
  <c r="S196" i="1" s="1"/>
  <c r="T195" i="1"/>
  <c r="R195" i="1"/>
  <c r="S195" i="1" s="1"/>
  <c r="T194" i="1"/>
  <c r="R194" i="1"/>
  <c r="S194" i="1" s="1"/>
  <c r="T193" i="1"/>
  <c r="R193" i="1"/>
  <c r="S193" i="1" s="1"/>
  <c r="T192" i="1"/>
  <c r="R192" i="1"/>
  <c r="S192" i="1" s="1"/>
  <c r="T191" i="1"/>
  <c r="R191" i="1"/>
  <c r="S191" i="1" s="1"/>
  <c r="T190" i="1"/>
  <c r="R190" i="1"/>
  <c r="S190" i="1" s="1"/>
  <c r="T189" i="1"/>
  <c r="R189" i="1"/>
  <c r="S189" i="1" s="1"/>
  <c r="T188" i="1"/>
  <c r="R188" i="1"/>
  <c r="S188" i="1" s="1"/>
  <c r="T187" i="1"/>
  <c r="R187" i="1"/>
  <c r="S187" i="1" s="1"/>
  <c r="T186" i="1"/>
  <c r="R186" i="1"/>
  <c r="S186" i="1" s="1"/>
  <c r="T185" i="1"/>
  <c r="R185" i="1"/>
  <c r="S185" i="1" s="1"/>
  <c r="T184" i="1"/>
  <c r="R184" i="1"/>
  <c r="S184" i="1" s="1"/>
  <c r="T183" i="1"/>
  <c r="R183" i="1"/>
  <c r="S183" i="1" s="1"/>
  <c r="T182" i="1"/>
  <c r="R182" i="1"/>
  <c r="S182" i="1" s="1"/>
  <c r="T181" i="1"/>
  <c r="R181" i="1"/>
  <c r="S181" i="1" s="1"/>
  <c r="T180" i="1"/>
  <c r="R180" i="1"/>
  <c r="S180" i="1" s="1"/>
  <c r="T179" i="1"/>
  <c r="R179" i="1"/>
  <c r="S179" i="1" s="1"/>
  <c r="T178" i="1"/>
  <c r="R178" i="1"/>
  <c r="S178" i="1" s="1"/>
  <c r="T177" i="1"/>
  <c r="R177" i="1"/>
  <c r="S177" i="1" s="1"/>
  <c r="T176" i="1"/>
  <c r="R176" i="1"/>
  <c r="S176" i="1" s="1"/>
  <c r="T175" i="1"/>
  <c r="R175" i="1"/>
  <c r="S175" i="1" s="1"/>
  <c r="T174" i="1"/>
  <c r="R174" i="1"/>
  <c r="S174" i="1" s="1"/>
  <c r="T173" i="1"/>
  <c r="R173" i="1"/>
  <c r="S173" i="1" s="1"/>
  <c r="T172" i="1"/>
  <c r="R172" i="1"/>
  <c r="S172" i="1" s="1"/>
  <c r="T171" i="1"/>
  <c r="R171" i="1"/>
  <c r="S171" i="1" s="1"/>
  <c r="T170" i="1"/>
  <c r="R170" i="1"/>
  <c r="S170" i="1" s="1"/>
  <c r="T169" i="1"/>
  <c r="R169" i="1"/>
  <c r="S169" i="1" s="1"/>
  <c r="T168" i="1"/>
  <c r="R168" i="1"/>
  <c r="S168" i="1" s="1"/>
  <c r="T167" i="1"/>
  <c r="R167" i="1"/>
  <c r="S167" i="1" s="1"/>
  <c r="T166" i="1"/>
  <c r="R166" i="1"/>
  <c r="S166" i="1" s="1"/>
  <c r="T165" i="1"/>
  <c r="R165" i="1"/>
  <c r="S165" i="1" s="1"/>
  <c r="T164" i="1"/>
  <c r="R164" i="1"/>
  <c r="S164" i="1" s="1"/>
  <c r="T163" i="1"/>
  <c r="R163" i="1"/>
  <c r="S163" i="1" s="1"/>
  <c r="T162" i="1"/>
  <c r="R162" i="1"/>
  <c r="S162" i="1" s="1"/>
  <c r="T161" i="1"/>
  <c r="R161" i="1"/>
  <c r="S161" i="1" s="1"/>
  <c r="T160" i="1"/>
  <c r="R160" i="1"/>
  <c r="S160" i="1" s="1"/>
  <c r="T159" i="1"/>
  <c r="R159" i="1"/>
  <c r="S159" i="1" s="1"/>
  <c r="T158" i="1"/>
  <c r="R158" i="1"/>
  <c r="S158" i="1" s="1"/>
  <c r="T157" i="1"/>
  <c r="R157" i="1"/>
  <c r="S157" i="1" s="1"/>
  <c r="T156" i="1"/>
  <c r="R156" i="1"/>
  <c r="S156" i="1" s="1"/>
  <c r="T155" i="1"/>
  <c r="R155" i="1"/>
  <c r="S155" i="1" s="1"/>
  <c r="T154" i="1"/>
  <c r="R154" i="1"/>
  <c r="S154" i="1" s="1"/>
  <c r="T153" i="1"/>
  <c r="R153" i="1"/>
  <c r="S153" i="1" s="1"/>
  <c r="T152" i="1"/>
  <c r="R152" i="1"/>
  <c r="S152" i="1" s="1"/>
  <c r="T151" i="1"/>
  <c r="R151" i="1"/>
  <c r="S151" i="1" s="1"/>
  <c r="T150" i="1"/>
  <c r="R150" i="1"/>
  <c r="S150" i="1" s="1"/>
  <c r="T149" i="1"/>
  <c r="R149" i="1"/>
  <c r="S149" i="1" s="1"/>
  <c r="T148" i="1"/>
  <c r="R148" i="1"/>
  <c r="S148" i="1" s="1"/>
  <c r="T147" i="1"/>
  <c r="R147" i="1"/>
  <c r="S147" i="1" s="1"/>
  <c r="T146" i="1"/>
  <c r="R146" i="1"/>
  <c r="S146" i="1" s="1"/>
  <c r="T145" i="1"/>
  <c r="R145" i="1"/>
  <c r="S145" i="1" s="1"/>
  <c r="T144" i="1"/>
  <c r="R144" i="1"/>
  <c r="S144" i="1" s="1"/>
  <c r="T143" i="1"/>
  <c r="R143" i="1"/>
  <c r="S143" i="1" s="1"/>
  <c r="T142" i="1"/>
  <c r="R142" i="1"/>
  <c r="S142" i="1" s="1"/>
  <c r="T141" i="1"/>
  <c r="R141" i="1"/>
  <c r="S141" i="1" s="1"/>
  <c r="T140" i="1"/>
  <c r="R140" i="1"/>
  <c r="S140" i="1" s="1"/>
  <c r="T139" i="1"/>
  <c r="R139" i="1"/>
  <c r="S139" i="1" s="1"/>
  <c r="T138" i="1"/>
  <c r="R138" i="1"/>
  <c r="S138" i="1" s="1"/>
  <c r="T137" i="1"/>
  <c r="R137" i="1"/>
  <c r="S137" i="1" s="1"/>
  <c r="T136" i="1"/>
  <c r="R136" i="1"/>
  <c r="S136" i="1" s="1"/>
  <c r="T135" i="1"/>
  <c r="R135" i="1"/>
  <c r="S135" i="1" s="1"/>
  <c r="T134" i="1"/>
  <c r="R134" i="1"/>
  <c r="S134" i="1" s="1"/>
  <c r="T133" i="1"/>
  <c r="R133" i="1"/>
  <c r="S133" i="1" s="1"/>
  <c r="T132" i="1"/>
  <c r="R132" i="1"/>
  <c r="S132" i="1" s="1"/>
  <c r="T131" i="1"/>
  <c r="R131" i="1"/>
  <c r="S131" i="1" s="1"/>
  <c r="T130" i="1"/>
  <c r="R130" i="1"/>
  <c r="S130" i="1" s="1"/>
  <c r="T129" i="1"/>
  <c r="R129" i="1"/>
  <c r="S129" i="1" s="1"/>
  <c r="T128" i="1"/>
  <c r="R128" i="1"/>
  <c r="S128" i="1" s="1"/>
  <c r="T127" i="1"/>
  <c r="R127" i="1"/>
  <c r="S127" i="1" s="1"/>
  <c r="T126" i="1"/>
  <c r="R126" i="1"/>
  <c r="S126" i="1" s="1"/>
  <c r="T125" i="1"/>
  <c r="R125" i="1"/>
  <c r="S125" i="1" s="1"/>
  <c r="T124" i="1"/>
  <c r="R124" i="1"/>
  <c r="S124" i="1" s="1"/>
  <c r="T123" i="1"/>
  <c r="R123" i="1"/>
  <c r="S123" i="1" s="1"/>
  <c r="T122" i="1"/>
  <c r="R122" i="1"/>
  <c r="S122" i="1" s="1"/>
  <c r="T121" i="1"/>
  <c r="R121" i="1"/>
  <c r="S121" i="1" s="1"/>
  <c r="T120" i="1"/>
  <c r="R120" i="1"/>
  <c r="S120" i="1" s="1"/>
  <c r="T119" i="1"/>
  <c r="R119" i="1"/>
  <c r="S119" i="1" s="1"/>
  <c r="T118" i="1"/>
  <c r="R118" i="1"/>
  <c r="S118" i="1" s="1"/>
  <c r="T117" i="1"/>
  <c r="R117" i="1"/>
  <c r="S117" i="1" s="1"/>
  <c r="T116" i="1"/>
  <c r="R116" i="1"/>
  <c r="S116" i="1" s="1"/>
  <c r="T115" i="1"/>
  <c r="R115" i="1"/>
  <c r="S115" i="1" s="1"/>
  <c r="T114" i="1"/>
  <c r="R114" i="1"/>
  <c r="S114" i="1" s="1"/>
  <c r="T113" i="1"/>
  <c r="R113" i="1"/>
  <c r="S113" i="1" s="1"/>
  <c r="T112" i="1"/>
  <c r="R112" i="1"/>
  <c r="S112" i="1" s="1"/>
  <c r="T111" i="1"/>
  <c r="R111" i="1"/>
  <c r="S111" i="1" s="1"/>
  <c r="T110" i="1"/>
  <c r="R110" i="1"/>
  <c r="S110" i="1" s="1"/>
  <c r="T109" i="1"/>
  <c r="R109" i="1"/>
  <c r="S109" i="1" s="1"/>
  <c r="T108" i="1"/>
  <c r="R108" i="1"/>
  <c r="S108" i="1" s="1"/>
  <c r="T107" i="1"/>
  <c r="R107" i="1"/>
  <c r="S107" i="1" s="1"/>
  <c r="T106" i="1"/>
  <c r="R106" i="1"/>
  <c r="S106" i="1" s="1"/>
  <c r="T105" i="1"/>
  <c r="R105" i="1"/>
  <c r="S105" i="1" s="1"/>
  <c r="T104" i="1"/>
  <c r="R104" i="1"/>
  <c r="S104" i="1" s="1"/>
  <c r="T103" i="1"/>
  <c r="R103" i="1"/>
  <c r="S103" i="1" s="1"/>
  <c r="T102" i="1"/>
  <c r="R102" i="1"/>
  <c r="S102" i="1" s="1"/>
  <c r="T101" i="1"/>
  <c r="R101" i="1"/>
  <c r="S101" i="1" s="1"/>
  <c r="T100" i="1"/>
  <c r="R100" i="1"/>
  <c r="S100" i="1" s="1"/>
  <c r="T99" i="1"/>
  <c r="R99" i="1"/>
  <c r="S99" i="1" s="1"/>
  <c r="T98" i="1"/>
  <c r="R98" i="1"/>
  <c r="S98" i="1" s="1"/>
  <c r="T97" i="1"/>
  <c r="R97" i="1"/>
  <c r="S97" i="1" s="1"/>
  <c r="T96" i="1"/>
  <c r="R96" i="1"/>
  <c r="S96" i="1" s="1"/>
  <c r="T95" i="1"/>
  <c r="R95" i="1"/>
  <c r="S95" i="1" s="1"/>
  <c r="T94" i="1"/>
  <c r="R94" i="1"/>
  <c r="S94" i="1" s="1"/>
  <c r="T93" i="1"/>
  <c r="R93" i="1"/>
  <c r="S93" i="1" s="1"/>
  <c r="T92" i="1"/>
  <c r="R92" i="1"/>
  <c r="S92" i="1" s="1"/>
  <c r="T91" i="1"/>
  <c r="R91" i="1"/>
  <c r="S91" i="1" s="1"/>
  <c r="T90" i="1"/>
  <c r="R90" i="1"/>
  <c r="S90" i="1" s="1"/>
  <c r="T89" i="1"/>
  <c r="R89" i="1"/>
  <c r="S89" i="1" s="1"/>
  <c r="T88" i="1"/>
  <c r="R88" i="1"/>
  <c r="S88" i="1" s="1"/>
  <c r="T87" i="1"/>
  <c r="R87" i="1"/>
  <c r="S87" i="1" s="1"/>
  <c r="T86" i="1"/>
  <c r="R86" i="1"/>
  <c r="S86" i="1" s="1"/>
  <c r="T85" i="1"/>
  <c r="R85" i="1"/>
  <c r="S85" i="1" s="1"/>
  <c r="T84" i="1"/>
  <c r="R84" i="1"/>
  <c r="S84" i="1" s="1"/>
  <c r="T83" i="1"/>
  <c r="R83" i="1"/>
  <c r="S83" i="1" s="1"/>
  <c r="T82" i="1"/>
  <c r="R82" i="1"/>
  <c r="S82" i="1" s="1"/>
  <c r="T81" i="1"/>
  <c r="R81" i="1"/>
  <c r="S81" i="1" s="1"/>
  <c r="T80" i="1"/>
  <c r="R80" i="1"/>
  <c r="S80" i="1" s="1"/>
  <c r="T79" i="1"/>
  <c r="R79" i="1"/>
  <c r="S79" i="1" s="1"/>
  <c r="T78" i="1"/>
  <c r="R78" i="1"/>
  <c r="S78" i="1" s="1"/>
  <c r="T77" i="1"/>
  <c r="R77" i="1"/>
  <c r="S77" i="1" s="1"/>
  <c r="T76" i="1"/>
  <c r="R76" i="1"/>
  <c r="S76" i="1" s="1"/>
  <c r="T75" i="1"/>
  <c r="R75" i="1"/>
  <c r="S75" i="1" s="1"/>
  <c r="T74" i="1"/>
  <c r="R74" i="1"/>
  <c r="S74" i="1" s="1"/>
  <c r="T73" i="1"/>
  <c r="R73" i="1"/>
  <c r="S73" i="1" s="1"/>
  <c r="T72" i="1"/>
  <c r="R72" i="1"/>
  <c r="S72" i="1" s="1"/>
  <c r="T71" i="1"/>
  <c r="R71" i="1"/>
  <c r="S71" i="1" s="1"/>
  <c r="T70" i="1"/>
  <c r="R70" i="1"/>
  <c r="S70" i="1" s="1"/>
  <c r="T69" i="1"/>
  <c r="R69" i="1"/>
  <c r="S69" i="1" s="1"/>
  <c r="T68" i="1"/>
  <c r="R68" i="1"/>
  <c r="S68" i="1" s="1"/>
  <c r="T67" i="1"/>
  <c r="R67" i="1"/>
  <c r="S67" i="1" s="1"/>
  <c r="T66" i="1"/>
  <c r="R66" i="1"/>
  <c r="S66" i="1" s="1"/>
  <c r="T65" i="1"/>
  <c r="R65" i="1"/>
  <c r="S65" i="1" s="1"/>
  <c r="T64" i="1"/>
  <c r="R64" i="1"/>
  <c r="S64" i="1" s="1"/>
  <c r="T63" i="1"/>
  <c r="R63" i="1"/>
  <c r="S63" i="1" s="1"/>
  <c r="T62" i="1"/>
  <c r="R62" i="1"/>
  <c r="S62" i="1" s="1"/>
  <c r="T61" i="1"/>
  <c r="R61" i="1"/>
  <c r="S61" i="1" s="1"/>
  <c r="T60" i="1"/>
  <c r="R60" i="1"/>
  <c r="S60" i="1" s="1"/>
  <c r="T59" i="1"/>
  <c r="R59" i="1"/>
  <c r="S59" i="1" s="1"/>
  <c r="T58" i="1"/>
  <c r="R58" i="1"/>
  <c r="S58" i="1" s="1"/>
  <c r="T57" i="1"/>
  <c r="R57" i="1"/>
  <c r="S57" i="1" s="1"/>
  <c r="T56" i="1"/>
  <c r="R56" i="1"/>
  <c r="S56" i="1" s="1"/>
  <c r="T55" i="1"/>
  <c r="R55" i="1"/>
  <c r="S55" i="1" s="1"/>
  <c r="T54" i="1"/>
  <c r="R54" i="1"/>
  <c r="S54" i="1" s="1"/>
  <c r="T53" i="1"/>
  <c r="R53" i="1"/>
  <c r="S53" i="1" s="1"/>
  <c r="T52" i="1"/>
  <c r="R52" i="1"/>
  <c r="S52" i="1" s="1"/>
  <c r="T51" i="1"/>
  <c r="R51" i="1"/>
  <c r="S51" i="1" s="1"/>
  <c r="T50" i="1"/>
  <c r="R50" i="1"/>
  <c r="S50" i="1" s="1"/>
  <c r="T49" i="1"/>
  <c r="R49" i="1"/>
  <c r="S49" i="1" s="1"/>
  <c r="T48" i="1"/>
  <c r="R48" i="1"/>
  <c r="S48" i="1" s="1"/>
  <c r="T47" i="1"/>
  <c r="R47" i="1"/>
  <c r="S47" i="1" s="1"/>
  <c r="T46" i="1"/>
  <c r="R46" i="1"/>
  <c r="S46" i="1" s="1"/>
  <c r="T45" i="1"/>
  <c r="R45" i="1"/>
  <c r="S45" i="1" s="1"/>
  <c r="T44" i="1"/>
  <c r="R44" i="1"/>
  <c r="S44" i="1" s="1"/>
  <c r="T43" i="1"/>
  <c r="R43" i="1"/>
  <c r="S43" i="1" s="1"/>
  <c r="T42" i="1"/>
  <c r="R42" i="1"/>
  <c r="S42" i="1" s="1"/>
  <c r="T41" i="1"/>
  <c r="R41" i="1"/>
  <c r="S41" i="1" s="1"/>
  <c r="T40" i="1"/>
  <c r="R40" i="1"/>
  <c r="S40" i="1" s="1"/>
  <c r="T39" i="1"/>
  <c r="R39" i="1"/>
  <c r="S39" i="1" s="1"/>
  <c r="T38" i="1"/>
  <c r="R38" i="1"/>
  <c r="S38" i="1" s="1"/>
  <c r="T37" i="1"/>
  <c r="R37" i="1"/>
  <c r="S37" i="1" s="1"/>
  <c r="T36" i="1"/>
  <c r="R36" i="1"/>
  <c r="S36" i="1" s="1"/>
  <c r="T35" i="1"/>
  <c r="R35" i="1"/>
  <c r="S35" i="1" s="1"/>
  <c r="T34" i="1"/>
  <c r="R34" i="1"/>
  <c r="S34" i="1" s="1"/>
  <c r="T33" i="1"/>
  <c r="R33" i="1"/>
  <c r="S33" i="1" s="1"/>
  <c r="T32" i="1"/>
  <c r="R32" i="1"/>
  <c r="S32" i="1" s="1"/>
  <c r="T31" i="1"/>
  <c r="R31" i="1"/>
  <c r="S31" i="1" s="1"/>
  <c r="T30" i="1"/>
  <c r="R30" i="1"/>
  <c r="S30" i="1" s="1"/>
  <c r="T29" i="1"/>
  <c r="R29" i="1"/>
  <c r="S29" i="1" s="1"/>
  <c r="T28" i="1"/>
  <c r="R28" i="1"/>
  <c r="S28" i="1" s="1"/>
  <c r="T27" i="1"/>
  <c r="R27" i="1"/>
  <c r="S27" i="1" s="1"/>
  <c r="T26" i="1"/>
  <c r="R26" i="1"/>
  <c r="S26" i="1" s="1"/>
  <c r="T25" i="1"/>
  <c r="R25" i="1"/>
  <c r="S25" i="1" s="1"/>
  <c r="T24" i="1"/>
  <c r="R24" i="1"/>
  <c r="S24" i="1" s="1"/>
  <c r="T23" i="1"/>
  <c r="R23" i="1"/>
  <c r="S23" i="1" s="1"/>
  <c r="T22" i="1"/>
  <c r="R22" i="1"/>
  <c r="S22" i="1" s="1"/>
  <c r="T21" i="1"/>
  <c r="R21" i="1"/>
  <c r="S21" i="1" s="1"/>
  <c r="T20" i="1"/>
  <c r="R20" i="1"/>
  <c r="S20" i="1" s="1"/>
  <c r="T19" i="1"/>
  <c r="R19" i="1"/>
  <c r="S19" i="1" s="1"/>
  <c r="T18" i="1"/>
  <c r="R18" i="1"/>
  <c r="S18" i="1" s="1"/>
  <c r="T17" i="1"/>
  <c r="R17" i="1"/>
  <c r="S17" i="1" s="1"/>
  <c r="T16" i="1"/>
  <c r="R16" i="1"/>
  <c r="S16" i="1" s="1"/>
  <c r="T15" i="1"/>
  <c r="R15" i="1"/>
  <c r="S15" i="1" s="1"/>
  <c r="T14" i="1"/>
  <c r="R14" i="1"/>
  <c r="S14" i="1" s="1"/>
  <c r="T13" i="1"/>
  <c r="R13" i="1"/>
  <c r="S13" i="1" s="1"/>
  <c r="T12" i="1"/>
  <c r="R12" i="1"/>
  <c r="S12" i="1" s="1"/>
  <c r="T11" i="1"/>
  <c r="R11" i="1"/>
  <c r="S11" i="1" s="1"/>
  <c r="F20" i="2" l="1"/>
  <c r="J22" i="2"/>
  <c r="G18" i="2"/>
  <c r="C16" i="2"/>
  <c r="B19" i="2"/>
  <c r="F21" i="2"/>
  <c r="H17" i="2"/>
  <c r="E16" i="2"/>
  <c r="C19" i="2"/>
  <c r="F16" i="2"/>
  <c r="B20" i="2"/>
  <c r="H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F315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D315" i="2"/>
  <c r="D314" i="2"/>
  <c r="D313" i="2"/>
  <c r="D312" i="2"/>
  <c r="D311" i="2"/>
  <c r="D310" i="2"/>
  <c r="D309" i="2"/>
  <c r="D308" i="2"/>
  <c r="D307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B315" i="2"/>
  <c r="A312" i="2"/>
  <c r="F308" i="2"/>
  <c r="F305" i="2"/>
  <c r="D303" i="2"/>
  <c r="D301" i="2"/>
  <c r="D299" i="2"/>
  <c r="D297" i="2"/>
  <c r="F295" i="2"/>
  <c r="A294" i="2"/>
  <c r="E292" i="2"/>
  <c r="A291" i="2"/>
  <c r="F289" i="2"/>
  <c r="B288" i="2"/>
  <c r="G286" i="2"/>
  <c r="D285" i="2"/>
  <c r="I283" i="2"/>
  <c r="E282" i="2"/>
  <c r="A281" i="2"/>
  <c r="F279" i="2"/>
  <c r="B278" i="2"/>
  <c r="G276" i="2"/>
  <c r="D275" i="2"/>
  <c r="I273" i="2"/>
  <c r="E272" i="2"/>
  <c r="A271" i="2"/>
  <c r="F269" i="2"/>
  <c r="B268" i="2"/>
  <c r="G266" i="2"/>
  <c r="D265" i="2"/>
  <c r="I263" i="2"/>
  <c r="E262" i="2"/>
  <c r="A261" i="2"/>
  <c r="F259" i="2"/>
  <c r="B258" i="2"/>
  <c r="G256" i="2"/>
  <c r="D255" i="2"/>
  <c r="I253" i="2"/>
  <c r="E252" i="2"/>
  <c r="C251" i="2"/>
  <c r="A250" i="2"/>
  <c r="G248" i="2"/>
  <c r="E247" i="2"/>
  <c r="C246" i="2"/>
  <c r="A245" i="2"/>
  <c r="G243" i="2"/>
  <c r="E242" i="2"/>
  <c r="C241" i="2"/>
  <c r="A240" i="2"/>
  <c r="G238" i="2"/>
  <c r="E237" i="2"/>
  <c r="C236" i="2"/>
  <c r="A235" i="2"/>
  <c r="G233" i="2"/>
  <c r="E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A315" i="2"/>
  <c r="F311" i="2"/>
  <c r="B308" i="2"/>
  <c r="D305" i="2"/>
  <c r="B303" i="2"/>
  <c r="B301" i="2"/>
  <c r="B299" i="2"/>
  <c r="B297" i="2"/>
  <c r="E295" i="2"/>
  <c r="I293" i="2"/>
  <c r="D292" i="2"/>
  <c r="I290" i="2"/>
  <c r="E289" i="2"/>
  <c r="A288" i="2"/>
  <c r="F286" i="2"/>
  <c r="B285" i="2"/>
  <c r="G283" i="2"/>
  <c r="D282" i="2"/>
  <c r="I280" i="2"/>
  <c r="E279" i="2"/>
  <c r="A278" i="2"/>
  <c r="F276" i="2"/>
  <c r="B275" i="2"/>
  <c r="A313" i="2"/>
  <c r="F309" i="2"/>
  <c r="D306" i="2"/>
  <c r="A304" i="2"/>
  <c r="A302" i="2"/>
  <c r="A300" i="2"/>
  <c r="A298" i="2"/>
  <c r="B296" i="2"/>
  <c r="E294" i="2"/>
  <c r="I292" i="2"/>
  <c r="E291" i="2"/>
  <c r="A290" i="2"/>
  <c r="F288" i="2"/>
  <c r="B287" i="2"/>
  <c r="G285" i="2"/>
  <c r="D284" i="2"/>
  <c r="I282" i="2"/>
  <c r="E281" i="2"/>
  <c r="A280" i="2"/>
  <c r="F278" i="2"/>
  <c r="B277" i="2"/>
  <c r="G275" i="2"/>
  <c r="D274" i="2"/>
  <c r="I272" i="2"/>
  <c r="E271" i="2"/>
  <c r="A270" i="2"/>
  <c r="F268" i="2"/>
  <c r="B267" i="2"/>
  <c r="G265" i="2"/>
  <c r="D264" i="2"/>
  <c r="I262" i="2"/>
  <c r="E261" i="2"/>
  <c r="A260" i="2"/>
  <c r="F258" i="2"/>
  <c r="B257" i="2"/>
  <c r="G255" i="2"/>
  <c r="D254" i="2"/>
  <c r="I252" i="2"/>
  <c r="F251" i="2"/>
  <c r="D250" i="2"/>
  <c r="B249" i="2"/>
  <c r="I247" i="2"/>
  <c r="F246" i="2"/>
  <c r="D245" i="2"/>
  <c r="B244" i="2"/>
  <c r="I242" i="2"/>
  <c r="F241" i="2"/>
  <c r="D240" i="2"/>
  <c r="B239" i="2"/>
  <c r="I237" i="2"/>
  <c r="F236" i="2"/>
  <c r="D235" i="2"/>
  <c r="B234" i="2"/>
  <c r="F312" i="2"/>
  <c r="B309" i="2"/>
  <c r="B306" i="2"/>
  <c r="I303" i="2"/>
  <c r="I301" i="2"/>
  <c r="I299" i="2"/>
  <c r="I297" i="2"/>
  <c r="A296" i="2"/>
  <c r="D294" i="2"/>
  <c r="G292" i="2"/>
  <c r="D291" i="2"/>
  <c r="I289" i="2"/>
  <c r="E288" i="2"/>
  <c r="A287" i="2"/>
  <c r="F285" i="2"/>
  <c r="F314" i="2"/>
  <c r="A310" i="2"/>
  <c r="F304" i="2"/>
  <c r="A301" i="2"/>
  <c r="B298" i="2"/>
  <c r="A295" i="2"/>
  <c r="B292" i="2"/>
  <c r="B290" i="2"/>
  <c r="F287" i="2"/>
  <c r="A285" i="2"/>
  <c r="B283" i="2"/>
  <c r="B281" i="2"/>
  <c r="A279" i="2"/>
  <c r="A277" i="2"/>
  <c r="I274" i="2"/>
  <c r="B273" i="2"/>
  <c r="D271" i="2"/>
  <c r="E269" i="2"/>
  <c r="G267" i="2"/>
  <c r="A266" i="2"/>
  <c r="B264" i="2"/>
  <c r="D262" i="2"/>
  <c r="F260" i="2"/>
  <c r="I258" i="2"/>
  <c r="A257" i="2"/>
  <c r="B255" i="2"/>
  <c r="E253" i="2"/>
  <c r="I251" i="2"/>
  <c r="C250" i="2"/>
  <c r="F248" i="2"/>
  <c r="B247" i="2"/>
  <c r="F245" i="2"/>
  <c r="A244" i="2"/>
  <c r="D242" i="2"/>
  <c r="I240" i="2"/>
  <c r="D239" i="2"/>
  <c r="G237" i="2"/>
  <c r="B236" i="2"/>
  <c r="F234" i="2"/>
  <c r="B233" i="2"/>
  <c r="G231" i="2"/>
  <c r="F230" i="2"/>
  <c r="E229" i="2"/>
  <c r="D228" i="2"/>
  <c r="B227" i="2"/>
  <c r="A226" i="2"/>
  <c r="J224" i="2"/>
  <c r="I223" i="2"/>
  <c r="H222" i="2"/>
  <c r="G221" i="2"/>
  <c r="F220" i="2"/>
  <c r="E219" i="2"/>
  <c r="D218" i="2"/>
  <c r="B217" i="2"/>
  <c r="A216" i="2"/>
  <c r="J214" i="2"/>
  <c r="I213" i="2"/>
  <c r="H212" i="2"/>
  <c r="G211" i="2"/>
  <c r="F210" i="2"/>
  <c r="E209" i="2"/>
  <c r="D208" i="2"/>
  <c r="B207" i="2"/>
  <c r="A206" i="2"/>
  <c r="J204" i="2"/>
  <c r="I203" i="2"/>
  <c r="H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B314" i="2"/>
  <c r="A309" i="2"/>
  <c r="D304" i="2"/>
  <c r="I300" i="2"/>
  <c r="F297" i="2"/>
  <c r="I294" i="2"/>
  <c r="A292" i="2"/>
  <c r="G289" i="2"/>
  <c r="E287" i="2"/>
  <c r="I284" i="2"/>
  <c r="A283" i="2"/>
  <c r="G280" i="2"/>
  <c r="I278" i="2"/>
  <c r="I276" i="2"/>
  <c r="G274" i="2"/>
  <c r="A273" i="2"/>
  <c r="B271" i="2"/>
  <c r="D269" i="2"/>
  <c r="F267" i="2"/>
  <c r="I265" i="2"/>
  <c r="A264" i="2"/>
  <c r="B262" i="2"/>
  <c r="E260" i="2"/>
  <c r="G258" i="2"/>
  <c r="I256" i="2"/>
  <c r="A255" i="2"/>
  <c r="D253" i="2"/>
  <c r="G251" i="2"/>
  <c r="B250" i="2"/>
  <c r="E248" i="2"/>
  <c r="A247" i="2"/>
  <c r="E245" i="2"/>
  <c r="I243" i="2"/>
  <c r="C242" i="2"/>
  <c r="G240" i="2"/>
  <c r="A314" i="2"/>
  <c r="A308" i="2"/>
  <c r="B304" i="2"/>
  <c r="F300" i="2"/>
  <c r="A297" i="2"/>
  <c r="F294" i="2"/>
  <c r="I291" i="2"/>
  <c r="D289" i="2"/>
  <c r="D287" i="2"/>
  <c r="G284" i="2"/>
  <c r="G282" i="2"/>
  <c r="F280" i="2"/>
  <c r="G278" i="2"/>
  <c r="E276" i="2"/>
  <c r="F313" i="2"/>
  <c r="F307" i="2"/>
  <c r="F303" i="2"/>
  <c r="D300" i="2"/>
  <c r="I296" i="2"/>
  <c r="B294" i="2"/>
  <c r="G291" i="2"/>
  <c r="B289" i="2"/>
  <c r="I286" i="2"/>
  <c r="B313" i="2"/>
  <c r="B307" i="2"/>
  <c r="A303" i="2"/>
  <c r="B300" i="2"/>
  <c r="F296" i="2"/>
  <c r="F293" i="2"/>
  <c r="F291" i="2"/>
  <c r="A289" i="2"/>
  <c r="E286" i="2"/>
  <c r="E284" i="2"/>
  <c r="B312" i="2"/>
  <c r="A307" i="2"/>
  <c r="I302" i="2"/>
  <c r="F299" i="2"/>
  <c r="E296" i="2"/>
  <c r="E293" i="2"/>
  <c r="B291" i="2"/>
  <c r="B311" i="2"/>
  <c r="F306" i="2"/>
  <c r="F302" i="2"/>
  <c r="A299" i="2"/>
  <c r="D296" i="2"/>
  <c r="D293" i="2"/>
  <c r="G290" i="2"/>
  <c r="G288" i="2"/>
  <c r="B286" i="2"/>
  <c r="A284" i="2"/>
  <c r="I281" i="2"/>
  <c r="I279" i="2"/>
  <c r="G277" i="2"/>
  <c r="I275" i="2"/>
  <c r="G273" i="2"/>
  <c r="A272" i="2"/>
  <c r="D270" i="2"/>
  <c r="E268" i="2"/>
  <c r="F266" i="2"/>
  <c r="I264" i="2"/>
  <c r="B263" i="2"/>
  <c r="D261" i="2"/>
  <c r="E259" i="2"/>
  <c r="G257" i="2"/>
  <c r="A256" i="2"/>
  <c r="B254" i="2"/>
  <c r="D252" i="2"/>
  <c r="I250" i="2"/>
  <c r="D249" i="2"/>
  <c r="G247" i="2"/>
  <c r="B246" i="2"/>
  <c r="F244" i="2"/>
  <c r="B243" i="2"/>
  <c r="E241" i="2"/>
  <c r="I239" i="2"/>
  <c r="D238" i="2"/>
  <c r="I236" i="2"/>
  <c r="C235" i="2"/>
  <c r="F233" i="2"/>
  <c r="C232" i="2"/>
  <c r="J230" i="2"/>
  <c r="I229" i="2"/>
  <c r="H228" i="2"/>
  <c r="G227" i="2"/>
  <c r="F226" i="2"/>
  <c r="E225" i="2"/>
  <c r="D224" i="2"/>
  <c r="B223" i="2"/>
  <c r="A222" i="2"/>
  <c r="J220" i="2"/>
  <c r="I219" i="2"/>
  <c r="H218" i="2"/>
  <c r="G217" i="2"/>
  <c r="F216" i="2"/>
  <c r="E215" i="2"/>
  <c r="D214" i="2"/>
  <c r="B213" i="2"/>
  <c r="A212" i="2"/>
  <c r="J210" i="2"/>
  <c r="I209" i="2"/>
  <c r="H208" i="2"/>
  <c r="G207" i="2"/>
  <c r="F206" i="2"/>
  <c r="E205" i="2"/>
  <c r="D204" i="2"/>
  <c r="B203" i="2"/>
  <c r="A202" i="2"/>
  <c r="A201" i="2"/>
  <c r="A200" i="2"/>
  <c r="A199" i="2"/>
  <c r="A198" i="2"/>
  <c r="A197" i="2"/>
  <c r="A196" i="2"/>
  <c r="A195" i="2"/>
  <c r="A194" i="2"/>
  <c r="A311" i="2"/>
  <c r="A306" i="2"/>
  <c r="D302" i="2"/>
  <c r="I298" i="2"/>
  <c r="I295" i="2"/>
  <c r="B293" i="2"/>
  <c r="F290" i="2"/>
  <c r="D288" i="2"/>
  <c r="A286" i="2"/>
  <c r="F283" i="2"/>
  <c r="G281" i="2"/>
  <c r="G279" i="2"/>
  <c r="F277" i="2"/>
  <c r="F275" i="2"/>
  <c r="F273" i="2"/>
  <c r="I271" i="2"/>
  <c r="B270" i="2"/>
  <c r="D268" i="2"/>
  <c r="E266" i="2"/>
  <c r="G264" i="2"/>
  <c r="A263" i="2"/>
  <c r="B261" i="2"/>
  <c r="D259" i="2"/>
  <c r="F257" i="2"/>
  <c r="I255" i="2"/>
  <c r="A254" i="2"/>
  <c r="C252" i="2"/>
  <c r="G250" i="2"/>
  <c r="C249" i="2"/>
  <c r="F247" i="2"/>
  <c r="A246" i="2"/>
  <c r="E244" i="2"/>
  <c r="A243" i="2"/>
  <c r="D241" i="2"/>
  <c r="G239" i="2"/>
  <c r="C238" i="2"/>
  <c r="G236" i="2"/>
  <c r="B235" i="2"/>
  <c r="E233" i="2"/>
  <c r="B232" i="2"/>
  <c r="I230" i="2"/>
  <c r="H229" i="2"/>
  <c r="G228" i="2"/>
  <c r="F227" i="2"/>
  <c r="E226" i="2"/>
  <c r="D225" i="2"/>
  <c r="B224" i="2"/>
  <c r="A223" i="2"/>
  <c r="J221" i="2"/>
  <c r="I220" i="2"/>
  <c r="H219" i="2"/>
  <c r="G218" i="2"/>
  <c r="F217" i="2"/>
  <c r="E216" i="2"/>
  <c r="D215" i="2"/>
  <c r="B214" i="2"/>
  <c r="A213" i="2"/>
  <c r="J211" i="2"/>
  <c r="I210" i="2"/>
  <c r="H209" i="2"/>
  <c r="G208" i="2"/>
  <c r="F207" i="2"/>
  <c r="E206" i="2"/>
  <c r="D205" i="2"/>
  <c r="B204" i="2"/>
  <c r="A203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F310" i="2"/>
  <c r="B305" i="2"/>
  <c r="B302" i="2"/>
  <c r="B310" i="2"/>
  <c r="D290" i="2"/>
  <c r="D283" i="2"/>
  <c r="B279" i="2"/>
  <c r="A275" i="2"/>
  <c r="B272" i="2"/>
  <c r="A269" i="2"/>
  <c r="B266" i="2"/>
  <c r="D263" i="2"/>
  <c r="B260" i="2"/>
  <c r="D257" i="2"/>
  <c r="E254" i="2"/>
  <c r="D251" i="2"/>
  <c r="I248" i="2"/>
  <c r="D246" i="2"/>
  <c r="E243" i="2"/>
  <c r="A241" i="2"/>
  <c r="F238" i="2"/>
  <c r="D236" i="2"/>
  <c r="C234" i="2"/>
  <c r="A232" i="2"/>
  <c r="D230" i="2"/>
  <c r="I228" i="2"/>
  <c r="A227" i="2"/>
  <c r="G225" i="2"/>
  <c r="J223" i="2"/>
  <c r="E222" i="2"/>
  <c r="H220" i="2"/>
  <c r="B219" i="2"/>
  <c r="H217" i="2"/>
  <c r="J215" i="2"/>
  <c r="F214" i="2"/>
  <c r="I212" i="2"/>
  <c r="D211" i="2"/>
  <c r="G209" i="2"/>
  <c r="A208" i="2"/>
  <c r="G206" i="2"/>
  <c r="I204" i="2"/>
  <c r="E203" i="2"/>
  <c r="H201" i="2"/>
  <c r="D200" i="2"/>
  <c r="I198" i="2"/>
  <c r="E197" i="2"/>
  <c r="B196" i="2"/>
  <c r="F194" i="2"/>
  <c r="C193" i="2"/>
  <c r="A192" i="2"/>
  <c r="H190" i="2"/>
  <c r="E189" i="2"/>
  <c r="C188" i="2"/>
  <c r="A187" i="2"/>
  <c r="H185" i="2"/>
  <c r="E184" i="2"/>
  <c r="C183" i="2"/>
  <c r="B182" i="2"/>
  <c r="A181" i="2"/>
  <c r="J179" i="2"/>
  <c r="I178" i="2"/>
  <c r="H177" i="2"/>
  <c r="F176" i="2"/>
  <c r="E175" i="2"/>
  <c r="D174" i="2"/>
  <c r="C173" i="2"/>
  <c r="B172" i="2"/>
  <c r="A171" i="2"/>
  <c r="J169" i="2"/>
  <c r="I168" i="2"/>
  <c r="H167" i="2"/>
  <c r="F166" i="2"/>
  <c r="E165" i="2"/>
  <c r="D164" i="2"/>
  <c r="C163" i="2"/>
  <c r="B162" i="2"/>
  <c r="A161" i="2"/>
  <c r="J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A305" i="2"/>
  <c r="I288" i="2"/>
  <c r="F282" i="2"/>
  <c r="E278" i="2"/>
  <c r="F274" i="2"/>
  <c r="G271" i="2"/>
  <c r="I268" i="2"/>
  <c r="F265" i="2"/>
  <c r="G262" i="2"/>
  <c r="I259" i="2"/>
  <c r="F256" i="2"/>
  <c r="G253" i="2"/>
  <c r="B251" i="2"/>
  <c r="D248" i="2"/>
  <c r="I245" i="2"/>
  <c r="D243" i="2"/>
  <c r="F240" i="2"/>
  <c r="E238" i="2"/>
  <c r="A236" i="2"/>
  <c r="A234" i="2"/>
  <c r="I231" i="2"/>
  <c r="B230" i="2"/>
  <c r="F228" i="2"/>
  <c r="J226" i="2"/>
  <c r="F225" i="2"/>
  <c r="F301" i="2"/>
  <c r="I287" i="2"/>
  <c r="B282" i="2"/>
  <c r="D278" i="2"/>
  <c r="E274" i="2"/>
  <c r="F271" i="2"/>
  <c r="G268" i="2"/>
  <c r="E265" i="2"/>
  <c r="F262" i="2"/>
  <c r="G259" i="2"/>
  <c r="E256" i="2"/>
  <c r="F253" i="2"/>
  <c r="A251" i="2"/>
  <c r="C248" i="2"/>
  <c r="G245" i="2"/>
  <c r="C243" i="2"/>
  <c r="E240" i="2"/>
  <c r="B238" i="2"/>
  <c r="I235" i="2"/>
  <c r="I233" i="2"/>
  <c r="F231" i="2"/>
  <c r="A230" i="2"/>
  <c r="E228" i="2"/>
  <c r="I226" i="2"/>
  <c r="B225" i="2"/>
  <c r="G223" i="2"/>
  <c r="B222" i="2"/>
  <c r="F298" i="2"/>
  <c r="G287" i="2"/>
  <c r="D295" i="2"/>
  <c r="I285" i="2"/>
  <c r="D281" i="2"/>
  <c r="D277" i="2"/>
  <c r="E273" i="2"/>
  <c r="F270" i="2"/>
  <c r="E267" i="2"/>
  <c r="F264" i="2"/>
  <c r="G261" i="2"/>
  <c r="E258" i="2"/>
  <c r="F255" i="2"/>
  <c r="G252" i="2"/>
  <c r="I249" i="2"/>
  <c r="D247" i="2"/>
  <c r="I244" i="2"/>
  <c r="B242" i="2"/>
  <c r="F239" i="2"/>
  <c r="D237" i="2"/>
  <c r="E235" i="2"/>
  <c r="A233" i="2"/>
  <c r="B231" i="2"/>
  <c r="F229" i="2"/>
  <c r="J227" i="2"/>
  <c r="D226" i="2"/>
  <c r="H224" i="2"/>
  <c r="D223" i="2"/>
  <c r="F221" i="2"/>
  <c r="A220" i="2"/>
  <c r="E218" i="2"/>
  <c r="I216" i="2"/>
  <c r="B215" i="2"/>
  <c r="G213" i="2"/>
  <c r="B212" i="2"/>
  <c r="E210" i="2"/>
  <c r="J208" i="2"/>
  <c r="D207" i="2"/>
  <c r="H205" i="2"/>
  <c r="A204" i="2"/>
  <c r="F202" i="2"/>
  <c r="B201" i="2"/>
  <c r="F199" i="2"/>
  <c r="C198" i="2"/>
  <c r="H196" i="2"/>
  <c r="D195" i="2"/>
  <c r="I193" i="2"/>
  <c r="F192" i="2"/>
  <c r="D191" i="2"/>
  <c r="B190" i="2"/>
  <c r="I188" i="2"/>
  <c r="F187" i="2"/>
  <c r="D186" i="2"/>
  <c r="B185" i="2"/>
  <c r="I183" i="2"/>
  <c r="H182" i="2"/>
  <c r="F181" i="2"/>
  <c r="E180" i="2"/>
  <c r="D179" i="2"/>
  <c r="C178" i="2"/>
  <c r="B177" i="2"/>
  <c r="A176" i="2"/>
  <c r="J174" i="2"/>
  <c r="I173" i="2"/>
  <c r="H172" i="2"/>
  <c r="F171" i="2"/>
  <c r="E170" i="2"/>
  <c r="D169" i="2"/>
  <c r="C168" i="2"/>
  <c r="B167" i="2"/>
  <c r="A166" i="2"/>
  <c r="J164" i="2"/>
  <c r="I163" i="2"/>
  <c r="H162" i="2"/>
  <c r="F161" i="2"/>
  <c r="E160" i="2"/>
  <c r="D159" i="2"/>
  <c r="D158" i="2"/>
  <c r="D157" i="2"/>
  <c r="D156" i="2"/>
  <c r="D155" i="2"/>
  <c r="D154" i="2"/>
  <c r="D153" i="2"/>
  <c r="D152" i="2"/>
  <c r="D151" i="2"/>
  <c r="D150" i="2"/>
  <c r="D149" i="2"/>
  <c r="B295" i="2"/>
  <c r="E285" i="2"/>
  <c r="E280" i="2"/>
  <c r="D276" i="2"/>
  <c r="D273" i="2"/>
  <c r="E270" i="2"/>
  <c r="D267" i="2"/>
  <c r="E264" i="2"/>
  <c r="F261" i="2"/>
  <c r="D258" i="2"/>
  <c r="E255" i="2"/>
  <c r="F252" i="2"/>
  <c r="G249" i="2"/>
  <c r="C247" i="2"/>
  <c r="G244" i="2"/>
  <c r="A242" i="2"/>
  <c r="E239" i="2"/>
  <c r="C237" i="2"/>
  <c r="I234" i="2"/>
  <c r="I232" i="2"/>
  <c r="A231" i="2"/>
  <c r="D229" i="2"/>
  <c r="I227" i="2"/>
  <c r="B226" i="2"/>
  <c r="G224" i="2"/>
  <c r="J222" i="2"/>
  <c r="E221" i="2"/>
  <c r="J219" i="2"/>
  <c r="B218" i="2"/>
  <c r="H216" i="2"/>
  <c r="A215" i="2"/>
  <c r="F213" i="2"/>
  <c r="I211" i="2"/>
  <c r="D210" i="2"/>
  <c r="I208" i="2"/>
  <c r="A207" i="2"/>
  <c r="G205" i="2"/>
  <c r="J203" i="2"/>
  <c r="E202" i="2"/>
  <c r="I200" i="2"/>
  <c r="E199" i="2"/>
  <c r="B198" i="2"/>
  <c r="F196" i="2"/>
  <c r="C195" i="2"/>
  <c r="H193" i="2"/>
  <c r="E192" i="2"/>
  <c r="C191" i="2"/>
  <c r="A190" i="2"/>
  <c r="H188" i="2"/>
  <c r="E187" i="2"/>
  <c r="C186" i="2"/>
  <c r="A185" i="2"/>
  <c r="H183" i="2"/>
  <c r="F182" i="2"/>
  <c r="E181" i="2"/>
  <c r="D180" i="2"/>
  <c r="C179" i="2"/>
  <c r="B178" i="2"/>
  <c r="A177" i="2"/>
  <c r="J175" i="2"/>
  <c r="I174" i="2"/>
  <c r="H173" i="2"/>
  <c r="F172" i="2"/>
  <c r="E171" i="2"/>
  <c r="D170" i="2"/>
  <c r="C169" i="2"/>
  <c r="B168" i="2"/>
  <c r="A167" i="2"/>
  <c r="J165" i="2"/>
  <c r="I164" i="2"/>
  <c r="H163" i="2"/>
  <c r="F162" i="2"/>
  <c r="E161" i="2"/>
  <c r="D298" i="2"/>
  <c r="D280" i="2"/>
  <c r="G272" i="2"/>
  <c r="A267" i="2"/>
  <c r="I260" i="2"/>
  <c r="I254" i="2"/>
  <c r="F249" i="2"/>
  <c r="D244" i="2"/>
  <c r="C239" i="2"/>
  <c r="G234" i="2"/>
  <c r="H230" i="2"/>
  <c r="H227" i="2"/>
  <c r="F224" i="2"/>
  <c r="I221" i="2"/>
  <c r="F219" i="2"/>
  <c r="D217" i="2"/>
  <c r="I214" i="2"/>
  <c r="G212" i="2"/>
  <c r="G210" i="2"/>
  <c r="B208" i="2"/>
  <c r="J205" i="2"/>
  <c r="G203" i="2"/>
  <c r="E201" i="2"/>
  <c r="D199" i="2"/>
  <c r="D197" i="2"/>
  <c r="E195" i="2"/>
  <c r="D193" i="2"/>
  <c r="F191" i="2"/>
  <c r="H189" i="2"/>
  <c r="A188" i="2"/>
  <c r="B186" i="2"/>
  <c r="D184" i="2"/>
  <c r="I182" i="2"/>
  <c r="B181" i="2"/>
  <c r="F179" i="2"/>
  <c r="J177" i="2"/>
  <c r="D176" i="2"/>
  <c r="H174" i="2"/>
  <c r="B173" i="2"/>
  <c r="H171" i="2"/>
  <c r="A170" i="2"/>
  <c r="E168" i="2"/>
  <c r="I166" i="2"/>
  <c r="C165" i="2"/>
  <c r="F163" i="2"/>
  <c r="A162" i="2"/>
  <c r="F160" i="2"/>
  <c r="B159" i="2"/>
  <c r="J157" i="2"/>
  <c r="G156" i="2"/>
  <c r="E155" i="2"/>
  <c r="B154" i="2"/>
  <c r="J152" i="2"/>
  <c r="G151" i="2"/>
  <c r="E150" i="2"/>
  <c r="B149" i="2"/>
  <c r="A148" i="2"/>
  <c r="J146" i="2"/>
  <c r="H145" i="2"/>
  <c r="G144" i="2"/>
  <c r="F143" i="2"/>
  <c r="E142" i="2"/>
  <c r="D141" i="2"/>
  <c r="C140" i="2"/>
  <c r="B139" i="2"/>
  <c r="A138" i="2"/>
  <c r="J136" i="2"/>
  <c r="H135" i="2"/>
  <c r="G134" i="2"/>
  <c r="F133" i="2"/>
  <c r="E132" i="2"/>
  <c r="D131" i="2"/>
  <c r="C130" i="2"/>
  <c r="B129" i="2"/>
  <c r="A128" i="2"/>
  <c r="J126" i="2"/>
  <c r="H125" i="2"/>
  <c r="G124" i="2"/>
  <c r="F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A293" i="2"/>
  <c r="B280" i="2"/>
  <c r="F272" i="2"/>
  <c r="I266" i="2"/>
  <c r="G260" i="2"/>
  <c r="G254" i="2"/>
  <c r="E249" i="2"/>
  <c r="C244" i="2"/>
  <c r="A239" i="2"/>
  <c r="E234" i="2"/>
  <c r="G230" i="2"/>
  <c r="E227" i="2"/>
  <c r="E224" i="2"/>
  <c r="H221" i="2"/>
  <c r="D219" i="2"/>
  <c r="A217" i="2"/>
  <c r="H214" i="2"/>
  <c r="F212" i="2"/>
  <c r="B210" i="2"/>
  <c r="J207" i="2"/>
  <c r="I205" i="2"/>
  <c r="F203" i="2"/>
  <c r="D201" i="2"/>
  <c r="C199" i="2"/>
  <c r="C197" i="2"/>
  <c r="B195" i="2"/>
  <c r="B193" i="2"/>
  <c r="E191" i="2"/>
  <c r="F189" i="2"/>
  <c r="I187" i="2"/>
  <c r="A186" i="2"/>
  <c r="C184" i="2"/>
  <c r="E182" i="2"/>
  <c r="J180" i="2"/>
  <c r="E179" i="2"/>
  <c r="I177" i="2"/>
  <c r="C176" i="2"/>
  <c r="F174" i="2"/>
  <c r="A173" i="2"/>
  <c r="D171" i="2"/>
  <c r="I169" i="2"/>
  <c r="D168" i="2"/>
  <c r="H166" i="2"/>
  <c r="B165" i="2"/>
  <c r="E163" i="2"/>
  <c r="J161" i="2"/>
  <c r="D160" i="2"/>
  <c r="A159" i="2"/>
  <c r="H157" i="2"/>
  <c r="F156" i="2"/>
  <c r="C155" i="2"/>
  <c r="A154" i="2"/>
  <c r="H152" i="2"/>
  <c r="F151" i="2"/>
  <c r="C150" i="2"/>
  <c r="A149" i="2"/>
  <c r="J147" i="2"/>
  <c r="H146" i="2"/>
  <c r="G145" i="2"/>
  <c r="F144" i="2"/>
  <c r="E143" i="2"/>
  <c r="D142" i="2"/>
  <c r="C141" i="2"/>
  <c r="B140" i="2"/>
  <c r="A139" i="2"/>
  <c r="J137" i="2"/>
  <c r="H136" i="2"/>
  <c r="G135" i="2"/>
  <c r="F134" i="2"/>
  <c r="E133" i="2"/>
  <c r="D132" i="2"/>
  <c r="C131" i="2"/>
  <c r="B130" i="2"/>
  <c r="A129" i="2"/>
  <c r="J127" i="2"/>
  <c r="H126" i="2"/>
  <c r="G125" i="2"/>
  <c r="F124" i="2"/>
  <c r="E123" i="2"/>
  <c r="D122" i="2"/>
  <c r="D121" i="2"/>
  <c r="D120" i="2"/>
  <c r="D119" i="2"/>
  <c r="D118" i="2"/>
  <c r="D117" i="2"/>
  <c r="F292" i="2"/>
  <c r="D279" i="2"/>
  <c r="D272" i="2"/>
  <c r="D266" i="2"/>
  <c r="D260" i="2"/>
  <c r="F254" i="2"/>
  <c r="A249" i="2"/>
  <c r="F243" i="2"/>
  <c r="I238" i="2"/>
  <c r="D234" i="2"/>
  <c r="E230" i="2"/>
  <c r="D227" i="2"/>
  <c r="A224" i="2"/>
  <c r="D221" i="2"/>
  <c r="A219" i="2"/>
  <c r="J216" i="2"/>
  <c r="G214" i="2"/>
  <c r="E212" i="2"/>
  <c r="A210" i="2"/>
  <c r="E290" i="2"/>
  <c r="I277" i="2"/>
  <c r="I270" i="2"/>
  <c r="B265" i="2"/>
  <c r="B259" i="2"/>
  <c r="B253" i="2"/>
  <c r="B248" i="2"/>
  <c r="G242" i="2"/>
  <c r="A238" i="2"/>
  <c r="D233" i="2"/>
  <c r="J229" i="2"/>
  <c r="H226" i="2"/>
  <c r="H223" i="2"/>
  <c r="B221" i="2"/>
  <c r="J218" i="2"/>
  <c r="G216" i="2"/>
  <c r="E214" i="2"/>
  <c r="D212" i="2"/>
  <c r="J209" i="2"/>
  <c r="D286" i="2"/>
  <c r="E277" i="2"/>
  <c r="G270" i="2"/>
  <c r="A265" i="2"/>
  <c r="A259" i="2"/>
  <c r="A253" i="2"/>
  <c r="A248" i="2"/>
  <c r="F284" i="2"/>
  <c r="B276" i="2"/>
  <c r="I269" i="2"/>
  <c r="G263" i="2"/>
  <c r="A258" i="2"/>
  <c r="B252" i="2"/>
  <c r="I246" i="2"/>
  <c r="B284" i="2"/>
  <c r="A276" i="2"/>
  <c r="G269" i="2"/>
  <c r="F263" i="2"/>
  <c r="I257" i="2"/>
  <c r="A252" i="2"/>
  <c r="G246" i="2"/>
  <c r="G241" i="2"/>
  <c r="A237" i="2"/>
  <c r="F232" i="2"/>
  <c r="A229" i="2"/>
  <c r="I225" i="2"/>
  <c r="I222" i="2"/>
  <c r="E220" i="2"/>
  <c r="A218" i="2"/>
  <c r="I215" i="2"/>
  <c r="H213" i="2"/>
  <c r="E211" i="2"/>
  <c r="B209" i="2"/>
  <c r="I206" i="2"/>
  <c r="G204" i="2"/>
  <c r="D202" i="2"/>
  <c r="C200" i="2"/>
  <c r="D198" i="2"/>
  <c r="C196" i="2"/>
  <c r="C194" i="2"/>
  <c r="C192" i="2"/>
  <c r="E190" i="2"/>
  <c r="F188" i="2"/>
  <c r="I186" i="2"/>
  <c r="C185" i="2"/>
  <c r="D183" i="2"/>
  <c r="I181" i="2"/>
  <c r="B180" i="2"/>
  <c r="F178" i="2"/>
  <c r="J176" i="2"/>
  <c r="D175" i="2"/>
  <c r="J173" i="2"/>
  <c r="C172" i="2"/>
  <c r="H170" i="2"/>
  <c r="A169" i="2"/>
  <c r="E167" i="2"/>
  <c r="I165" i="2"/>
  <c r="C164" i="2"/>
  <c r="I162" i="2"/>
  <c r="B161" i="2"/>
  <c r="H159" i="2"/>
  <c r="E158" i="2"/>
  <c r="B157" i="2"/>
  <c r="J155" i="2"/>
  <c r="E283" i="2"/>
  <c r="E275" i="2"/>
  <c r="B269" i="2"/>
  <c r="E263" i="2"/>
  <c r="E257" i="2"/>
  <c r="E251" i="2"/>
  <c r="A282" i="2"/>
  <c r="F250" i="2"/>
  <c r="F237" i="2"/>
  <c r="G229" i="2"/>
  <c r="F223" i="2"/>
  <c r="I218" i="2"/>
  <c r="A214" i="2"/>
  <c r="F209" i="2"/>
  <c r="D206" i="2"/>
  <c r="J202" i="2"/>
  <c r="B200" i="2"/>
  <c r="B197" i="2"/>
  <c r="D194" i="2"/>
  <c r="H191" i="2"/>
  <c r="B189" i="2"/>
  <c r="F186" i="2"/>
  <c r="A184" i="2"/>
  <c r="H181" i="2"/>
  <c r="B179" i="2"/>
  <c r="C177" i="2"/>
  <c r="A175" i="2"/>
  <c r="E172" i="2"/>
  <c r="C170" i="2"/>
  <c r="J167" i="2"/>
  <c r="H165" i="2"/>
  <c r="D163" i="2"/>
  <c r="C161" i="2"/>
  <c r="C159" i="2"/>
  <c r="E157" i="2"/>
  <c r="G155" i="2"/>
  <c r="J153" i="2"/>
  <c r="E152" i="2"/>
  <c r="J150" i="2"/>
  <c r="E149" i="2"/>
  <c r="H147" i="2"/>
  <c r="E146" i="2"/>
  <c r="B145" i="2"/>
  <c r="H143" i="2"/>
  <c r="C142" i="2"/>
  <c r="J140" i="2"/>
  <c r="F139" i="2"/>
  <c r="C138" i="2"/>
  <c r="G136" i="2"/>
  <c r="D135" i="2"/>
  <c r="A134" i="2"/>
  <c r="G132" i="2"/>
  <c r="B131" i="2"/>
  <c r="H129" i="2"/>
  <c r="E128" i="2"/>
  <c r="B127" i="2"/>
  <c r="F125" i="2"/>
  <c r="C124" i="2"/>
  <c r="J122" i="2"/>
  <c r="G121" i="2"/>
  <c r="C120" i="2"/>
  <c r="A119" i="2"/>
  <c r="I117" i="2"/>
  <c r="G116" i="2"/>
  <c r="F115" i="2"/>
  <c r="D114" i="2"/>
  <c r="C113" i="2"/>
  <c r="B112" i="2"/>
  <c r="A111" i="2"/>
  <c r="J109" i="2"/>
  <c r="I108" i="2"/>
  <c r="H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F281" i="2"/>
  <c r="E250" i="2"/>
  <c r="B237" i="2"/>
  <c r="B229" i="2"/>
  <c r="E223" i="2"/>
  <c r="F218" i="2"/>
  <c r="J213" i="2"/>
  <c r="D209" i="2"/>
  <c r="B206" i="2"/>
  <c r="I202" i="2"/>
  <c r="I199" i="2"/>
  <c r="I196" i="2"/>
  <c r="B194" i="2"/>
  <c r="B191" i="2"/>
  <c r="A189" i="2"/>
  <c r="E186" i="2"/>
  <c r="F183" i="2"/>
  <c r="D181" i="2"/>
  <c r="A179" i="2"/>
  <c r="I176" i="2"/>
  <c r="E174" i="2"/>
  <c r="D172" i="2"/>
  <c r="B170" i="2"/>
  <c r="I167" i="2"/>
  <c r="F165" i="2"/>
  <c r="B163" i="2"/>
  <c r="J160" i="2"/>
  <c r="J158" i="2"/>
  <c r="C157" i="2"/>
  <c r="F155" i="2"/>
  <c r="H153" i="2"/>
  <c r="C152" i="2"/>
  <c r="H150" i="2"/>
  <c r="C149" i="2"/>
  <c r="G147" i="2"/>
  <c r="D146" i="2"/>
  <c r="A145" i="2"/>
  <c r="G143" i="2"/>
  <c r="B142" i="2"/>
  <c r="H140" i="2"/>
  <c r="E139" i="2"/>
  <c r="B138" i="2"/>
  <c r="F136" i="2"/>
  <c r="C135" i="2"/>
  <c r="J133" i="2"/>
  <c r="F132" i="2"/>
  <c r="A131" i="2"/>
  <c r="G129" i="2"/>
  <c r="D128" i="2"/>
  <c r="A127" i="2"/>
  <c r="E125" i="2"/>
  <c r="B124" i="2"/>
  <c r="H122" i="2"/>
  <c r="F121" i="2"/>
  <c r="B120" i="2"/>
  <c r="J118" i="2"/>
  <c r="H117" i="2"/>
  <c r="F116" i="2"/>
  <c r="D115" i="2"/>
  <c r="C114" i="2"/>
  <c r="B113" i="2"/>
  <c r="A112" i="2"/>
  <c r="J110" i="2"/>
  <c r="I109" i="2"/>
  <c r="H108" i="2"/>
  <c r="G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B274" i="2"/>
  <c r="E246" i="2"/>
  <c r="E236" i="2"/>
  <c r="J228" i="2"/>
  <c r="G222" i="2"/>
  <c r="J217" i="2"/>
  <c r="E213" i="2"/>
  <c r="A209" i="2"/>
  <c r="F205" i="2"/>
  <c r="G202" i="2"/>
  <c r="H199" i="2"/>
  <c r="E196" i="2"/>
  <c r="A274" i="2"/>
  <c r="C245" i="2"/>
  <c r="G235" i="2"/>
  <c r="B228" i="2"/>
  <c r="F222" i="2"/>
  <c r="I217" i="2"/>
  <c r="D213" i="2"/>
  <c r="F208" i="2"/>
  <c r="B205" i="2"/>
  <c r="B202" i="2"/>
  <c r="B199" i="2"/>
  <c r="D196" i="2"/>
  <c r="A268" i="2"/>
  <c r="B245" i="2"/>
  <c r="F235" i="2"/>
  <c r="A228" i="2"/>
  <c r="D222" i="2"/>
  <c r="E217" i="2"/>
  <c r="J212" i="2"/>
  <c r="E208" i="2"/>
  <c r="A205" i="2"/>
  <c r="I201" i="2"/>
  <c r="H198" i="2"/>
  <c r="I195" i="2"/>
  <c r="A262" i="2"/>
  <c r="I241" i="2"/>
  <c r="G232" i="2"/>
  <c r="J225" i="2"/>
  <c r="G220" i="2"/>
  <c r="B216" i="2"/>
  <c r="F211" i="2"/>
  <c r="H207" i="2"/>
  <c r="F204" i="2"/>
  <c r="C201" i="2"/>
  <c r="E198" i="2"/>
  <c r="F195" i="2"/>
  <c r="H192" i="2"/>
  <c r="C190" i="2"/>
  <c r="D187" i="2"/>
  <c r="I184" i="2"/>
  <c r="D182" i="2"/>
  <c r="C180" i="2"/>
  <c r="A178" i="2"/>
  <c r="H175" i="2"/>
  <c r="E173" i="2"/>
  <c r="B171" i="2"/>
  <c r="J168" i="2"/>
  <c r="E166" i="2"/>
  <c r="E164" i="2"/>
  <c r="C162" i="2"/>
  <c r="A160" i="2"/>
  <c r="B158" i="2"/>
  <c r="C156" i="2"/>
  <c r="G154" i="2"/>
  <c r="B153" i="2"/>
  <c r="E151" i="2"/>
  <c r="J149" i="2"/>
  <c r="E148" i="2"/>
  <c r="B147" i="2"/>
  <c r="F145" i="2"/>
  <c r="C144" i="2"/>
  <c r="J142" i="2"/>
  <c r="F141" i="2"/>
  <c r="A140" i="2"/>
  <c r="G138" i="2"/>
  <c r="D137" i="2"/>
  <c r="A136" i="2"/>
  <c r="E134" i="2"/>
  <c r="B133" i="2"/>
  <c r="H131" i="2"/>
  <c r="E130" i="2"/>
  <c r="J128" i="2"/>
  <c r="F127" i="2"/>
  <c r="C126" i="2"/>
  <c r="J124" i="2"/>
  <c r="D123" i="2"/>
  <c r="A122" i="2"/>
  <c r="I120" i="2"/>
  <c r="G119" i="2"/>
  <c r="C118" i="2"/>
  <c r="A117" i="2"/>
  <c r="J115" i="2"/>
  <c r="I114" i="2"/>
  <c r="H113" i="2"/>
  <c r="G112" i="2"/>
  <c r="F111" i="2"/>
  <c r="D110" i="2"/>
  <c r="C109" i="2"/>
  <c r="B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I267" i="2"/>
  <c r="E231" i="2"/>
  <c r="D216" i="2"/>
  <c r="J206" i="2"/>
  <c r="F198" i="2"/>
  <c r="A193" i="2"/>
  <c r="D189" i="2"/>
  <c r="F185" i="2"/>
  <c r="C182" i="2"/>
  <c r="J178" i="2"/>
  <c r="I175" i="2"/>
  <c r="I172" i="2"/>
  <c r="E169" i="2"/>
  <c r="C166" i="2"/>
  <c r="J162" i="2"/>
  <c r="I159" i="2"/>
  <c r="A157" i="2"/>
  <c r="H154" i="2"/>
  <c r="F152" i="2"/>
  <c r="B150" i="2"/>
  <c r="C148" i="2"/>
  <c r="B146" i="2"/>
  <c r="B144" i="2"/>
  <c r="A142" i="2"/>
  <c r="D140" i="2"/>
  <c r="D138" i="2"/>
  <c r="C136" i="2"/>
  <c r="C134" i="2"/>
  <c r="B132" i="2"/>
  <c r="D130" i="2"/>
  <c r="C128" i="2"/>
  <c r="D126" i="2"/>
  <c r="D124" i="2"/>
  <c r="C122" i="2"/>
  <c r="G120" i="2"/>
  <c r="H118" i="2"/>
  <c r="J116" i="2"/>
  <c r="C115" i="2"/>
  <c r="I113" i="2"/>
  <c r="C112" i="2"/>
  <c r="G110" i="2"/>
  <c r="A109" i="2"/>
  <c r="D107" i="2"/>
  <c r="J105" i="2"/>
  <c r="E104" i="2"/>
  <c r="B103" i="2"/>
  <c r="H101" i="2"/>
  <c r="C100" i="2"/>
  <c r="I98" i="2"/>
  <c r="D97" i="2"/>
  <c r="J95" i="2"/>
  <c r="E94" i="2"/>
  <c r="B93" i="2"/>
  <c r="H91" i="2"/>
  <c r="C90" i="2"/>
  <c r="I88" i="2"/>
  <c r="D87" i="2"/>
  <c r="B86" i="2"/>
  <c r="J84" i="2"/>
  <c r="H83" i="2"/>
  <c r="D82" i="2"/>
  <c r="B81" i="2"/>
  <c r="J79" i="2"/>
  <c r="H78" i="2"/>
  <c r="D77" i="2"/>
  <c r="B76" i="2"/>
  <c r="J74" i="2"/>
  <c r="H73" i="2"/>
  <c r="D72" i="2"/>
  <c r="B71" i="2"/>
  <c r="A70" i="2"/>
  <c r="J68" i="2"/>
  <c r="I67" i="2"/>
  <c r="H66" i="2"/>
  <c r="F65" i="2"/>
  <c r="E64" i="2"/>
  <c r="D63" i="2"/>
  <c r="C62" i="2"/>
  <c r="B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I261" i="2"/>
  <c r="D231" i="2"/>
  <c r="H215" i="2"/>
  <c r="H206" i="2"/>
  <c r="I197" i="2"/>
  <c r="I192" i="2"/>
  <c r="C189" i="2"/>
  <c r="E185" i="2"/>
  <c r="A182" i="2"/>
  <c r="H178" i="2"/>
  <c r="F175" i="2"/>
  <c r="A172" i="2"/>
  <c r="B169" i="2"/>
  <c r="B166" i="2"/>
  <c r="E162" i="2"/>
  <c r="F159" i="2"/>
  <c r="J156" i="2"/>
  <c r="F154" i="2"/>
  <c r="B152" i="2"/>
  <c r="A150" i="2"/>
  <c r="B148" i="2"/>
  <c r="A146" i="2"/>
  <c r="A144" i="2"/>
  <c r="J141" i="2"/>
  <c r="J139" i="2"/>
  <c r="H137" i="2"/>
  <c r="B136" i="2"/>
  <c r="B134" i="2"/>
  <c r="A132" i="2"/>
  <c r="A130" i="2"/>
  <c r="B128" i="2"/>
  <c r="B126" i="2"/>
  <c r="A124" i="2"/>
  <c r="B122" i="2"/>
  <c r="F120" i="2"/>
  <c r="G118" i="2"/>
  <c r="I116" i="2"/>
  <c r="B115" i="2"/>
  <c r="G113" i="2"/>
  <c r="J111" i="2"/>
  <c r="F110" i="2"/>
  <c r="J108" i="2"/>
  <c r="C107" i="2"/>
  <c r="I105" i="2"/>
  <c r="D104" i="2"/>
  <c r="J102" i="2"/>
  <c r="E101" i="2"/>
  <c r="B100" i="2"/>
  <c r="H98" i="2"/>
  <c r="C97" i="2"/>
  <c r="I95" i="2"/>
  <c r="D94" i="2"/>
  <c r="J92" i="2"/>
  <c r="E91" i="2"/>
  <c r="B90" i="2"/>
  <c r="H88" i="2"/>
  <c r="C87" i="2"/>
  <c r="A86" i="2"/>
  <c r="I84" i="2"/>
  <c r="E83" i="2"/>
  <c r="C82" i="2"/>
  <c r="A81" i="2"/>
  <c r="I79" i="2"/>
  <c r="E78" i="2"/>
  <c r="C77" i="2"/>
  <c r="A76" i="2"/>
  <c r="I74" i="2"/>
  <c r="E73" i="2"/>
  <c r="C72" i="2"/>
  <c r="A71" i="2"/>
  <c r="J69" i="2"/>
  <c r="I68" i="2"/>
  <c r="H67" i="2"/>
  <c r="F66" i="2"/>
  <c r="E65" i="2"/>
  <c r="D64" i="2"/>
  <c r="C63" i="2"/>
  <c r="B62" i="2"/>
  <c r="A61" i="2"/>
  <c r="J59" i="2"/>
  <c r="D256" i="2"/>
  <c r="G226" i="2"/>
  <c r="G215" i="2"/>
  <c r="H204" i="2"/>
  <c r="H197" i="2"/>
  <c r="D192" i="2"/>
  <c r="E188" i="2"/>
  <c r="D185" i="2"/>
  <c r="J181" i="2"/>
  <c r="E178" i="2"/>
  <c r="C175" i="2"/>
  <c r="J171" i="2"/>
  <c r="H168" i="2"/>
  <c r="D165" i="2"/>
  <c r="D162" i="2"/>
  <c r="E159" i="2"/>
  <c r="H156" i="2"/>
  <c r="E154" i="2"/>
  <c r="A152" i="2"/>
  <c r="H149" i="2"/>
  <c r="F147" i="2"/>
  <c r="J145" i="2"/>
  <c r="J143" i="2"/>
  <c r="H141" i="2"/>
  <c r="H139" i="2"/>
  <c r="G137" i="2"/>
  <c r="J135" i="2"/>
  <c r="H133" i="2"/>
  <c r="J131" i="2"/>
  <c r="J129" i="2"/>
  <c r="H127" i="2"/>
  <c r="A126" i="2"/>
  <c r="J123" i="2"/>
  <c r="J121" i="2"/>
  <c r="A120" i="2"/>
  <c r="F118" i="2"/>
  <c r="H116" i="2"/>
  <c r="A115" i="2"/>
  <c r="F113" i="2"/>
  <c r="I111" i="2"/>
  <c r="C110" i="2"/>
  <c r="G108" i="2"/>
  <c r="B107" i="2"/>
  <c r="H105" i="2"/>
  <c r="C104" i="2"/>
  <c r="I102" i="2"/>
  <c r="D101" i="2"/>
  <c r="J99" i="2"/>
  <c r="E98" i="2"/>
  <c r="B97" i="2"/>
  <c r="H95" i="2"/>
  <c r="C94" i="2"/>
  <c r="I92" i="2"/>
  <c r="D91" i="2"/>
  <c r="J89" i="2"/>
  <c r="E88" i="2"/>
  <c r="B87" i="2"/>
  <c r="J85" i="2"/>
  <c r="H84" i="2"/>
  <c r="D83" i="2"/>
  <c r="B82" i="2"/>
  <c r="J80" i="2"/>
  <c r="H79" i="2"/>
  <c r="D78" i="2"/>
  <c r="B77" i="2"/>
  <c r="J75" i="2"/>
  <c r="H74" i="2"/>
  <c r="D73" i="2"/>
  <c r="B72" i="2"/>
  <c r="J70" i="2"/>
  <c r="I69" i="2"/>
  <c r="H68" i="2"/>
  <c r="F67" i="2"/>
  <c r="E66" i="2"/>
  <c r="D65" i="2"/>
  <c r="C64" i="2"/>
  <c r="B63" i="2"/>
  <c r="A62" i="2"/>
  <c r="J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B256" i="2"/>
  <c r="H225" i="2"/>
  <c r="F215" i="2"/>
  <c r="E204" i="2"/>
  <c r="F197" i="2"/>
  <c r="B192" i="2"/>
  <c r="D188" i="2"/>
  <c r="H184" i="2"/>
  <c r="C181" i="2"/>
  <c r="D178" i="2"/>
  <c r="B175" i="2"/>
  <c r="I171" i="2"/>
  <c r="F168" i="2"/>
  <c r="A165" i="2"/>
  <c r="I161" i="2"/>
  <c r="H158" i="2"/>
  <c r="E156" i="2"/>
  <c r="C154" i="2"/>
  <c r="J151" i="2"/>
  <c r="G149" i="2"/>
  <c r="E147" i="2"/>
  <c r="E145" i="2"/>
  <c r="D143" i="2"/>
  <c r="G141" i="2"/>
  <c r="G139" i="2"/>
  <c r="F137" i="2"/>
  <c r="F135" i="2"/>
  <c r="G133" i="2"/>
  <c r="G131" i="2"/>
  <c r="F129" i="2"/>
  <c r="G127" i="2"/>
  <c r="J125" i="2"/>
  <c r="H123" i="2"/>
  <c r="I121" i="2"/>
  <c r="J119" i="2"/>
  <c r="B118" i="2"/>
  <c r="D116" i="2"/>
  <c r="J114" i="2"/>
  <c r="D113" i="2"/>
  <c r="H111" i="2"/>
  <c r="B110" i="2"/>
  <c r="F108" i="2"/>
  <c r="J106" i="2"/>
  <c r="E105" i="2"/>
  <c r="B104" i="2"/>
  <c r="H102" i="2"/>
  <c r="C101" i="2"/>
  <c r="I99" i="2"/>
  <c r="D98" i="2"/>
  <c r="J96" i="2"/>
  <c r="E95" i="2"/>
  <c r="B94" i="2"/>
  <c r="H92" i="2"/>
  <c r="C91" i="2"/>
  <c r="I89" i="2"/>
  <c r="D88" i="2"/>
  <c r="A87" i="2"/>
  <c r="I85" i="2"/>
  <c r="E84" i="2"/>
  <c r="C83" i="2"/>
  <c r="A82" i="2"/>
  <c r="I80" i="2"/>
  <c r="E79" i="2"/>
  <c r="C78" i="2"/>
  <c r="A77" i="2"/>
  <c r="I75" i="2"/>
  <c r="E74" i="2"/>
  <c r="C73" i="2"/>
  <c r="A72" i="2"/>
  <c r="I70" i="2"/>
  <c r="H69" i="2"/>
  <c r="F68" i="2"/>
  <c r="E67" i="2"/>
  <c r="D66" i="2"/>
  <c r="C65" i="2"/>
  <c r="B64" i="2"/>
  <c r="A63" i="2"/>
  <c r="J61" i="2"/>
  <c r="I60" i="2"/>
  <c r="H59" i="2"/>
  <c r="F242" i="2"/>
  <c r="A225" i="2"/>
  <c r="H211" i="2"/>
  <c r="H203" i="2"/>
  <c r="H195" i="2"/>
  <c r="I191" i="2"/>
  <c r="B188" i="2"/>
  <c r="F184" i="2"/>
  <c r="I180" i="2"/>
  <c r="F177" i="2"/>
  <c r="C174" i="2"/>
  <c r="C171" i="2"/>
  <c r="A168" i="2"/>
  <c r="H164" i="2"/>
  <c r="H161" i="2"/>
  <c r="G158" i="2"/>
  <c r="B156" i="2"/>
  <c r="G153" i="2"/>
  <c r="H151" i="2"/>
  <c r="F149" i="2"/>
  <c r="D147" i="2"/>
  <c r="D145" i="2"/>
  <c r="C143" i="2"/>
  <c r="E141" i="2"/>
  <c r="D139" i="2"/>
  <c r="E137" i="2"/>
  <c r="E135" i="2"/>
  <c r="D133" i="2"/>
  <c r="F131" i="2"/>
  <c r="E129" i="2"/>
  <c r="E127" i="2"/>
  <c r="D125" i="2"/>
  <c r="G123" i="2"/>
  <c r="H121" i="2"/>
  <c r="I119" i="2"/>
  <c r="A118" i="2"/>
  <c r="C116" i="2"/>
  <c r="H114" i="2"/>
  <c r="A113" i="2"/>
  <c r="G111" i="2"/>
  <c r="A110" i="2"/>
  <c r="D108" i="2"/>
  <c r="I106" i="2"/>
  <c r="D105" i="2"/>
  <c r="J103" i="2"/>
  <c r="E102" i="2"/>
  <c r="B101" i="2"/>
  <c r="H99" i="2"/>
  <c r="C98" i="2"/>
  <c r="I96" i="2"/>
  <c r="D95" i="2"/>
  <c r="J93" i="2"/>
  <c r="E92" i="2"/>
  <c r="B91" i="2"/>
  <c r="H89" i="2"/>
  <c r="C88" i="2"/>
  <c r="J86" i="2"/>
  <c r="H85" i="2"/>
  <c r="D84" i="2"/>
  <c r="B83" i="2"/>
  <c r="J81" i="2"/>
  <c r="H80" i="2"/>
  <c r="D79" i="2"/>
  <c r="B78" i="2"/>
  <c r="J76" i="2"/>
  <c r="H75" i="2"/>
  <c r="D74" i="2"/>
  <c r="B73" i="2"/>
  <c r="J71" i="2"/>
  <c r="H70" i="2"/>
  <c r="F69" i="2"/>
  <c r="E68" i="2"/>
  <c r="D67" i="2"/>
  <c r="C66" i="2"/>
  <c r="B65" i="2"/>
  <c r="A64" i="2"/>
  <c r="J62" i="2"/>
  <c r="I61" i="2"/>
  <c r="H60" i="2"/>
  <c r="G59" i="2"/>
  <c r="G58" i="2"/>
  <c r="G57" i="2"/>
  <c r="G56" i="2"/>
  <c r="G55" i="2"/>
  <c r="G54" i="2"/>
  <c r="B241" i="2"/>
  <c r="I224" i="2"/>
  <c r="B211" i="2"/>
  <c r="D203" i="2"/>
  <c r="I194" i="2"/>
  <c r="A191" i="2"/>
  <c r="H187" i="2"/>
  <c r="B184" i="2"/>
  <c r="H180" i="2"/>
  <c r="E177" i="2"/>
  <c r="B174" i="2"/>
  <c r="J170" i="2"/>
  <c r="F167" i="2"/>
  <c r="F164" i="2"/>
  <c r="D161" i="2"/>
  <c r="F158" i="2"/>
  <c r="A156" i="2"/>
  <c r="F153" i="2"/>
  <c r="C151" i="2"/>
  <c r="J148" i="2"/>
  <c r="C147" i="2"/>
  <c r="C145" i="2"/>
  <c r="B143" i="2"/>
  <c r="B141" i="2"/>
  <c r="C139" i="2"/>
  <c r="C137" i="2"/>
  <c r="B135" i="2"/>
  <c r="C133" i="2"/>
  <c r="E131" i="2"/>
  <c r="D129" i="2"/>
  <c r="D127" i="2"/>
  <c r="C125" i="2"/>
  <c r="C123" i="2"/>
  <c r="C121" i="2"/>
  <c r="H119" i="2"/>
  <c r="J117" i="2"/>
  <c r="B116" i="2"/>
  <c r="G114" i="2"/>
  <c r="J112" i="2"/>
  <c r="D111" i="2"/>
  <c r="H109" i="2"/>
  <c r="C108" i="2"/>
  <c r="H106" i="2"/>
  <c r="C105" i="2"/>
  <c r="I103" i="2"/>
  <c r="D102" i="2"/>
  <c r="J100" i="2"/>
  <c r="E99" i="2"/>
  <c r="B98" i="2"/>
  <c r="H96" i="2"/>
  <c r="C95" i="2"/>
  <c r="I93" i="2"/>
  <c r="D92" i="2"/>
  <c r="J90" i="2"/>
  <c r="E89" i="2"/>
  <c r="B88" i="2"/>
  <c r="I86" i="2"/>
  <c r="E85" i="2"/>
  <c r="C84" i="2"/>
  <c r="A83" i="2"/>
  <c r="I81" i="2"/>
  <c r="E80" i="2"/>
  <c r="C79" i="2"/>
  <c r="A78" i="2"/>
  <c r="I76" i="2"/>
  <c r="E75" i="2"/>
  <c r="C74" i="2"/>
  <c r="A73" i="2"/>
  <c r="I71" i="2"/>
  <c r="F70" i="2"/>
  <c r="E69" i="2"/>
  <c r="D68" i="2"/>
  <c r="C67" i="2"/>
  <c r="B66" i="2"/>
  <c r="A65" i="2"/>
  <c r="J63" i="2"/>
  <c r="I62" i="2"/>
  <c r="H61" i="2"/>
  <c r="F60" i="2"/>
  <c r="F59" i="2"/>
  <c r="F58" i="2"/>
  <c r="F57" i="2"/>
  <c r="F56" i="2"/>
  <c r="F55" i="2"/>
  <c r="F54" i="2"/>
  <c r="F53" i="2"/>
  <c r="F52" i="2"/>
  <c r="C240" i="2"/>
  <c r="A221" i="2"/>
  <c r="A211" i="2"/>
  <c r="F201" i="2"/>
  <c r="H194" i="2"/>
  <c r="I190" i="2"/>
  <c r="C187" i="2"/>
  <c r="E183" i="2"/>
  <c r="F180" i="2"/>
  <c r="D177" i="2"/>
  <c r="A174" i="2"/>
  <c r="I170" i="2"/>
  <c r="D167" i="2"/>
  <c r="B164" i="2"/>
  <c r="I160" i="2"/>
  <c r="C158" i="2"/>
  <c r="H155" i="2"/>
  <c r="E153" i="2"/>
  <c r="B151" i="2"/>
  <c r="H148" i="2"/>
  <c r="A147" i="2"/>
  <c r="J144" i="2"/>
  <c r="A143" i="2"/>
  <c r="A141" i="2"/>
  <c r="J138" i="2"/>
  <c r="B137" i="2"/>
  <c r="A135" i="2"/>
  <c r="A133" i="2"/>
  <c r="J130" i="2"/>
  <c r="C129" i="2"/>
  <c r="C127" i="2"/>
  <c r="B125" i="2"/>
  <c r="B123" i="2"/>
  <c r="B121" i="2"/>
  <c r="F119" i="2"/>
  <c r="G117" i="2"/>
  <c r="A116" i="2"/>
  <c r="F114" i="2"/>
  <c r="I112" i="2"/>
  <c r="C111" i="2"/>
  <c r="G109" i="2"/>
  <c r="A108" i="2"/>
  <c r="E106" i="2"/>
  <c r="B105" i="2"/>
  <c r="H103" i="2"/>
  <c r="C102" i="2"/>
  <c r="I100" i="2"/>
  <c r="D99" i="2"/>
  <c r="J97" i="2"/>
  <c r="E96" i="2"/>
  <c r="B95" i="2"/>
  <c r="H93" i="2"/>
  <c r="C92" i="2"/>
  <c r="I90" i="2"/>
  <c r="D89" i="2"/>
  <c r="J87" i="2"/>
  <c r="H86" i="2"/>
  <c r="D85" i="2"/>
  <c r="B84" i="2"/>
  <c r="J82" i="2"/>
  <c r="H81" i="2"/>
  <c r="B240" i="2"/>
  <c r="D220" i="2"/>
  <c r="H210" i="2"/>
  <c r="H200" i="2"/>
  <c r="E194" i="2"/>
  <c r="F190" i="2"/>
  <c r="B187" i="2"/>
  <c r="B183" i="2"/>
  <c r="A180" i="2"/>
  <c r="H176" i="2"/>
  <c r="F173" i="2"/>
  <c r="F170" i="2"/>
  <c r="C167" i="2"/>
  <c r="A164" i="2"/>
  <c r="H160" i="2"/>
  <c r="A158" i="2"/>
  <c r="B155" i="2"/>
  <c r="C153" i="2"/>
  <c r="A151" i="2"/>
  <c r="G148" i="2"/>
  <c r="G146" i="2"/>
  <c r="H144" i="2"/>
  <c r="H142" i="2"/>
  <c r="G140" i="2"/>
  <c r="H138" i="2"/>
  <c r="A137" i="2"/>
  <c r="J134" i="2"/>
  <c r="J132" i="2"/>
  <c r="H130" i="2"/>
  <c r="H128" i="2"/>
  <c r="G126" i="2"/>
  <c r="A125" i="2"/>
  <c r="A123" i="2"/>
  <c r="A121" i="2"/>
  <c r="C119" i="2"/>
  <c r="F117" i="2"/>
  <c r="I115" i="2"/>
  <c r="B114" i="2"/>
  <c r="H112" i="2"/>
  <c r="B111" i="2"/>
  <c r="F109" i="2"/>
  <c r="J107" i="2"/>
  <c r="D106" i="2"/>
  <c r="J104" i="2"/>
  <c r="E103" i="2"/>
  <c r="B102" i="2"/>
  <c r="H100" i="2"/>
  <c r="C99" i="2"/>
  <c r="I97" i="2"/>
  <c r="D96" i="2"/>
  <c r="J94" i="2"/>
  <c r="E93" i="2"/>
  <c r="B92" i="2"/>
  <c r="H90" i="2"/>
  <c r="C89" i="2"/>
  <c r="I87" i="2"/>
  <c r="E86" i="2"/>
  <c r="C85" i="2"/>
  <c r="A84" i="2"/>
  <c r="I82" i="2"/>
  <c r="E81" i="2"/>
  <c r="C80" i="2"/>
  <c r="A79" i="2"/>
  <c r="I77" i="2"/>
  <c r="E76" i="2"/>
  <c r="C75" i="2"/>
  <c r="A74" i="2"/>
  <c r="I72" i="2"/>
  <c r="E71" i="2"/>
  <c r="D70" i="2"/>
  <c r="C69" i="2"/>
  <c r="B68" i="2"/>
  <c r="A67" i="2"/>
  <c r="J65" i="2"/>
  <c r="I64" i="2"/>
  <c r="H63" i="2"/>
  <c r="F62" i="2"/>
  <c r="E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C233" i="2"/>
  <c r="D190" i="2"/>
  <c r="D173" i="2"/>
  <c r="G157" i="2"/>
  <c r="F146" i="2"/>
  <c r="E136" i="2"/>
  <c r="F126" i="2"/>
  <c r="C117" i="2"/>
  <c r="D109" i="2"/>
  <c r="J101" i="2"/>
  <c r="I94" i="2"/>
  <c r="H87" i="2"/>
  <c r="D81" i="2"/>
  <c r="E77" i="2"/>
  <c r="J72" i="2"/>
  <c r="B69" i="2"/>
  <c r="H65" i="2"/>
  <c r="F61" i="2"/>
  <c r="H58" i="2"/>
  <c r="H56" i="2"/>
  <c r="H54" i="2"/>
  <c r="J52" i="2"/>
  <c r="E51" i="2"/>
  <c r="J49" i="2"/>
  <c r="F48" i="2"/>
  <c r="B47" i="2"/>
  <c r="G45" i="2"/>
  <c r="C44" i="2"/>
  <c r="H42" i="2"/>
  <c r="E41" i="2"/>
  <c r="J39" i="2"/>
  <c r="F38" i="2"/>
  <c r="B37" i="2"/>
  <c r="G35" i="2"/>
  <c r="C34" i="2"/>
  <c r="H32" i="2"/>
  <c r="E31" i="2"/>
  <c r="J29" i="2"/>
  <c r="F28" i="2"/>
  <c r="B27" i="2"/>
  <c r="G25" i="2"/>
  <c r="C24" i="2"/>
  <c r="H22" i="2"/>
  <c r="E21" i="2"/>
  <c r="J19" i="2"/>
  <c r="F18" i="2"/>
  <c r="B17" i="2"/>
  <c r="D232" i="2"/>
  <c r="I189" i="2"/>
  <c r="J172" i="2"/>
  <c r="F157" i="2"/>
  <c r="C146" i="2"/>
  <c r="D136" i="2"/>
  <c r="E126" i="2"/>
  <c r="B117" i="2"/>
  <c r="B109" i="2"/>
  <c r="I101" i="2"/>
  <c r="H94" i="2"/>
  <c r="E87" i="2"/>
  <c r="C81" i="2"/>
  <c r="H76" i="2"/>
  <c r="H72" i="2"/>
  <c r="A69" i="2"/>
  <c r="J64" i="2"/>
  <c r="D61" i="2"/>
  <c r="E58" i="2"/>
  <c r="E56" i="2"/>
  <c r="E54" i="2"/>
  <c r="H52" i="2"/>
  <c r="C51" i="2"/>
  <c r="H49" i="2"/>
  <c r="E48" i="2"/>
  <c r="J46" i="2"/>
  <c r="F45" i="2"/>
  <c r="B44" i="2"/>
  <c r="G42" i="2"/>
  <c r="C41" i="2"/>
  <c r="H39" i="2"/>
  <c r="E38" i="2"/>
  <c r="J36" i="2"/>
  <c r="F35" i="2"/>
  <c r="B34" i="2"/>
  <c r="G32" i="2"/>
  <c r="C31" i="2"/>
  <c r="H29" i="2"/>
  <c r="E28" i="2"/>
  <c r="J26" i="2"/>
  <c r="F25" i="2"/>
  <c r="B24" i="2"/>
  <c r="G22" i="2"/>
  <c r="C21" i="2"/>
  <c r="H19" i="2"/>
  <c r="E18" i="2"/>
  <c r="J16" i="2"/>
  <c r="B220" i="2"/>
  <c r="H186" i="2"/>
  <c r="H169" i="2"/>
  <c r="A155" i="2"/>
  <c r="E144" i="2"/>
  <c r="H134" i="2"/>
  <c r="H124" i="2"/>
  <c r="H115" i="2"/>
  <c r="I107" i="2"/>
  <c r="E100" i="2"/>
  <c r="D93" i="2"/>
  <c r="D86" i="2"/>
  <c r="D80" i="2"/>
  <c r="D76" i="2"/>
  <c r="E72" i="2"/>
  <c r="C68" i="2"/>
  <c r="H64" i="2"/>
  <c r="C61" i="2"/>
  <c r="C58" i="2"/>
  <c r="C56" i="2"/>
  <c r="C54" i="2"/>
  <c r="G52" i="2"/>
  <c r="B51" i="2"/>
  <c r="G49" i="2"/>
  <c r="C48" i="2"/>
  <c r="H46" i="2"/>
  <c r="E45" i="2"/>
  <c r="J43" i="2"/>
  <c r="F42" i="2"/>
  <c r="B41" i="2"/>
  <c r="G39" i="2"/>
  <c r="C38" i="2"/>
  <c r="H36" i="2"/>
  <c r="E35" i="2"/>
  <c r="J33" i="2"/>
  <c r="F32" i="2"/>
  <c r="B31" i="2"/>
  <c r="G29" i="2"/>
  <c r="C28" i="2"/>
  <c r="H26" i="2"/>
  <c r="E25" i="2"/>
  <c r="J23" i="2"/>
  <c r="F22" i="2"/>
  <c r="B21" i="2"/>
  <c r="G19" i="2"/>
  <c r="G219" i="2"/>
  <c r="I185" i="2"/>
  <c r="F169" i="2"/>
  <c r="J154" i="2"/>
  <c r="D144" i="2"/>
  <c r="D134" i="2"/>
  <c r="E124" i="2"/>
  <c r="G115" i="2"/>
  <c r="F107" i="2"/>
  <c r="D100" i="2"/>
  <c r="C93" i="2"/>
  <c r="C86" i="2"/>
  <c r="B80" i="2"/>
  <c r="C76" i="2"/>
  <c r="H71" i="2"/>
  <c r="A68" i="2"/>
  <c r="F64" i="2"/>
  <c r="E60" i="2"/>
  <c r="B58" i="2"/>
  <c r="B56" i="2"/>
  <c r="B54" i="2"/>
  <c r="E52" i="2"/>
  <c r="J50" i="2"/>
  <c r="F49" i="2"/>
  <c r="B48" i="2"/>
  <c r="G46" i="2"/>
  <c r="C45" i="2"/>
  <c r="H43" i="2"/>
  <c r="E42" i="2"/>
  <c r="J40" i="2"/>
  <c r="F39" i="2"/>
  <c r="B38" i="2"/>
  <c r="G36" i="2"/>
  <c r="C35" i="2"/>
  <c r="H33" i="2"/>
  <c r="E32" i="2"/>
  <c r="J30" i="2"/>
  <c r="F29" i="2"/>
  <c r="B28" i="2"/>
  <c r="G26" i="2"/>
  <c r="C25" i="2"/>
  <c r="H23" i="2"/>
  <c r="E22" i="2"/>
  <c r="J20" i="2"/>
  <c r="F19" i="2"/>
  <c r="B18" i="2"/>
  <c r="G16" i="2"/>
  <c r="I207" i="2"/>
  <c r="A183" i="2"/>
  <c r="J166" i="2"/>
  <c r="A153" i="2"/>
  <c r="G142" i="2"/>
  <c r="H132" i="2"/>
  <c r="G122" i="2"/>
  <c r="A114" i="2"/>
  <c r="C106" i="2"/>
  <c r="B99" i="2"/>
  <c r="J91" i="2"/>
  <c r="B85" i="2"/>
  <c r="A80" i="2"/>
  <c r="D75" i="2"/>
  <c r="D71" i="2"/>
  <c r="J67" i="2"/>
  <c r="I63" i="2"/>
  <c r="C60" i="2"/>
  <c r="J57" i="2"/>
  <c r="J55" i="2"/>
  <c r="J53" i="2"/>
  <c r="C52" i="2"/>
  <c r="H50" i="2"/>
  <c r="E49" i="2"/>
  <c r="J47" i="2"/>
  <c r="F46" i="2"/>
  <c r="B45" i="2"/>
  <c r="G43" i="2"/>
  <c r="C42" i="2"/>
  <c r="H40" i="2"/>
  <c r="E39" i="2"/>
  <c r="J37" i="2"/>
  <c r="F36" i="2"/>
  <c r="B35" i="2"/>
  <c r="G33" i="2"/>
  <c r="C32" i="2"/>
  <c r="H30" i="2"/>
  <c r="E29" i="2"/>
  <c r="J27" i="2"/>
  <c r="F26" i="2"/>
  <c r="B25" i="2"/>
  <c r="G23" i="2"/>
  <c r="C22" i="2"/>
  <c r="H20" i="2"/>
  <c r="E19" i="2"/>
  <c r="E207" i="2"/>
  <c r="J182" i="2"/>
  <c r="D166" i="2"/>
  <c r="G152" i="2"/>
  <c r="F142" i="2"/>
  <c r="C132" i="2"/>
  <c r="F122" i="2"/>
  <c r="J113" i="2"/>
  <c r="B106" i="2"/>
  <c r="J98" i="2"/>
  <c r="I91" i="2"/>
  <c r="A85" i="2"/>
  <c r="B79" i="2"/>
  <c r="B75" i="2"/>
  <c r="C71" i="2"/>
  <c r="B67" i="2"/>
  <c r="F63" i="2"/>
  <c r="B60" i="2"/>
  <c r="H57" i="2"/>
  <c r="H55" i="2"/>
  <c r="H53" i="2"/>
  <c r="B52" i="2"/>
  <c r="G50" i="2"/>
  <c r="C49" i="2"/>
  <c r="H47" i="2"/>
  <c r="E46" i="2"/>
  <c r="J44" i="2"/>
  <c r="F43" i="2"/>
  <c r="B42" i="2"/>
  <c r="G40" i="2"/>
  <c r="C39" i="2"/>
  <c r="H37" i="2"/>
  <c r="E36" i="2"/>
  <c r="J34" i="2"/>
  <c r="F33" i="2"/>
  <c r="B32" i="2"/>
  <c r="G30" i="2"/>
  <c r="C29" i="2"/>
  <c r="H27" i="2"/>
  <c r="E26" i="2"/>
  <c r="J24" i="2"/>
  <c r="F23" i="2"/>
  <c r="B22" i="2"/>
  <c r="F200" i="2"/>
  <c r="I179" i="2"/>
  <c r="J163" i="2"/>
  <c r="G150" i="2"/>
  <c r="F140" i="2"/>
  <c r="G130" i="2"/>
  <c r="J120" i="2"/>
  <c r="F112" i="2"/>
  <c r="I104" i="2"/>
  <c r="H97" i="2"/>
  <c r="E90" i="2"/>
  <c r="J83" i="2"/>
  <c r="J78" i="2"/>
  <c r="A75" i="2"/>
  <c r="E70" i="2"/>
  <c r="J66" i="2"/>
  <c r="E63" i="2"/>
  <c r="E59" i="2"/>
  <c r="E57" i="2"/>
  <c r="E55" i="2"/>
  <c r="G53" i="2"/>
  <c r="J51" i="2"/>
  <c r="F50" i="2"/>
  <c r="B49" i="2"/>
  <c r="G47" i="2"/>
  <c r="C46" i="2"/>
  <c r="H44" i="2"/>
  <c r="E43" i="2"/>
  <c r="J41" i="2"/>
  <c r="F40" i="2"/>
  <c r="B39" i="2"/>
  <c r="G37" i="2"/>
  <c r="C36" i="2"/>
  <c r="H34" i="2"/>
  <c r="E33" i="2"/>
  <c r="J31" i="2"/>
  <c r="F30" i="2"/>
  <c r="B29" i="2"/>
  <c r="G27" i="2"/>
  <c r="C26" i="2"/>
  <c r="H24" i="2"/>
  <c r="E23" i="2"/>
  <c r="J21" i="2"/>
  <c r="E200" i="2"/>
  <c r="H179" i="2"/>
  <c r="A163" i="2"/>
  <c r="F150" i="2"/>
  <c r="E140" i="2"/>
  <c r="F130" i="2"/>
  <c r="H120" i="2"/>
  <c r="D112" i="2"/>
  <c r="H104" i="2"/>
  <c r="E97" i="2"/>
  <c r="D90" i="2"/>
  <c r="I83" i="2"/>
  <c r="I78" i="2"/>
  <c r="B74" i="2"/>
  <c r="C70" i="2"/>
  <c r="I66" i="2"/>
  <c r="H62" i="2"/>
  <c r="C59" i="2"/>
  <c r="C57" i="2"/>
  <c r="C55" i="2"/>
  <c r="E53" i="2"/>
  <c r="H51" i="2"/>
  <c r="E50" i="2"/>
  <c r="J48" i="2"/>
  <c r="F47" i="2"/>
  <c r="B46" i="2"/>
  <c r="G44" i="2"/>
  <c r="C43" i="2"/>
  <c r="H41" i="2"/>
  <c r="E40" i="2"/>
  <c r="J38" i="2"/>
  <c r="F37" i="2"/>
  <c r="B36" i="2"/>
  <c r="G34" i="2"/>
  <c r="C33" i="2"/>
  <c r="H31" i="2"/>
  <c r="E30" i="2"/>
  <c r="J28" i="2"/>
  <c r="F27" i="2"/>
  <c r="B26" i="2"/>
  <c r="G24" i="2"/>
  <c r="C23" i="2"/>
  <c r="H21" i="2"/>
  <c r="E20" i="2"/>
  <c r="J18" i="2"/>
  <c r="F17" i="2"/>
  <c r="B16" i="2"/>
  <c r="E193" i="2"/>
  <c r="D148" i="2"/>
  <c r="F128" i="2"/>
  <c r="H110" i="2"/>
  <c r="B96" i="2"/>
  <c r="E82" i="2"/>
  <c r="I73" i="2"/>
  <c r="I65" i="2"/>
  <c r="J58" i="2"/>
  <c r="J54" i="2"/>
  <c r="F51" i="2"/>
  <c r="G48" i="2"/>
  <c r="C47" i="2"/>
  <c r="E44" i="2"/>
  <c r="F41" i="2"/>
  <c r="G38" i="2"/>
  <c r="H35" i="2"/>
  <c r="J32" i="2"/>
  <c r="B30" i="2"/>
  <c r="C27" i="2"/>
  <c r="F193" i="2"/>
  <c r="E176" i="2"/>
  <c r="C160" i="2"/>
  <c r="F148" i="2"/>
  <c r="F138" i="2"/>
  <c r="G128" i="2"/>
  <c r="B119" i="2"/>
  <c r="I110" i="2"/>
  <c r="D103" i="2"/>
  <c r="C96" i="2"/>
  <c r="B89" i="2"/>
  <c r="H82" i="2"/>
  <c r="J77" i="2"/>
  <c r="J73" i="2"/>
  <c r="B70" i="2"/>
  <c r="A66" i="2"/>
  <c r="E62" i="2"/>
  <c r="B59" i="2"/>
  <c r="B57" i="2"/>
  <c r="B55" i="2"/>
  <c r="C53" i="2"/>
  <c r="G51" i="2"/>
  <c r="C50" i="2"/>
  <c r="H48" i="2"/>
  <c r="E47" i="2"/>
  <c r="J45" i="2"/>
  <c r="F44" i="2"/>
  <c r="B43" i="2"/>
  <c r="G41" i="2"/>
  <c r="C40" i="2"/>
  <c r="H38" i="2"/>
  <c r="E37" i="2"/>
  <c r="J35" i="2"/>
  <c r="F34" i="2"/>
  <c r="B33" i="2"/>
  <c r="G31" i="2"/>
  <c r="C30" i="2"/>
  <c r="H28" i="2"/>
  <c r="E27" i="2"/>
  <c r="J25" i="2"/>
  <c r="F24" i="2"/>
  <c r="B23" i="2"/>
  <c r="G21" i="2"/>
  <c r="C20" i="2"/>
  <c r="H18" i="2"/>
  <c r="E17" i="2"/>
  <c r="B176" i="2"/>
  <c r="B160" i="2"/>
  <c r="E138" i="2"/>
  <c r="I118" i="2"/>
  <c r="C103" i="2"/>
  <c r="J88" i="2"/>
  <c r="H77" i="2"/>
  <c r="D69" i="2"/>
  <c r="D62" i="2"/>
  <c r="J56" i="2"/>
  <c r="B53" i="2"/>
  <c r="B50" i="2"/>
  <c r="H45" i="2"/>
  <c r="J42" i="2"/>
  <c r="B40" i="2"/>
  <c r="C37" i="2"/>
  <c r="E34" i="2"/>
  <c r="F31" i="2"/>
  <c r="G28" i="2"/>
  <c r="C17" i="2"/>
  <c r="G20" i="2"/>
  <c r="J17" i="2"/>
  <c r="E24" i="2"/>
  <c r="G17" i="2"/>
  <c r="C18" i="2"/>
  <c r="H25" i="2"/>
  <c r="G5" i="2" l="1"/>
  <c r="G8" i="2"/>
  <c r="G12" i="2" l="1"/>
  <c r="G10" i="2"/>
  <c r="G11" i="2" s="1"/>
  <c r="G9" i="2"/>
  <c r="G6" i="2"/>
  <c r="G7" i="2" s="1"/>
  <c r="G13" i="2"/>
  <c r="B5" i="1"/>
  <c r="B6" i="1" s="1"/>
</calcChain>
</file>

<file path=xl/sharedStrings.xml><?xml version="1.0" encoding="utf-8"?>
<sst xmlns="http://schemas.openxmlformats.org/spreadsheetml/2006/main" count="262" uniqueCount="223">
  <si>
    <t>ПЧК — B2B прайс-лист и выбор позиций для заказа</t>
  </si>
  <si>
    <t>Поставьте количество в колонке «Кол-во в заказ». Выбранные позиции автоматически попадут на лист «Бланк заказа». В макете уже заполнены 3 тестовые строки — их можно удалить.</t>
  </si>
  <si>
    <t>Уровень цен для расчета</t>
  </si>
  <si>
    <t>Базовый</t>
  </si>
  <si>
    <t>Предварительный уровень по сумме</t>
  </si>
  <si>
    <t>Проверка уровня</t>
  </si>
  <si>
    <t>Важно</t>
  </si>
  <si>
    <t>Итоговые цены, наличие, бонусы и специальные условия подтверждаются менеджером. Прайс-лист не является публичной офертой.</t>
  </si>
  <si>
    <t>Категория</t>
  </si>
  <si>
    <t>Артикул</t>
  </si>
  <si>
    <t>Наименование</t>
  </si>
  <si>
    <t>Краткое описание</t>
  </si>
  <si>
    <t>Фасовка</t>
  </si>
  <si>
    <t>Ед. изм.</t>
  </si>
  <si>
    <t>Мин. партия</t>
  </si>
  <si>
    <t>Кратность</t>
  </si>
  <si>
    <t>Опт</t>
  </si>
  <si>
    <t>Опт+</t>
  </si>
  <si>
    <t>Партнер</t>
  </si>
  <si>
    <t>Ключевой партнер</t>
  </si>
  <si>
    <t>Статус</t>
  </si>
  <si>
    <t>Комментарий</t>
  </si>
  <si>
    <t>Кол-во в заказ</t>
  </si>
  <si>
    <t>Комментарий к заказу</t>
  </si>
  <si>
    <t>Цена для расчета</t>
  </si>
  <si>
    <t>Сумма без НДС</t>
  </si>
  <si>
    <t>№ в заказе</t>
  </si>
  <si>
    <t>Бланк заказа — автоматически собирается из листа «Прайс-лист»</t>
  </si>
  <si>
    <t>Заполните количество на листе «Прайс-лист». В этот бланк автоматически попадают только выбранные позиции. В макете для проверки уже есть 3 тестовые позиции.</t>
  </si>
  <si>
    <t>Дата заказа</t>
  </si>
  <si>
    <t>Итог заказа</t>
  </si>
  <si>
    <t>Название клиента</t>
  </si>
  <si>
    <t>Город</t>
  </si>
  <si>
    <t>Контактное лицо</t>
  </si>
  <si>
    <t>Телефон / email</t>
  </si>
  <si>
    <t>НДС</t>
  </si>
  <si>
    <t>Менеджер</t>
  </si>
  <si>
    <t>Условия оплаты</t>
  </si>
  <si>
    <t>100% предоплата / по договору</t>
  </si>
  <si>
    <t>Итого с НДС</t>
  </si>
  <si>
    <t>Количество выбранных SKU</t>
  </si>
  <si>
    <t>Текущий уровень</t>
  </si>
  <si>
    <t>Следующий порог</t>
  </si>
  <si>
    <t>До следующего уровня осталось</t>
  </si>
  <si>
    <t>Проверка минимального заказа</t>
  </si>
  <si>
    <t>Возможные партнерские преимущества</t>
  </si>
  <si>
    <t>№</t>
  </si>
  <si>
    <t>Цена без НДС</t>
  </si>
  <si>
    <t>Кол-во</t>
  </si>
  <si>
    <t>Цены, наличие товара, бонусы и специальные условия подтверждаются менеджером после проверки заказа. Прайс-лист не является публичной офертой.</t>
  </si>
  <si>
    <t>Партнерская программа регулярных закупок ПЧК</t>
  </si>
  <si>
    <t>Больше регулярности — больше партнерских преимуществ</t>
  </si>
  <si>
    <t>Мы обновили подход к работе с B2B-клиентами. Условия зависят от суммы заказа, регулярности закупок, роста объема, ширины ассортимента и платежной дисциплины.</t>
  </si>
  <si>
    <t>1. Ценовые уровни</t>
  </si>
  <si>
    <t>Уровень</t>
  </si>
  <si>
    <t>Сумма заказа без НДС</t>
  </si>
  <si>
    <t>Что означает</t>
  </si>
  <si>
    <t>Индивидуальные условия</t>
  </si>
  <si>
    <t>от 20 000 до 50 000 ₽</t>
  </si>
  <si>
    <t>стартовый заказ, базовые условия</t>
  </si>
  <si>
    <t>нет</t>
  </si>
  <si>
    <t>от 50 000 ₽</t>
  </si>
  <si>
    <t>стандартный оптовый уровень</t>
  </si>
  <si>
    <t>от 150 000 ₽</t>
  </si>
  <si>
    <t>улучшенный уровень для увеличенного заказа</t>
  </si>
  <si>
    <t>только как исключение</t>
  </si>
  <si>
    <t>от 300 000 ₽</t>
  </si>
  <si>
    <t>расширенные партнерские преимущества</t>
  </si>
  <si>
    <t>частично возможны</t>
  </si>
  <si>
    <t>от 500 000 ₽</t>
  </si>
  <si>
    <t>индивидуальные условия и возможность ретробонуса</t>
  </si>
  <si>
    <t>да</t>
  </si>
  <si>
    <t>2. Как получить больше преимуществ</t>
  </si>
  <si>
    <t>Механика</t>
  </si>
  <si>
    <t>Что нужно сделать</t>
  </si>
  <si>
    <t>Что может получить клиент</t>
  </si>
  <si>
    <t>Ценовые уровни</t>
  </si>
  <si>
    <t>увеличить сумму заказа</t>
  </si>
  <si>
    <t>перейти на более выгодный уровень</t>
  </si>
  <si>
    <t>уровень считается от суммы без НДС</t>
  </si>
  <si>
    <t>Бонус за регулярность</t>
  </si>
  <si>
    <t>закупать каждый месяц</t>
  </si>
  <si>
    <t>товарный бонус на следующий заказ</t>
  </si>
  <si>
    <t>регулярность считается от 20 000 ₽ без НДС</t>
  </si>
  <si>
    <t>Бонус за рост заказа</t>
  </si>
  <si>
    <t>увеличить сумму к прошлому заказу</t>
  </si>
  <si>
    <t>дополнительный товарный бонус</t>
  </si>
  <si>
    <t>расчет подтверждает менеджер</t>
  </si>
  <si>
    <t>Бонус за ширину ассортимента</t>
  </si>
  <si>
    <t>добавить больше SKU в заказ</t>
  </si>
  <si>
    <t>образцы, бонусные позиции, расширенные условия</t>
  </si>
  <si>
    <t>бонусы не автоматические</t>
  </si>
  <si>
    <t>Ретробонус</t>
  </si>
  <si>
    <t>выполнять согласованный план закупок</t>
  </si>
  <si>
    <t>бонус по итогам месяца или квартала</t>
  </si>
  <si>
    <t>для Партнера и Ключевого партнера</t>
  </si>
  <si>
    <t>3. Бонус за регулярность</t>
  </si>
  <si>
    <t>Регулярность закупок</t>
  </si>
  <si>
    <t>Возможное преимущество</t>
  </si>
  <si>
    <t>Уточнение</t>
  </si>
  <si>
    <t>2 месяца подряд</t>
  </si>
  <si>
    <t>образцы новинок или небольшой товарный бонус в следующий заказ</t>
  </si>
  <si>
    <t>заказы от 20 000 ₽ без НДС</t>
  </si>
  <si>
    <t>3 месяца подряд</t>
  </si>
  <si>
    <t>повышенный товарный бонус в следующий заказ</t>
  </si>
  <si>
    <t>при отсутствии просрочки</t>
  </si>
  <si>
    <t>6 месяцев подряд</t>
  </si>
  <si>
    <t>возможность индивидуальных условий и участия в ретробонусной программе</t>
  </si>
  <si>
    <t>согласуется индивидуально</t>
  </si>
  <si>
    <t>4. Бонус за рост заказа</t>
  </si>
  <si>
    <t>Рост к предыдущему заказу</t>
  </si>
  <si>
    <t>Защита от некорректного расчета</t>
  </si>
  <si>
    <t>рост 15%</t>
  </si>
  <si>
    <t>сравнение с предыдущей сопоставимой закупкой</t>
  </si>
  <si>
    <t>рост 25%</t>
  </si>
  <si>
    <t>условия подтверждает менеджер</t>
  </si>
  <si>
    <t>рост 40%+</t>
  </si>
  <si>
    <t>индивидуальный бонус или расширенные условия</t>
  </si>
  <si>
    <t>5. Бонус за ширину ассортимента</t>
  </si>
  <si>
    <t>Количество SKU в заказе</t>
  </si>
  <si>
    <t>Коммерческий смысл</t>
  </si>
  <si>
    <t>от 10 SKU</t>
  </si>
  <si>
    <t>образцы новинок для тестирования</t>
  </si>
  <si>
    <t>от 20 SKU</t>
  </si>
  <si>
    <t>от 30 SKU</t>
  </si>
  <si>
    <t>6. Ретробонус</t>
  </si>
  <si>
    <t>Уровень клиента</t>
  </si>
  <si>
    <t>не применяется</t>
  </si>
  <si>
    <t>стартовый уровень</t>
  </si>
  <si>
    <t>стандартный опт</t>
  </si>
  <si>
    <t>возможен только как исключение</t>
  </si>
  <si>
    <t>по решению руководителя</t>
  </si>
  <si>
    <t>может быть согласован по итогам периода</t>
  </si>
  <si>
    <t>месяц или квартал</t>
  </si>
  <si>
    <t>может быть согласован индивидуально</t>
  </si>
  <si>
    <t>при регулярности и платежной дисциплине</t>
  </si>
  <si>
    <t>7. Образцы и новинки</t>
  </si>
  <si>
    <t>Основание</t>
  </si>
  <si>
    <t>заказ от уровня Опт+</t>
  </si>
  <si>
    <t>образцы новинок</t>
  </si>
  <si>
    <t>по согласованию с менеджером</t>
  </si>
  <si>
    <t>расширение ассортимента</t>
  </si>
  <si>
    <t>дегустационный набор</t>
  </si>
  <si>
    <t>под профиль клиента</t>
  </si>
  <si>
    <t>регулярные закупки</t>
  </si>
  <si>
    <t>ранний доступ к новым позициям</t>
  </si>
  <si>
    <t>не является обязательным бонусом</t>
  </si>
  <si>
    <t>крупный заказ</t>
  </si>
  <si>
    <t>индивидуальная подборка образцов</t>
  </si>
  <si>
    <t>с учетом задач клиента</t>
  </si>
  <si>
    <t>8. Ограничения программы</t>
  </si>
  <si>
    <t>Условие</t>
  </si>
  <si>
    <t>Правило</t>
  </si>
  <si>
    <t>есть просроченная задолженность</t>
  </si>
  <si>
    <t>бонусы и специальные условия не применяются</t>
  </si>
  <si>
    <t>до полного закрытия долга</t>
  </si>
  <si>
    <t>предоставлена отсрочка платежа</t>
  </si>
  <si>
    <t>бонусы могут быть ограничены</t>
  </si>
  <si>
    <t>специальная цена</t>
  </si>
  <si>
    <t>дополнительные бонусы согласуются отдельно</t>
  </si>
  <si>
    <t>без автоматического суммирования</t>
  </si>
  <si>
    <t>акционная или распродажная позиция</t>
  </si>
  <si>
    <t>бонусы могут не применяться</t>
  </si>
  <si>
    <t>по решению менеджера</t>
  </si>
  <si>
    <t>индивидуальные условия</t>
  </si>
  <si>
    <t>финально подтверждаются менеджером</t>
  </si>
  <si>
    <t>после проверки заказа</t>
  </si>
  <si>
    <t>9. Как воспользоваться программой</t>
  </si>
  <si>
    <t>Шаг</t>
  </si>
  <si>
    <t>Действие</t>
  </si>
  <si>
    <t>Результат</t>
  </si>
  <si>
    <t>1</t>
  </si>
  <si>
    <t>Укажите количество на листе «Прайс-лист»</t>
  </si>
  <si>
    <t>бланк заказа соберется автоматически</t>
  </si>
  <si>
    <t>2</t>
  </si>
  <si>
    <t>Проверьте сумму и предварительный уровень</t>
  </si>
  <si>
    <t>будет виден добор до следующего уровня</t>
  </si>
  <si>
    <t>3</t>
  </si>
  <si>
    <t>Отправьте файл менеджеру</t>
  </si>
  <si>
    <t>менеджер проверит наличие, цены и бонусы</t>
  </si>
  <si>
    <t>4</t>
  </si>
  <si>
    <t>Согласуйте регулярный формат закупок</t>
  </si>
  <si>
    <t>можно получить больше партнерских преимуществ</t>
  </si>
  <si>
    <t>Хотите получать больше преимуществ от регулярных закупок? Заполните заказ или напишите менеджеру — мы рассчитаем ваш уровень, возможные бонусы и условия следующей закупки.</t>
  </si>
  <si>
    <t>Условия работы</t>
  </si>
  <si>
    <t>1. Как оформить заказ</t>
  </si>
  <si>
    <t>Укажите количество на листе «Прайс-лист». Выбранные позиции автоматически попадут в «Бланк заказа». После этого отправьте файл менеджеру.</t>
  </si>
  <si>
    <t>2. Минимальный заказ</t>
  </si>
  <si>
    <t>Минимальная сумма заказа — 20 000 ₽ без НДС. Ценовой уровень рассчитывается от суммы заказа без НДС.</t>
  </si>
  <si>
    <t>3. Цены и НДС</t>
  </si>
  <si>
    <t>Цены в прайсе указаны без НДС. В бланке заказа НДС рассчитывается отдельной строкой. Итоговая сумма отображается с НДС.</t>
  </si>
  <si>
    <t>4. Подтверждение заказа</t>
  </si>
  <si>
    <t>Цены, наличие, бонусы и специальные условия подтверждаются менеджером. Прайс-лист не является публичной офертой.</t>
  </si>
  <si>
    <t>5. Оплата</t>
  </si>
  <si>
    <t>Для новых клиентов первая отгрузка осуществляется по 100% предоплате. Индивидуальные условия возможны после согласования и при отсутствии задолженности.</t>
  </si>
  <si>
    <t>6. Отсрочка платежа</t>
  </si>
  <si>
    <t>Отсрочка может быть согласована индивидуально для регулярных клиентов с положительной историей оплат. При отсрочке бонусы могут быть ограничены.</t>
  </si>
  <si>
    <t>7. Доставка</t>
  </si>
  <si>
    <t>Условия доставки согласуются с менеджером после подтверждения заказа. Возможны самовывоз, транспортная компания или иной согласованный способ.</t>
  </si>
  <si>
    <t>8. Партнерские преимущества</t>
  </si>
  <si>
    <t>Бонусы, ретробонусы, образцы и специальные условия применяются после подтверждения менеджером и доступны только клиентам без просроченной задолженности.</t>
  </si>
  <si>
    <t>Ставка НДС</t>
  </si>
  <si>
    <t>Порог без НДС</t>
  </si>
  <si>
    <t>Минимальный заказ / базовый уровень</t>
  </si>
  <si>
    <t>Стандартный оптовый уровень</t>
  </si>
  <si>
    <t>Усиленные условия</t>
  </si>
  <si>
    <t>Частично индивидуальные условия</t>
  </si>
  <si>
    <t>Кол-во SKU</t>
  </si>
  <si>
    <t>Подсказка</t>
  </si>
  <si>
    <t>10+</t>
  </si>
  <si>
    <t>Возможны образцы новинок</t>
  </si>
  <si>
    <t>20+</t>
  </si>
  <si>
    <t>Возможен бонус за ширину ассортимента</t>
  </si>
  <si>
    <t>30+</t>
  </si>
  <si>
    <t>Возможен расширенный бонус за ширину ассортимента</t>
  </si>
  <si>
    <t>+2% товарный бонус</t>
  </si>
  <si>
    <t>+3% товарный бонус</t>
  </si>
  <si>
    <t>исключается сравнение со случайно малым заказом</t>
  </si>
  <si>
    <t>повышенный товарный бонус (+4% от суммы заказа) или индивидуальное условие</t>
  </si>
  <si>
    <t>товарный бонус (+2-3% от суммы заказа) или расширенный набор образцов</t>
  </si>
  <si>
    <t xml:space="preserve">увеличивает долю ПЧК в ассортименте </t>
  </si>
  <si>
    <t xml:space="preserve"> расширяем будущую закупку</t>
  </si>
  <si>
    <t>широкая матрица - залог хороших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</si>
</sst>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₽&quot;"/>
    <numFmt numFmtId="165" formatCode="dd\.mm\.yyyy"/>
  </numFmts>
  <fonts count="13" x14ac:knownFonts="1">
    <font>
      <sz val="11"/>
      <name val="Calibri"/>
      <charset val="1"/>
    </font>
    <font>
      <b/>
      <sz val="10"/>
      <color rgb="FFFFFFFF"/>
      <name val="Aptos"/>
    </font>
    <font>
      <sz val="10"/>
      <name val="Aptos"/>
    </font>
    <font>
      <i/>
      <sz val="11"/>
      <color rgb="FF333333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111827"/>
      <name val="Calibri"/>
      <family val="2"/>
    </font>
    <font>
      <i/>
      <sz val="9"/>
      <color rgb="FF374151"/>
      <name val="Calibri"/>
      <family val="2"/>
    </font>
    <font>
      <b/>
      <sz val="10"/>
      <color rgb="FFFFFFFF"/>
      <name val="Calibri"/>
      <family val="2"/>
    </font>
    <font>
      <b/>
      <sz val="10"/>
      <color rgb="FF111827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3D"/>
        <bgColor rgb="FF184C3A"/>
      </patternFill>
    </fill>
    <fill>
      <patternFill patternType="solid">
        <fgColor rgb="FFF7F1E3"/>
        <bgColor rgb="FFF6F1E7"/>
      </patternFill>
    </fill>
    <fill>
      <patternFill patternType="solid">
        <fgColor rgb="FFEFE4C8"/>
        <bgColor rgb="FFFFF2CC"/>
      </patternFill>
    </fill>
    <fill>
      <patternFill patternType="solid">
        <fgColor rgb="FFFFF2CC"/>
        <bgColor rgb="FFF7F1E3"/>
      </patternFill>
    </fill>
    <fill>
      <patternFill patternType="solid">
        <fgColor rgb="FFF2F2F2"/>
        <bgColor rgb="FFF6F1E7"/>
      </patternFill>
    </fill>
    <fill>
      <patternFill patternType="solid">
        <fgColor rgb="FF184C3A"/>
        <bgColor rgb="FF1F4E3D"/>
      </patternFill>
    </fill>
    <fill>
      <patternFill patternType="solid">
        <fgColor rgb="FFD9A441"/>
        <bgColor rgb="FFFF8080"/>
      </patternFill>
    </fill>
    <fill>
      <patternFill patternType="solid">
        <fgColor rgb="FFF6F1E7"/>
        <bgColor rgb="FFF7F1E3"/>
      </patternFill>
    </fill>
    <fill>
      <patternFill patternType="solid">
        <fgColor rgb="FF2F6B4F"/>
        <bgColor rgb="FF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1" fillId="9" borderId="0" xfId="0" applyFont="1" applyFill="1" applyAlignment="1">
      <alignment vertical="center" wrapText="1"/>
    </xf>
    <xf numFmtId="0" fontId="6" fillId="10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vertical="center" wrapText="1"/>
    </xf>
    <xf numFmtId="0" fontId="8" fillId="8" borderId="0" xfId="0" applyFont="1" applyFill="1" applyAlignment="1">
      <alignment vertical="top" wrapText="1"/>
    </xf>
    <xf numFmtId="0" fontId="7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4" fillId="4" borderId="0" xfId="0" applyFont="1" applyFill="1"/>
    <xf numFmtId="0" fontId="0" fillId="5" borderId="0" xfId="0" applyFill="1"/>
    <xf numFmtId="0" fontId="5" fillId="6" borderId="0" xfId="0" applyFont="1" applyFill="1"/>
    <xf numFmtId="0" fontId="6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0" fontId="6" fillId="2" borderId="0" xfId="0" applyFont="1" applyFill="1" applyAlignment="1">
      <alignment horizontal="center"/>
    </xf>
    <xf numFmtId="164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wrapText="1"/>
    </xf>
    <xf numFmtId="0" fontId="7" fillId="7" borderId="0" xfId="0" applyFont="1" applyFill="1" applyAlignment="1">
      <alignment horizontal="left" vertical="top" wrapText="1"/>
    </xf>
    <xf numFmtId="0" fontId="8" fillId="8" borderId="0" xfId="0" applyFont="1" applyFill="1" applyAlignment="1">
      <alignment vertical="top" wrapText="1"/>
    </xf>
    <xf numFmtId="0" fontId="9" fillId="9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6" fillId="10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top" wrapText="1"/>
    </xf>
    <xf numFmtId="0" fontId="10" fillId="7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0" fontId="10" fillId="7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/>
    <xf numFmtId="9" fontId="1" fillId="2" borderId="0" xfId="0" applyNumberFormat="1" applyFont="1" applyFill="1"/>
    <xf numFmtId="0" fontId="6" fillId="2" borderId="0" xfId="0" applyFont="1" applyFill="1"/>
    <xf numFmtId="164" fontId="0" fillId="0" borderId="0" xfId="0" applyNumberFormat="1"/>
    <xf numFmtId="0" fontId="4" fillId="4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/>
    </xf>
    <xf numFmtId="0" fontId="12" fillId="0" borderId="0" xfId="0" quotePrefix="1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165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4F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1E7"/>
      <rgbColor rgb="FFF7F1E3"/>
      <rgbColor rgb="FFFFFF99"/>
      <rgbColor rgb="FF99CCFF"/>
      <rgbColor rgb="FFFF99CC"/>
      <rgbColor rgb="FFCC99FF"/>
      <rgbColor rgb="FFEFE4C8"/>
      <rgbColor rgb="FF3366FF"/>
      <rgbColor rgb="FF33CCCC"/>
      <rgbColor rgb="FF99CC00"/>
      <rgbColor rgb="FFFFCC00"/>
      <rgbColor rgb="FFD9A441"/>
      <rgbColor rgb="FFFF6600"/>
      <rgbColor rgb="FF666699"/>
      <rgbColor rgb="FF969696"/>
      <rgbColor rgb="FF184C3A"/>
      <rgbColor rgb="FF339966"/>
      <rgbColor rgb="FF111827"/>
      <rgbColor rgb="FF1F4E3D"/>
      <rgbColor rgb="FF993300"/>
      <rgbColor rgb="FF993366"/>
      <rgbColor rgb="FF3741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0"/>
  <sheetViews>
    <sheetView zoomScale="98" zoomScaleNormal="98" workbookViewId="0">
      <selection activeCell="E11" sqref="E11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14" customWidth="1"/>
    <col min="4" max="4" width="28" customWidth="1"/>
    <col min="5" max="5" width="36" customWidth="1"/>
    <col min="6" max="6" width="12" customWidth="1"/>
    <col min="7" max="7" width="10" customWidth="1"/>
    <col min="8" max="9" width="11" customWidth="1"/>
    <col min="10" max="14" width="13" customWidth="1"/>
    <col min="15" max="15" width="14" customWidth="1"/>
    <col min="16" max="16" width="22" customWidth="1"/>
    <col min="17" max="17" width="14" customWidth="1"/>
    <col min="18" max="18" width="22" customWidth="1"/>
    <col min="19" max="20" width="15" customWidth="1"/>
    <col min="21" max="21" width="11" customWidth="1"/>
  </cols>
  <sheetData>
    <row r="1" spans="1:26" ht="1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0"/>
      <c r="W1" s="10"/>
      <c r="X1" s="10"/>
      <c r="Y1" s="10"/>
      <c r="Z1" s="10"/>
    </row>
    <row r="2" spans="1:26" ht="15" customHeight="1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4" spans="1:26" ht="13.5" customHeight="1" x14ac:dyDescent="0.2">
      <c r="A4" s="11" t="s">
        <v>2</v>
      </c>
      <c r="B4" s="12" t="s">
        <v>3</v>
      </c>
    </row>
    <row r="5" spans="1:26" ht="13.5" customHeight="1" x14ac:dyDescent="0.2">
      <c r="A5" s="11" t="s">
        <v>4</v>
      </c>
      <c r="B5" s="12" t="str">
        <f>IF('Бланк заказа'!$G$5&lt;20000,"Ниже минимума",IF('Бланк заказа'!$G$5&lt;50000,"Базовый",IF('Бланк заказа'!$G$5&lt;150000,"Опт",IF('Бланк заказа'!$G$5&lt;300000,"Опт+",IF('Бланк заказа'!$G$5&lt;500000,"Партнер","Ключевой партнер")))))</f>
        <v>Ниже минимума</v>
      </c>
    </row>
    <row r="6" spans="1:26" ht="13.5" customHeight="1" x14ac:dyDescent="0.2">
      <c r="A6" s="11" t="s">
        <v>5</v>
      </c>
      <c r="B6" s="12" t="str">
        <f>IF(B4=B5,"Уровень соответствует сумме","Проверьте: по сумме заказа предварительный уровень — "&amp;B5)</f>
        <v>Проверьте: по сумме заказа предварительный уровень — Ниже минимума</v>
      </c>
    </row>
    <row r="7" spans="1:26" ht="15" customHeight="1" x14ac:dyDescent="0.2">
      <c r="A7" s="11" t="s">
        <v>6</v>
      </c>
      <c r="B7" s="13" t="s">
        <v>7</v>
      </c>
    </row>
    <row r="10" spans="1:26" ht="30" customHeight="1" x14ac:dyDescent="0.2">
      <c r="A10" s="14" t="s">
        <v>8</v>
      </c>
      <c r="B10" s="14" t="s">
        <v>9</v>
      </c>
      <c r="C10" s="14" t="s">
        <v>10</v>
      </c>
      <c r="D10" s="14" t="s">
        <v>11</v>
      </c>
      <c r="E10" s="14" t="s">
        <v>12</v>
      </c>
      <c r="F10" s="14" t="s">
        <v>13</v>
      </c>
      <c r="G10" s="14" t="s">
        <v>14</v>
      </c>
      <c r="H10" s="14" t="s">
        <v>15</v>
      </c>
      <c r="I10" s="14" t="s">
        <v>3</v>
      </c>
      <c r="J10" s="14" t="s">
        <v>16</v>
      </c>
      <c r="K10" s="14" t="s">
        <v>17</v>
      </c>
      <c r="L10" s="14" t="s">
        <v>18</v>
      </c>
      <c r="M10" s="14" t="s">
        <v>19</v>
      </c>
      <c r="N10" s="14" t="s">
        <v>20</v>
      </c>
      <c r="O10" s="14" t="s">
        <v>21</v>
      </c>
      <c r="P10" s="14" t="s">
        <v>22</v>
      </c>
      <c r="Q10" s="14" t="s">
        <v>23</v>
      </c>
      <c r="R10" s="14" t="s">
        <v>24</v>
      </c>
      <c r="S10" s="14" t="s">
        <v>25</v>
      </c>
      <c r="T10" s="14" t="s">
        <v>26</v>
      </c>
    </row>
    <row r="11" spans="1:26" ht="15" customHeight="1" x14ac:dyDescent="0.2">
      <c r="A11" s="15"/>
      <c r="B11" s="15"/>
      <c r="C11" s="15"/>
      <c r="D11" s="15"/>
      <c r="E11" s="15"/>
      <c r="F11" s="15"/>
      <c r="G11" s="15"/>
      <c r="H11" s="15"/>
      <c r="I11" s="16"/>
      <c r="J11" s="16"/>
      <c r="K11" s="16"/>
      <c r="L11" s="16"/>
      <c r="M11" s="16"/>
      <c r="N11" s="15"/>
      <c r="O11" s="15"/>
      <c r="P11" s="17"/>
      <c r="Q11" s="17"/>
      <c r="R11" s="16" t="str">
        <f>IF($P11&gt;0,CHOOSE(MATCH($B$4,'Служебный лист'!$A$4:$A$8,0),I11,J11,K11,L11,M11),"")</f>
        <v/>
      </c>
      <c r="S11" s="16">
        <f t="shared" ref="S11:S74" si="0">IFERROR($P11*$R11,0)</f>
        <v>0</v>
      </c>
      <c r="T11" s="15" t="str">
        <f>IF($P11&gt;0,COUNTIF($P$11:P11,"&gt;0"),"")</f>
        <v/>
      </c>
    </row>
    <row r="12" spans="1:26" ht="15" customHeight="1" x14ac:dyDescent="0.2">
      <c r="A12" s="15"/>
      <c r="B12" s="15"/>
      <c r="C12" s="15"/>
      <c r="D12" s="15"/>
      <c r="E12" s="15"/>
      <c r="F12" s="15"/>
      <c r="G12" s="15"/>
      <c r="H12" s="15"/>
      <c r="I12" s="16"/>
      <c r="J12" s="16"/>
      <c r="K12" s="16"/>
      <c r="L12" s="16"/>
      <c r="M12" s="16"/>
      <c r="N12" s="15"/>
      <c r="O12" s="15"/>
      <c r="P12" s="17"/>
      <c r="Q12" s="17"/>
      <c r="R12" s="16" t="str">
        <f>IF($P12&gt;0,CHOOSE(MATCH($B$4,'Служебный лист'!$A$4:$A$8,0),I12,J12,K12,L12,M12),"")</f>
        <v/>
      </c>
      <c r="S12" s="16">
        <f t="shared" si="0"/>
        <v>0</v>
      </c>
      <c r="T12" s="15" t="str">
        <f>IF($P12&gt;0,COUNTIF($P$11:P12,"&gt;0"),"")</f>
        <v/>
      </c>
    </row>
    <row r="13" spans="1:26" ht="15" customHeight="1" x14ac:dyDescent="0.2">
      <c r="A13" s="15"/>
      <c r="B13" s="15"/>
      <c r="C13" s="15"/>
      <c r="D13" s="15"/>
      <c r="E13" s="15"/>
      <c r="F13" s="15"/>
      <c r="G13" s="15"/>
      <c r="H13" s="15"/>
      <c r="I13" s="16"/>
      <c r="J13" s="16"/>
      <c r="K13" s="16"/>
      <c r="L13" s="16"/>
      <c r="M13" s="16"/>
      <c r="N13" s="15"/>
      <c r="O13" s="15"/>
      <c r="P13" s="17"/>
      <c r="Q13" s="17"/>
      <c r="R13" s="16" t="str">
        <f>IF($P13&gt;0,CHOOSE(MATCH($B$4,'Служебный лист'!$A$4:$A$8,0),I13,J13,K13,L13,M13),"")</f>
        <v/>
      </c>
      <c r="S13" s="16">
        <f t="shared" si="0"/>
        <v>0</v>
      </c>
      <c r="T13" s="15" t="str">
        <f>IF($P13&gt;0,COUNTIF($P$11:P13,"&gt;0"),"")</f>
        <v/>
      </c>
    </row>
    <row r="14" spans="1:26" ht="15" customHeight="1" x14ac:dyDescent="0.2">
      <c r="A14" s="15"/>
      <c r="B14" s="15"/>
      <c r="C14" s="15"/>
      <c r="D14" s="15"/>
      <c r="E14" s="15"/>
      <c r="F14" s="15"/>
      <c r="G14" s="15"/>
      <c r="H14" s="15"/>
      <c r="I14" s="16"/>
      <c r="J14" s="16"/>
      <c r="K14" s="16"/>
      <c r="L14" s="16"/>
      <c r="M14" s="16"/>
      <c r="N14" s="15"/>
      <c r="O14" s="15"/>
      <c r="P14" s="17"/>
      <c r="Q14" s="17"/>
      <c r="R14" s="16" t="str">
        <f>IF($P14&gt;0,CHOOSE(MATCH($B$4,'Служебный лист'!$A$4:$A$8,0),I14,J14,K14,L14,M14),"")</f>
        <v/>
      </c>
      <c r="S14" s="16">
        <f t="shared" si="0"/>
        <v>0</v>
      </c>
      <c r="T14" s="15" t="str">
        <f>IF($P14&gt;0,COUNTIF($P$11:P14,"&gt;0"),"")</f>
        <v/>
      </c>
    </row>
    <row r="15" spans="1:26" ht="15" customHeight="1" x14ac:dyDescent="0.2">
      <c r="A15" s="15"/>
      <c r="B15" s="15"/>
      <c r="C15" s="15"/>
      <c r="D15" s="15"/>
      <c r="E15" s="15"/>
      <c r="F15" s="15"/>
      <c r="G15" s="15"/>
      <c r="H15" s="15"/>
      <c r="I15" s="16"/>
      <c r="J15" s="16"/>
      <c r="K15" s="16"/>
      <c r="L15" s="16"/>
      <c r="M15" s="16"/>
      <c r="N15" s="15"/>
      <c r="O15" s="15"/>
      <c r="P15" s="17"/>
      <c r="Q15" s="17"/>
      <c r="R15" s="16" t="str">
        <f>IF($P15&gt;0,CHOOSE(MATCH($B$4,'Служебный лист'!$A$4:$A$8,0),I15,J15,K15,L15,M15),"")</f>
        <v/>
      </c>
      <c r="S15" s="16">
        <f t="shared" si="0"/>
        <v>0</v>
      </c>
      <c r="T15" s="15" t="str">
        <f>IF($P15&gt;0,COUNTIF($P$11:P15,"&gt;0"),"")</f>
        <v/>
      </c>
    </row>
    <row r="16" spans="1:26" ht="15" customHeight="1" x14ac:dyDescent="0.2">
      <c r="A16" s="15"/>
      <c r="B16" s="15"/>
      <c r="C16" s="15"/>
      <c r="D16" s="15"/>
      <c r="E16" s="15"/>
      <c r="F16" s="15"/>
      <c r="G16" s="15"/>
      <c r="H16" s="15"/>
      <c r="I16" s="16"/>
      <c r="J16" s="16"/>
      <c r="K16" s="16"/>
      <c r="L16" s="16"/>
      <c r="M16" s="16"/>
      <c r="N16" s="15"/>
      <c r="O16" s="15"/>
      <c r="P16" s="17"/>
      <c r="Q16" s="17"/>
      <c r="R16" s="16" t="str">
        <f>IF($P16&gt;0,CHOOSE(MATCH($B$4,'Служебный лист'!$A$4:$A$8,0),I16,J16,K16,L16,M16),"")</f>
        <v/>
      </c>
      <c r="S16" s="16">
        <f t="shared" si="0"/>
        <v>0</v>
      </c>
      <c r="T16" s="15" t="str">
        <f>IF($P16&gt;0,COUNTIF($P$11:P16,"&gt;0"),"")</f>
        <v/>
      </c>
    </row>
    <row r="17" spans="1:20" ht="15" customHeight="1" x14ac:dyDescent="0.2">
      <c r="A17" s="15"/>
      <c r="B17" s="15"/>
      <c r="C17" s="15"/>
      <c r="D17" s="15"/>
      <c r="E17" s="15"/>
      <c r="F17" s="15"/>
      <c r="G17" s="15"/>
      <c r="H17" s="15"/>
      <c r="I17" s="16"/>
      <c r="J17" s="16"/>
      <c r="K17" s="16"/>
      <c r="L17" s="16"/>
      <c r="M17" s="16"/>
      <c r="N17" s="15"/>
      <c r="O17" s="15"/>
      <c r="P17" s="17"/>
      <c r="Q17" s="17"/>
      <c r="R17" s="16" t="str">
        <f>IF($P17&gt;0,CHOOSE(MATCH($B$4,'Служебный лист'!$A$4:$A$8,0),I17,J17,K17,L17,M17),"")</f>
        <v/>
      </c>
      <c r="S17" s="16">
        <f t="shared" si="0"/>
        <v>0</v>
      </c>
      <c r="T17" s="15" t="str">
        <f>IF($P17&gt;0,COUNTIF($P$11:P17,"&gt;0"),"")</f>
        <v/>
      </c>
    </row>
    <row r="18" spans="1:20" ht="15" customHeight="1" x14ac:dyDescent="0.2">
      <c r="A18" s="15"/>
      <c r="B18" s="15"/>
      <c r="C18" s="15"/>
      <c r="D18" s="15"/>
      <c r="E18" s="15"/>
      <c r="F18" s="15"/>
      <c r="G18" s="15"/>
      <c r="H18" s="15"/>
      <c r="I18" s="16"/>
      <c r="J18" s="16"/>
      <c r="K18" s="16"/>
      <c r="L18" s="16"/>
      <c r="M18" s="16"/>
      <c r="N18" s="15"/>
      <c r="O18" s="15"/>
      <c r="P18" s="17"/>
      <c r="Q18" s="17"/>
      <c r="R18" s="16" t="str">
        <f>IF($P18&gt;0,CHOOSE(MATCH($B$4,'Служебный лист'!$A$4:$A$8,0),I18,J18,K18,L18,M18),"")</f>
        <v/>
      </c>
      <c r="S18" s="16">
        <f t="shared" si="0"/>
        <v>0</v>
      </c>
      <c r="T18" s="15" t="str">
        <f>IF($P18&gt;0,COUNTIF($P$11:P18,"&gt;0"),"")</f>
        <v/>
      </c>
    </row>
    <row r="19" spans="1:20" ht="15" customHeight="1" x14ac:dyDescent="0.2">
      <c r="A19" s="15"/>
      <c r="B19" s="15"/>
      <c r="C19" s="15"/>
      <c r="D19" s="15"/>
      <c r="E19" s="15"/>
      <c r="F19" s="15"/>
      <c r="G19" s="15"/>
      <c r="H19" s="15"/>
      <c r="I19" s="16"/>
      <c r="J19" s="16"/>
      <c r="K19" s="16"/>
      <c r="L19" s="16"/>
      <c r="M19" s="16"/>
      <c r="N19" s="15"/>
      <c r="O19" s="15"/>
      <c r="P19" s="17"/>
      <c r="Q19" s="17"/>
      <c r="R19" s="16" t="str">
        <f>IF($P19&gt;0,CHOOSE(MATCH($B$4,'Служебный лист'!$A$4:$A$8,0),I19,J19,K19,L19,M19),"")</f>
        <v/>
      </c>
      <c r="S19" s="16">
        <f t="shared" si="0"/>
        <v>0</v>
      </c>
      <c r="T19" s="15" t="str">
        <f>IF($P19&gt;0,COUNTIF($P$11:P19,"&gt;0"),"")</f>
        <v/>
      </c>
    </row>
    <row r="20" spans="1:20" ht="15" customHeight="1" x14ac:dyDescent="0.2">
      <c r="A20" s="15"/>
      <c r="B20" s="15"/>
      <c r="C20" s="15"/>
      <c r="D20" s="15"/>
      <c r="E20" s="15"/>
      <c r="F20" s="15"/>
      <c r="G20" s="15"/>
      <c r="H20" s="15"/>
      <c r="I20" s="16"/>
      <c r="J20" s="16"/>
      <c r="K20" s="16"/>
      <c r="L20" s="16"/>
      <c r="M20" s="16"/>
      <c r="N20" s="15"/>
      <c r="O20" s="15"/>
      <c r="P20" s="17"/>
      <c r="Q20" s="17"/>
      <c r="R20" s="16" t="str">
        <f>IF($P20&gt;0,CHOOSE(MATCH($B$4,'Служебный лист'!$A$4:$A$8,0),I20,J20,K20,L20,M20),"")</f>
        <v/>
      </c>
      <c r="S20" s="16">
        <f t="shared" si="0"/>
        <v>0</v>
      </c>
      <c r="T20" s="15" t="str">
        <f>IF($P20&gt;0,COUNTIF($P$11:P20,"&gt;0"),"")</f>
        <v/>
      </c>
    </row>
    <row r="21" spans="1:20" ht="15" customHeight="1" x14ac:dyDescent="0.2">
      <c r="A21" s="15"/>
      <c r="B21" s="15"/>
      <c r="C21" s="15"/>
      <c r="D21" s="15"/>
      <c r="E21" s="15"/>
      <c r="F21" s="15"/>
      <c r="G21" s="15"/>
      <c r="H21" s="15"/>
      <c r="I21" s="16"/>
      <c r="J21" s="16"/>
      <c r="K21" s="16"/>
      <c r="L21" s="16"/>
      <c r="M21" s="16"/>
      <c r="N21" s="15"/>
      <c r="O21" s="15"/>
      <c r="P21" s="17"/>
      <c r="Q21" s="17"/>
      <c r="R21" s="16" t="str">
        <f>IF($P21&gt;0,CHOOSE(MATCH($B$4,'Служебный лист'!$A$4:$A$8,0),I21,J21,K21,L21,M21),"")</f>
        <v/>
      </c>
      <c r="S21" s="16">
        <f t="shared" si="0"/>
        <v>0</v>
      </c>
      <c r="T21" s="15" t="str">
        <f>IF($P21&gt;0,COUNTIF($P$11:P21,"&gt;0"),"")</f>
        <v/>
      </c>
    </row>
    <row r="22" spans="1:20" ht="15" customHeight="1" x14ac:dyDescent="0.2">
      <c r="A22" s="15"/>
      <c r="B22" s="15"/>
      <c r="C22" s="15"/>
      <c r="D22" s="15"/>
      <c r="E22" s="15"/>
      <c r="F22" s="15"/>
      <c r="G22" s="15"/>
      <c r="H22" s="15"/>
      <c r="I22" s="16"/>
      <c r="J22" s="16"/>
      <c r="K22" s="16"/>
      <c r="L22" s="16"/>
      <c r="M22" s="16"/>
      <c r="N22" s="15"/>
      <c r="O22" s="15"/>
      <c r="P22" s="17"/>
      <c r="Q22" s="17"/>
      <c r="R22" s="16" t="str">
        <f>IF($P22&gt;0,CHOOSE(MATCH($B$4,'Служебный лист'!$A$4:$A$8,0),I22,J22,K22,L22,M22),"")</f>
        <v/>
      </c>
      <c r="S22" s="16">
        <f t="shared" si="0"/>
        <v>0</v>
      </c>
      <c r="T22" s="15" t="str">
        <f>IF($P22&gt;0,COUNTIF($P$11:P22,"&gt;0"),"")</f>
        <v/>
      </c>
    </row>
    <row r="23" spans="1:20" ht="15" customHeight="1" x14ac:dyDescent="0.2">
      <c r="A23" s="15"/>
      <c r="B23" s="15"/>
      <c r="C23" s="15"/>
      <c r="D23" s="15"/>
      <c r="E23" s="15"/>
      <c r="F23" s="15"/>
      <c r="G23" s="15"/>
      <c r="H23" s="15"/>
      <c r="I23" s="16"/>
      <c r="J23" s="16"/>
      <c r="K23" s="16"/>
      <c r="L23" s="16"/>
      <c r="M23" s="16"/>
      <c r="N23" s="15"/>
      <c r="O23" s="15"/>
      <c r="P23" s="17"/>
      <c r="Q23" s="17"/>
      <c r="R23" s="16" t="str">
        <f>IF($P23&gt;0,CHOOSE(MATCH($B$4,'Служебный лист'!$A$4:$A$8,0),I23,J23,K23,L23,M23),"")</f>
        <v/>
      </c>
      <c r="S23" s="16">
        <f t="shared" si="0"/>
        <v>0</v>
      </c>
      <c r="T23" s="15" t="str">
        <f>IF($P23&gt;0,COUNTIF($P$11:P23,"&gt;0"),"")</f>
        <v/>
      </c>
    </row>
    <row r="24" spans="1:20" ht="15" customHeight="1" x14ac:dyDescent="0.2">
      <c r="A24" s="15"/>
      <c r="B24" s="15"/>
      <c r="C24" s="15"/>
      <c r="D24" s="15"/>
      <c r="E24" s="15"/>
      <c r="F24" s="15"/>
      <c r="G24" s="15"/>
      <c r="H24" s="15"/>
      <c r="I24" s="16"/>
      <c r="J24" s="16"/>
      <c r="K24" s="16"/>
      <c r="L24" s="16"/>
      <c r="M24" s="16"/>
      <c r="N24" s="15"/>
      <c r="O24" s="15"/>
      <c r="P24" s="17"/>
      <c r="Q24" s="17"/>
      <c r="R24" s="16" t="str">
        <f>IF($P24&gt;0,CHOOSE(MATCH($B$4,'Служебный лист'!$A$4:$A$8,0),I24,J24,K24,L24,M24),"")</f>
        <v/>
      </c>
      <c r="S24" s="16">
        <f t="shared" si="0"/>
        <v>0</v>
      </c>
      <c r="T24" s="15" t="str">
        <f>IF($P24&gt;0,COUNTIF($P$11:P24,"&gt;0"),"")</f>
        <v/>
      </c>
    </row>
    <row r="25" spans="1:20" ht="15" customHeight="1" x14ac:dyDescent="0.2">
      <c r="A25" s="15"/>
      <c r="B25" s="15"/>
      <c r="C25" s="15"/>
      <c r="D25" s="15"/>
      <c r="E25" s="15"/>
      <c r="F25" s="15"/>
      <c r="G25" s="15"/>
      <c r="H25" s="15"/>
      <c r="I25" s="16"/>
      <c r="J25" s="16"/>
      <c r="K25" s="16"/>
      <c r="L25" s="16"/>
      <c r="M25" s="16"/>
      <c r="N25" s="15"/>
      <c r="O25" s="15"/>
      <c r="P25" s="17"/>
      <c r="Q25" s="17"/>
      <c r="R25" s="16" t="str">
        <f>IF($P25&gt;0,CHOOSE(MATCH($B$4,'Служебный лист'!$A$4:$A$8,0),I25,J25,K25,L25,M25),"")</f>
        <v/>
      </c>
      <c r="S25" s="16">
        <f t="shared" si="0"/>
        <v>0</v>
      </c>
      <c r="T25" s="15" t="str">
        <f>IF($P25&gt;0,COUNTIF($P$11:P25,"&gt;0"),"")</f>
        <v/>
      </c>
    </row>
    <row r="26" spans="1:20" ht="15" customHeight="1" x14ac:dyDescent="0.2">
      <c r="A26" s="15"/>
      <c r="B26" s="15"/>
      <c r="C26" s="15"/>
      <c r="D26" s="15"/>
      <c r="E26" s="15"/>
      <c r="F26" s="15"/>
      <c r="G26" s="15"/>
      <c r="H26" s="15"/>
      <c r="I26" s="16"/>
      <c r="J26" s="16"/>
      <c r="K26" s="16"/>
      <c r="L26" s="16"/>
      <c r="M26" s="16"/>
      <c r="N26" s="15"/>
      <c r="O26" s="15"/>
      <c r="P26" s="17"/>
      <c r="Q26" s="17"/>
      <c r="R26" s="16" t="str">
        <f>IF($P26&gt;0,CHOOSE(MATCH($B$4,'Служебный лист'!$A$4:$A$8,0),I26,J26,K26,L26,M26),"")</f>
        <v/>
      </c>
      <c r="S26" s="16">
        <f t="shared" si="0"/>
        <v>0</v>
      </c>
      <c r="T26" s="15" t="str">
        <f>IF($P26&gt;0,COUNTIF($P$11:P26,"&gt;0"),"")</f>
        <v/>
      </c>
    </row>
    <row r="27" spans="1:20" ht="15" customHeight="1" x14ac:dyDescent="0.2">
      <c r="A27" s="15"/>
      <c r="B27" s="15"/>
      <c r="C27" s="15"/>
      <c r="D27" s="15"/>
      <c r="E27" s="15"/>
      <c r="F27" s="15"/>
      <c r="G27" s="15"/>
      <c r="H27" s="15"/>
      <c r="I27" s="16"/>
      <c r="J27" s="16"/>
      <c r="K27" s="16"/>
      <c r="L27" s="16"/>
      <c r="M27" s="16"/>
      <c r="N27" s="15"/>
      <c r="O27" s="15"/>
      <c r="P27" s="17"/>
      <c r="Q27" s="17"/>
      <c r="R27" s="16" t="str">
        <f>IF($P27&gt;0,CHOOSE(MATCH($B$4,'Служебный лист'!$A$4:$A$8,0),I27,J27,K27,L27,M27),"")</f>
        <v/>
      </c>
      <c r="S27" s="16">
        <f t="shared" si="0"/>
        <v>0</v>
      </c>
      <c r="T27" s="15" t="str">
        <f>IF($P27&gt;0,COUNTIF($P$11:P27,"&gt;0"),"")</f>
        <v/>
      </c>
    </row>
    <row r="28" spans="1:20" ht="15" customHeight="1" x14ac:dyDescent="0.2">
      <c r="A28" s="15"/>
      <c r="B28" s="15"/>
      <c r="C28" s="15"/>
      <c r="D28" s="15"/>
      <c r="E28" s="15"/>
      <c r="F28" s="15"/>
      <c r="G28" s="15"/>
      <c r="H28" s="15"/>
      <c r="I28" s="16"/>
      <c r="J28" s="16"/>
      <c r="K28" s="16"/>
      <c r="L28" s="16"/>
      <c r="M28" s="16"/>
      <c r="N28" s="15"/>
      <c r="O28" s="15"/>
      <c r="P28" s="17"/>
      <c r="Q28" s="17"/>
      <c r="R28" s="16" t="str">
        <f>IF($P28&gt;0,CHOOSE(MATCH($B$4,'Служебный лист'!$A$4:$A$8,0),I28,J28,K28,L28,M28),"")</f>
        <v/>
      </c>
      <c r="S28" s="16">
        <f t="shared" si="0"/>
        <v>0</v>
      </c>
      <c r="T28" s="15" t="str">
        <f>IF($P28&gt;0,COUNTIF($P$11:P28,"&gt;0"),"")</f>
        <v/>
      </c>
    </row>
    <row r="29" spans="1:20" ht="15" customHeight="1" x14ac:dyDescent="0.2">
      <c r="A29" s="15"/>
      <c r="B29" s="15"/>
      <c r="C29" s="15"/>
      <c r="D29" s="15"/>
      <c r="E29" s="15"/>
      <c r="F29" s="15"/>
      <c r="G29" s="15"/>
      <c r="H29" s="15"/>
      <c r="I29" s="16"/>
      <c r="J29" s="16"/>
      <c r="K29" s="16"/>
      <c r="L29" s="16"/>
      <c r="M29" s="16"/>
      <c r="N29" s="15"/>
      <c r="O29" s="15"/>
      <c r="P29" s="17"/>
      <c r="Q29" s="17"/>
      <c r="R29" s="16" t="str">
        <f>IF($P29&gt;0,CHOOSE(MATCH($B$4,'Служебный лист'!$A$4:$A$8,0),I29,J29,K29,L29,M29),"")</f>
        <v/>
      </c>
      <c r="S29" s="16">
        <f t="shared" si="0"/>
        <v>0</v>
      </c>
      <c r="T29" s="15" t="str">
        <f>IF($P29&gt;0,COUNTIF($P$11:P29,"&gt;0"),"")</f>
        <v/>
      </c>
    </row>
    <row r="30" spans="1:20" ht="15" customHeight="1" x14ac:dyDescent="0.2">
      <c r="A30" s="15"/>
      <c r="B30" s="15"/>
      <c r="C30" s="15"/>
      <c r="D30" s="15"/>
      <c r="E30" s="15"/>
      <c r="F30" s="15"/>
      <c r="G30" s="15"/>
      <c r="H30" s="15"/>
      <c r="I30" s="16"/>
      <c r="J30" s="16"/>
      <c r="K30" s="16"/>
      <c r="L30" s="16"/>
      <c r="M30" s="16"/>
      <c r="N30" s="15"/>
      <c r="O30" s="15"/>
      <c r="P30" s="17"/>
      <c r="Q30" s="17"/>
      <c r="R30" s="16" t="str">
        <f>IF($P30&gt;0,CHOOSE(MATCH($B$4,'Служебный лист'!$A$4:$A$8,0),I30,J30,K30,L30,M30),"")</f>
        <v/>
      </c>
      <c r="S30" s="16">
        <f t="shared" si="0"/>
        <v>0</v>
      </c>
      <c r="T30" s="15" t="str">
        <f>IF($P30&gt;0,COUNTIF($P$11:P30,"&gt;0"),"")</f>
        <v/>
      </c>
    </row>
    <row r="31" spans="1:20" ht="15" customHeight="1" x14ac:dyDescent="0.2">
      <c r="A31" s="15"/>
      <c r="B31" s="15"/>
      <c r="C31" s="15"/>
      <c r="D31" s="15"/>
      <c r="E31" s="15"/>
      <c r="F31" s="15"/>
      <c r="G31" s="15"/>
      <c r="H31" s="15"/>
      <c r="I31" s="16"/>
      <c r="J31" s="16"/>
      <c r="K31" s="16"/>
      <c r="L31" s="16"/>
      <c r="M31" s="16"/>
      <c r="N31" s="15"/>
      <c r="O31" s="15"/>
      <c r="P31" s="17"/>
      <c r="Q31" s="17"/>
      <c r="R31" s="16" t="str">
        <f>IF($P31&gt;0,CHOOSE(MATCH($B$4,'Служебный лист'!$A$4:$A$8,0),I31,J31,K31,L31,M31),"")</f>
        <v/>
      </c>
      <c r="S31" s="16">
        <f t="shared" si="0"/>
        <v>0</v>
      </c>
      <c r="T31" s="15" t="str">
        <f>IF($P31&gt;0,COUNTIF($P$11:P31,"&gt;0"),"")</f>
        <v/>
      </c>
    </row>
    <row r="32" spans="1:20" ht="15" customHeight="1" x14ac:dyDescent="0.2">
      <c r="A32" s="15"/>
      <c r="B32" s="15"/>
      <c r="C32" s="15"/>
      <c r="D32" s="15"/>
      <c r="E32" s="15"/>
      <c r="F32" s="15"/>
      <c r="G32" s="15"/>
      <c r="H32" s="15"/>
      <c r="I32" s="16"/>
      <c r="J32" s="16"/>
      <c r="K32" s="16"/>
      <c r="L32" s="16"/>
      <c r="M32" s="16"/>
      <c r="N32" s="15"/>
      <c r="O32" s="15"/>
      <c r="P32" s="17"/>
      <c r="Q32" s="17"/>
      <c r="R32" s="16" t="str">
        <f>IF($P32&gt;0,CHOOSE(MATCH($B$4,'Служебный лист'!$A$4:$A$8,0),I32,J32,K32,L32,M32),"")</f>
        <v/>
      </c>
      <c r="S32" s="16">
        <f t="shared" si="0"/>
        <v>0</v>
      </c>
      <c r="T32" s="15" t="str">
        <f>IF($P32&gt;0,COUNTIF($P$11:P32,"&gt;0"),"")</f>
        <v/>
      </c>
    </row>
    <row r="33" spans="1:20" ht="15" customHeight="1" x14ac:dyDescent="0.2">
      <c r="A33" s="15"/>
      <c r="B33" s="15"/>
      <c r="C33" s="15"/>
      <c r="D33" s="15"/>
      <c r="E33" s="15"/>
      <c r="F33" s="15"/>
      <c r="G33" s="15"/>
      <c r="H33" s="15"/>
      <c r="I33" s="16"/>
      <c r="J33" s="16"/>
      <c r="K33" s="16"/>
      <c r="L33" s="16"/>
      <c r="M33" s="16"/>
      <c r="N33" s="15"/>
      <c r="O33" s="15"/>
      <c r="P33" s="17"/>
      <c r="Q33" s="17"/>
      <c r="R33" s="16" t="str">
        <f>IF($P33&gt;0,CHOOSE(MATCH($B$4,'Служебный лист'!$A$4:$A$8,0),I33,J33,K33,L33,M33),"")</f>
        <v/>
      </c>
      <c r="S33" s="16">
        <f t="shared" si="0"/>
        <v>0</v>
      </c>
      <c r="T33" s="15" t="str">
        <f>IF($P33&gt;0,COUNTIF($P$11:P33,"&gt;0"),"")</f>
        <v/>
      </c>
    </row>
    <row r="34" spans="1:20" ht="15" customHeight="1" x14ac:dyDescent="0.2">
      <c r="A34" s="15"/>
      <c r="B34" s="15"/>
      <c r="C34" s="15"/>
      <c r="D34" s="15"/>
      <c r="E34" s="15"/>
      <c r="F34" s="15"/>
      <c r="G34" s="15"/>
      <c r="H34" s="15"/>
      <c r="I34" s="16"/>
      <c r="J34" s="16"/>
      <c r="K34" s="16"/>
      <c r="L34" s="16"/>
      <c r="M34" s="16"/>
      <c r="N34" s="15"/>
      <c r="O34" s="15"/>
      <c r="P34" s="17"/>
      <c r="Q34" s="17"/>
      <c r="R34" s="16" t="str">
        <f>IF($P34&gt;0,CHOOSE(MATCH($B$4,'Служебный лист'!$A$4:$A$8,0),I34,J34,K34,L34,M34),"")</f>
        <v/>
      </c>
      <c r="S34" s="16">
        <f t="shared" si="0"/>
        <v>0</v>
      </c>
      <c r="T34" s="15" t="str">
        <f>IF($P34&gt;0,COUNTIF($P$11:P34,"&gt;0"),"")</f>
        <v/>
      </c>
    </row>
    <row r="35" spans="1:20" ht="15" customHeight="1" x14ac:dyDescent="0.2">
      <c r="A35" s="15"/>
      <c r="B35" s="15"/>
      <c r="C35" s="15"/>
      <c r="D35" s="15"/>
      <c r="E35" s="15"/>
      <c r="F35" s="15"/>
      <c r="G35" s="15"/>
      <c r="H35" s="15"/>
      <c r="I35" s="16"/>
      <c r="J35" s="16"/>
      <c r="K35" s="16"/>
      <c r="L35" s="16"/>
      <c r="M35" s="16"/>
      <c r="N35" s="15"/>
      <c r="O35" s="15"/>
      <c r="P35" s="17"/>
      <c r="Q35" s="17"/>
      <c r="R35" s="16" t="str">
        <f>IF($P35&gt;0,CHOOSE(MATCH($B$4,'Служебный лист'!$A$4:$A$8,0),I35,J35,K35,L35,M35),"")</f>
        <v/>
      </c>
      <c r="S35" s="16">
        <f t="shared" si="0"/>
        <v>0</v>
      </c>
      <c r="T35" s="15" t="str">
        <f>IF($P35&gt;0,COUNTIF($P$11:P35,"&gt;0"),"")</f>
        <v/>
      </c>
    </row>
    <row r="36" spans="1:20" ht="15" customHeight="1" x14ac:dyDescent="0.2">
      <c r="A36" s="15"/>
      <c r="B36" s="15"/>
      <c r="C36" s="15"/>
      <c r="D36" s="15"/>
      <c r="E36" s="15"/>
      <c r="F36" s="15"/>
      <c r="G36" s="15"/>
      <c r="H36" s="15"/>
      <c r="I36" s="16"/>
      <c r="J36" s="16"/>
      <c r="K36" s="16"/>
      <c r="L36" s="16"/>
      <c r="M36" s="16"/>
      <c r="N36" s="15"/>
      <c r="O36" s="15"/>
      <c r="P36" s="17"/>
      <c r="Q36" s="17"/>
      <c r="R36" s="16" t="str">
        <f>IF($P36&gt;0,CHOOSE(MATCH($B$4,'Служебный лист'!$A$4:$A$8,0),I36,J36,K36,L36,M36),"")</f>
        <v/>
      </c>
      <c r="S36" s="16">
        <f t="shared" si="0"/>
        <v>0</v>
      </c>
      <c r="T36" s="15" t="str">
        <f>IF($P36&gt;0,COUNTIF($P$11:P36,"&gt;0"),"")</f>
        <v/>
      </c>
    </row>
    <row r="37" spans="1:20" ht="15" customHeight="1" x14ac:dyDescent="0.2">
      <c r="A37" s="15"/>
      <c r="B37" s="15"/>
      <c r="C37" s="15"/>
      <c r="D37" s="15"/>
      <c r="E37" s="15"/>
      <c r="F37" s="15"/>
      <c r="G37" s="15"/>
      <c r="H37" s="15"/>
      <c r="I37" s="16"/>
      <c r="J37" s="16"/>
      <c r="K37" s="16"/>
      <c r="L37" s="16"/>
      <c r="M37" s="16"/>
      <c r="N37" s="15"/>
      <c r="O37" s="15"/>
      <c r="P37" s="17"/>
      <c r="Q37" s="17"/>
      <c r="R37" s="16" t="str">
        <f>IF($P37&gt;0,CHOOSE(MATCH($B$4,'Служебный лист'!$A$4:$A$8,0),I37,J37,K37,L37,M37),"")</f>
        <v/>
      </c>
      <c r="S37" s="16">
        <f t="shared" si="0"/>
        <v>0</v>
      </c>
      <c r="T37" s="15" t="str">
        <f>IF($P37&gt;0,COUNTIF($P$11:P37,"&gt;0"),"")</f>
        <v/>
      </c>
    </row>
    <row r="38" spans="1:20" ht="15" customHeight="1" x14ac:dyDescent="0.2">
      <c r="A38" s="15"/>
      <c r="B38" s="15"/>
      <c r="C38" s="15"/>
      <c r="D38" s="15"/>
      <c r="E38" s="15"/>
      <c r="F38" s="15"/>
      <c r="G38" s="15"/>
      <c r="H38" s="15"/>
      <c r="I38" s="16"/>
      <c r="J38" s="16"/>
      <c r="K38" s="16"/>
      <c r="L38" s="16"/>
      <c r="M38" s="16"/>
      <c r="N38" s="15"/>
      <c r="O38" s="15"/>
      <c r="P38" s="17"/>
      <c r="Q38" s="17"/>
      <c r="R38" s="16" t="str">
        <f>IF($P38&gt;0,CHOOSE(MATCH($B$4,'Служебный лист'!$A$4:$A$8,0),I38,J38,K38,L38,M38),"")</f>
        <v/>
      </c>
      <c r="S38" s="16">
        <f t="shared" si="0"/>
        <v>0</v>
      </c>
      <c r="T38" s="15" t="str">
        <f>IF($P38&gt;0,COUNTIF($P$11:P38,"&gt;0"),"")</f>
        <v/>
      </c>
    </row>
    <row r="39" spans="1:20" ht="15" customHeight="1" x14ac:dyDescent="0.2">
      <c r="A39" s="15"/>
      <c r="B39" s="15"/>
      <c r="C39" s="15"/>
      <c r="D39" s="15"/>
      <c r="E39" s="15"/>
      <c r="F39" s="15"/>
      <c r="G39" s="15"/>
      <c r="H39" s="15"/>
      <c r="I39" s="16"/>
      <c r="J39" s="16"/>
      <c r="K39" s="16"/>
      <c r="L39" s="16"/>
      <c r="M39" s="16"/>
      <c r="N39" s="15"/>
      <c r="O39" s="15"/>
      <c r="P39" s="17"/>
      <c r="Q39" s="17"/>
      <c r="R39" s="16" t="str">
        <f>IF($P39&gt;0,CHOOSE(MATCH($B$4,'Служебный лист'!$A$4:$A$8,0),I39,J39,K39,L39,M39),"")</f>
        <v/>
      </c>
      <c r="S39" s="16">
        <f t="shared" si="0"/>
        <v>0</v>
      </c>
      <c r="T39" s="15" t="str">
        <f>IF($P39&gt;0,COUNTIF($P$11:P39,"&gt;0"),"")</f>
        <v/>
      </c>
    </row>
    <row r="40" spans="1:20" ht="15" customHeight="1" x14ac:dyDescent="0.2">
      <c r="A40" s="15"/>
      <c r="B40" s="15"/>
      <c r="C40" s="15"/>
      <c r="D40" s="15"/>
      <c r="E40" s="15"/>
      <c r="F40" s="15"/>
      <c r="G40" s="15"/>
      <c r="H40" s="15"/>
      <c r="I40" s="16"/>
      <c r="J40" s="16"/>
      <c r="K40" s="16"/>
      <c r="L40" s="16"/>
      <c r="M40" s="16"/>
      <c r="N40" s="15"/>
      <c r="O40" s="15"/>
      <c r="P40" s="17"/>
      <c r="Q40" s="17"/>
      <c r="R40" s="16" t="str">
        <f>IF($P40&gt;0,CHOOSE(MATCH($B$4,'Служебный лист'!$A$4:$A$8,0),I40,J40,K40,L40,M40),"")</f>
        <v/>
      </c>
      <c r="S40" s="16">
        <f t="shared" si="0"/>
        <v>0</v>
      </c>
      <c r="T40" s="15" t="str">
        <f>IF($P40&gt;0,COUNTIF($P$11:P40,"&gt;0"),"")</f>
        <v/>
      </c>
    </row>
    <row r="41" spans="1:20" ht="15" customHeight="1" x14ac:dyDescent="0.2">
      <c r="A41" s="15"/>
      <c r="B41" s="15"/>
      <c r="C41" s="15"/>
      <c r="D41" s="15"/>
      <c r="E41" s="15"/>
      <c r="F41" s="15"/>
      <c r="G41" s="15"/>
      <c r="H41" s="15"/>
      <c r="I41" s="16"/>
      <c r="J41" s="16"/>
      <c r="K41" s="16"/>
      <c r="L41" s="16"/>
      <c r="M41" s="16"/>
      <c r="N41" s="15"/>
      <c r="O41" s="15"/>
      <c r="P41" s="17"/>
      <c r="Q41" s="17"/>
      <c r="R41" s="16" t="str">
        <f>IF($P41&gt;0,CHOOSE(MATCH($B$4,'Служебный лист'!$A$4:$A$8,0),I41,J41,K41,L41,M41),"")</f>
        <v/>
      </c>
      <c r="S41" s="16">
        <f t="shared" si="0"/>
        <v>0</v>
      </c>
      <c r="T41" s="15" t="str">
        <f>IF($P41&gt;0,COUNTIF($P$11:P41,"&gt;0"),"")</f>
        <v/>
      </c>
    </row>
    <row r="42" spans="1:20" ht="15" customHeight="1" x14ac:dyDescent="0.2">
      <c r="A42" s="15"/>
      <c r="B42" s="15"/>
      <c r="C42" s="15"/>
      <c r="D42" s="15"/>
      <c r="E42" s="15"/>
      <c r="F42" s="15"/>
      <c r="G42" s="15"/>
      <c r="H42" s="15"/>
      <c r="I42" s="16"/>
      <c r="J42" s="16"/>
      <c r="K42" s="16"/>
      <c r="L42" s="16"/>
      <c r="M42" s="16"/>
      <c r="N42" s="15"/>
      <c r="O42" s="15"/>
      <c r="P42" s="17"/>
      <c r="Q42" s="17"/>
      <c r="R42" s="16" t="str">
        <f>IF($P42&gt;0,CHOOSE(MATCH($B$4,'Служебный лист'!$A$4:$A$8,0),I42,J42,K42,L42,M42),"")</f>
        <v/>
      </c>
      <c r="S42" s="16">
        <f t="shared" si="0"/>
        <v>0</v>
      </c>
      <c r="T42" s="15" t="str">
        <f>IF($P42&gt;0,COUNTIF($P$11:P42,"&gt;0"),"")</f>
        <v/>
      </c>
    </row>
    <row r="43" spans="1:20" ht="15" customHeight="1" x14ac:dyDescent="0.2">
      <c r="A43" s="15"/>
      <c r="B43" s="15"/>
      <c r="C43" s="15"/>
      <c r="D43" s="15"/>
      <c r="E43" s="15"/>
      <c r="F43" s="15"/>
      <c r="G43" s="15"/>
      <c r="H43" s="15"/>
      <c r="I43" s="16"/>
      <c r="J43" s="16"/>
      <c r="K43" s="16"/>
      <c r="L43" s="16"/>
      <c r="M43" s="16"/>
      <c r="N43" s="15"/>
      <c r="O43" s="15"/>
      <c r="P43" s="17"/>
      <c r="Q43" s="17"/>
      <c r="R43" s="16" t="str">
        <f>IF($P43&gt;0,CHOOSE(MATCH($B$4,'Служебный лист'!$A$4:$A$8,0),I43,J43,K43,L43,M43),"")</f>
        <v/>
      </c>
      <c r="S43" s="16">
        <f t="shared" si="0"/>
        <v>0</v>
      </c>
      <c r="T43" s="15" t="str">
        <f>IF($P43&gt;0,COUNTIF($P$11:P43,"&gt;0"),"")</f>
        <v/>
      </c>
    </row>
    <row r="44" spans="1:20" ht="15" customHeight="1" x14ac:dyDescent="0.2">
      <c r="A44" s="15"/>
      <c r="B44" s="15"/>
      <c r="C44" s="15"/>
      <c r="D44" s="15"/>
      <c r="E44" s="15"/>
      <c r="F44" s="15"/>
      <c r="G44" s="15"/>
      <c r="H44" s="15"/>
      <c r="I44" s="16"/>
      <c r="J44" s="16"/>
      <c r="K44" s="16"/>
      <c r="L44" s="16"/>
      <c r="M44" s="16"/>
      <c r="N44" s="15"/>
      <c r="O44" s="15"/>
      <c r="P44" s="17"/>
      <c r="Q44" s="17"/>
      <c r="R44" s="16" t="str">
        <f>IF($P44&gt;0,CHOOSE(MATCH($B$4,'Служебный лист'!$A$4:$A$8,0),I44,J44,K44,L44,M44),"")</f>
        <v/>
      </c>
      <c r="S44" s="16">
        <f t="shared" si="0"/>
        <v>0</v>
      </c>
      <c r="T44" s="15" t="str">
        <f>IF($P44&gt;0,COUNTIF($P$11:P44,"&gt;0"),"")</f>
        <v/>
      </c>
    </row>
    <row r="45" spans="1:20" ht="15" customHeight="1" x14ac:dyDescent="0.2">
      <c r="A45" s="15"/>
      <c r="B45" s="15"/>
      <c r="C45" s="15"/>
      <c r="D45" s="15"/>
      <c r="E45" s="15"/>
      <c r="F45" s="15"/>
      <c r="G45" s="15"/>
      <c r="H45" s="15"/>
      <c r="I45" s="16"/>
      <c r="J45" s="16"/>
      <c r="K45" s="16"/>
      <c r="L45" s="16"/>
      <c r="M45" s="16"/>
      <c r="N45" s="15"/>
      <c r="O45" s="15"/>
      <c r="P45" s="17"/>
      <c r="Q45" s="17"/>
      <c r="R45" s="16" t="str">
        <f>IF($P45&gt;0,CHOOSE(MATCH($B$4,'Служебный лист'!$A$4:$A$8,0),I45,J45,K45,L45,M45),"")</f>
        <v/>
      </c>
      <c r="S45" s="16">
        <f t="shared" si="0"/>
        <v>0</v>
      </c>
      <c r="T45" s="15" t="str">
        <f>IF($P45&gt;0,COUNTIF($P$11:P45,"&gt;0"),"")</f>
        <v/>
      </c>
    </row>
    <row r="46" spans="1:20" ht="15" customHeight="1" x14ac:dyDescent="0.2">
      <c r="A46" s="15"/>
      <c r="B46" s="15"/>
      <c r="C46" s="15"/>
      <c r="D46" s="15"/>
      <c r="E46" s="15"/>
      <c r="F46" s="15"/>
      <c r="G46" s="15"/>
      <c r="H46" s="15"/>
      <c r="I46" s="16"/>
      <c r="J46" s="16"/>
      <c r="K46" s="16"/>
      <c r="L46" s="16"/>
      <c r="M46" s="16"/>
      <c r="N46" s="15"/>
      <c r="O46" s="15"/>
      <c r="P46" s="17"/>
      <c r="Q46" s="17"/>
      <c r="R46" s="16" t="str">
        <f>IF($P46&gt;0,CHOOSE(MATCH($B$4,'Служебный лист'!$A$4:$A$8,0),I46,J46,K46,L46,M46),"")</f>
        <v/>
      </c>
      <c r="S46" s="16">
        <f t="shared" si="0"/>
        <v>0</v>
      </c>
      <c r="T46" s="15" t="str">
        <f>IF($P46&gt;0,COUNTIF($P$11:P46,"&gt;0"),"")</f>
        <v/>
      </c>
    </row>
    <row r="47" spans="1:20" ht="15" customHeight="1" x14ac:dyDescent="0.2">
      <c r="A47" s="15"/>
      <c r="B47" s="15"/>
      <c r="C47" s="15"/>
      <c r="D47" s="15"/>
      <c r="E47" s="15"/>
      <c r="F47" s="15"/>
      <c r="G47" s="15"/>
      <c r="H47" s="15"/>
      <c r="I47" s="16"/>
      <c r="J47" s="16"/>
      <c r="K47" s="16"/>
      <c r="L47" s="16"/>
      <c r="M47" s="16"/>
      <c r="N47" s="15"/>
      <c r="O47" s="15"/>
      <c r="P47" s="17"/>
      <c r="Q47" s="17"/>
      <c r="R47" s="16" t="str">
        <f>IF($P47&gt;0,CHOOSE(MATCH($B$4,'Служебный лист'!$A$4:$A$8,0),I47,J47,K47,L47,M47),"")</f>
        <v/>
      </c>
      <c r="S47" s="16">
        <f t="shared" si="0"/>
        <v>0</v>
      </c>
      <c r="T47" s="15" t="str">
        <f>IF($P47&gt;0,COUNTIF($P$11:P47,"&gt;0"),"")</f>
        <v/>
      </c>
    </row>
    <row r="48" spans="1:20" ht="15" customHeight="1" x14ac:dyDescent="0.2">
      <c r="A48" s="15"/>
      <c r="B48" s="15"/>
      <c r="C48" s="15"/>
      <c r="D48" s="15"/>
      <c r="E48" s="15"/>
      <c r="F48" s="15"/>
      <c r="G48" s="15"/>
      <c r="H48" s="15"/>
      <c r="I48" s="16"/>
      <c r="J48" s="16"/>
      <c r="K48" s="16"/>
      <c r="L48" s="16"/>
      <c r="M48" s="16"/>
      <c r="N48" s="15"/>
      <c r="O48" s="15"/>
      <c r="P48" s="17"/>
      <c r="Q48" s="17"/>
      <c r="R48" s="16" t="str">
        <f>IF($P48&gt;0,CHOOSE(MATCH($B$4,'Служебный лист'!$A$4:$A$8,0),I48,J48,K48,L48,M48),"")</f>
        <v/>
      </c>
      <c r="S48" s="16">
        <f t="shared" si="0"/>
        <v>0</v>
      </c>
      <c r="T48" s="15" t="str">
        <f>IF($P48&gt;0,COUNTIF($P$11:P48,"&gt;0"),"")</f>
        <v/>
      </c>
    </row>
    <row r="49" spans="1:20" ht="15" customHeight="1" x14ac:dyDescent="0.2">
      <c r="A49" s="15"/>
      <c r="B49" s="15"/>
      <c r="C49" s="15"/>
      <c r="D49" s="15"/>
      <c r="E49" s="15"/>
      <c r="F49" s="15"/>
      <c r="G49" s="15"/>
      <c r="H49" s="15"/>
      <c r="I49" s="16"/>
      <c r="J49" s="16"/>
      <c r="K49" s="16"/>
      <c r="L49" s="16"/>
      <c r="M49" s="16"/>
      <c r="N49" s="15"/>
      <c r="O49" s="15"/>
      <c r="P49" s="17"/>
      <c r="Q49" s="17"/>
      <c r="R49" s="16" t="str">
        <f>IF($P49&gt;0,CHOOSE(MATCH($B$4,'Служебный лист'!$A$4:$A$8,0),I49,J49,K49,L49,M49),"")</f>
        <v/>
      </c>
      <c r="S49" s="16">
        <f t="shared" si="0"/>
        <v>0</v>
      </c>
      <c r="T49" s="15" t="str">
        <f>IF($P49&gt;0,COUNTIF($P$11:P49,"&gt;0"),"")</f>
        <v/>
      </c>
    </row>
    <row r="50" spans="1:20" ht="15" customHeight="1" x14ac:dyDescent="0.2">
      <c r="A50" s="15"/>
      <c r="B50" s="15"/>
      <c r="C50" s="15"/>
      <c r="D50" s="15"/>
      <c r="E50" s="15"/>
      <c r="F50" s="15"/>
      <c r="G50" s="15"/>
      <c r="H50" s="15"/>
      <c r="I50" s="16"/>
      <c r="J50" s="16"/>
      <c r="K50" s="16"/>
      <c r="L50" s="16"/>
      <c r="M50" s="16"/>
      <c r="N50" s="15"/>
      <c r="O50" s="15"/>
      <c r="P50" s="17"/>
      <c r="Q50" s="17"/>
      <c r="R50" s="16" t="str">
        <f>IF($P50&gt;0,CHOOSE(MATCH($B$4,'Служебный лист'!$A$4:$A$8,0),I50,J50,K50,L50,M50),"")</f>
        <v/>
      </c>
      <c r="S50" s="16">
        <f t="shared" si="0"/>
        <v>0</v>
      </c>
      <c r="T50" s="15" t="str">
        <f>IF($P50&gt;0,COUNTIF($P$11:P50,"&gt;0"),"")</f>
        <v/>
      </c>
    </row>
    <row r="51" spans="1:20" ht="15" customHeight="1" x14ac:dyDescent="0.2">
      <c r="A51" s="15"/>
      <c r="B51" s="15"/>
      <c r="C51" s="15"/>
      <c r="D51" s="15"/>
      <c r="E51" s="15"/>
      <c r="F51" s="15"/>
      <c r="G51" s="15"/>
      <c r="H51" s="15"/>
      <c r="I51" s="16"/>
      <c r="J51" s="16"/>
      <c r="K51" s="16"/>
      <c r="L51" s="16"/>
      <c r="M51" s="16"/>
      <c r="N51" s="15"/>
      <c r="O51" s="15"/>
      <c r="P51" s="17"/>
      <c r="Q51" s="17"/>
      <c r="R51" s="16" t="str">
        <f>IF($P51&gt;0,CHOOSE(MATCH($B$4,'Служебный лист'!$A$4:$A$8,0),I51,J51,K51,L51,M51),"")</f>
        <v/>
      </c>
      <c r="S51" s="16">
        <f t="shared" si="0"/>
        <v>0</v>
      </c>
      <c r="T51" s="15" t="str">
        <f>IF($P51&gt;0,COUNTIF($P$11:P51,"&gt;0"),"")</f>
        <v/>
      </c>
    </row>
    <row r="52" spans="1:20" ht="15" customHeight="1" x14ac:dyDescent="0.2">
      <c r="A52" s="15"/>
      <c r="B52" s="15"/>
      <c r="C52" s="15"/>
      <c r="D52" s="15"/>
      <c r="E52" s="15"/>
      <c r="F52" s="15"/>
      <c r="G52" s="15"/>
      <c r="H52" s="15"/>
      <c r="I52" s="16"/>
      <c r="J52" s="16"/>
      <c r="K52" s="16"/>
      <c r="L52" s="16"/>
      <c r="M52" s="16"/>
      <c r="N52" s="15"/>
      <c r="O52" s="15"/>
      <c r="P52" s="17"/>
      <c r="Q52" s="17"/>
      <c r="R52" s="16" t="str">
        <f>IF($P52&gt;0,CHOOSE(MATCH($B$4,'Служебный лист'!$A$4:$A$8,0),I52,J52,K52,L52,M52),"")</f>
        <v/>
      </c>
      <c r="S52" s="16">
        <f t="shared" si="0"/>
        <v>0</v>
      </c>
      <c r="T52" s="15" t="str">
        <f>IF($P52&gt;0,COUNTIF($P$11:P52,"&gt;0"),"")</f>
        <v/>
      </c>
    </row>
    <row r="53" spans="1:20" ht="15" customHeight="1" x14ac:dyDescent="0.2">
      <c r="A53" s="15"/>
      <c r="B53" s="15"/>
      <c r="C53" s="15"/>
      <c r="D53" s="15"/>
      <c r="E53" s="15"/>
      <c r="F53" s="15"/>
      <c r="G53" s="15"/>
      <c r="H53" s="15"/>
      <c r="I53" s="16"/>
      <c r="J53" s="16"/>
      <c r="K53" s="16"/>
      <c r="L53" s="16"/>
      <c r="M53" s="16"/>
      <c r="N53" s="15"/>
      <c r="O53" s="15"/>
      <c r="P53" s="17"/>
      <c r="Q53" s="17"/>
      <c r="R53" s="16" t="str">
        <f>IF($P53&gt;0,CHOOSE(MATCH($B$4,'Служебный лист'!$A$4:$A$8,0),I53,J53,K53,L53,M53),"")</f>
        <v/>
      </c>
      <c r="S53" s="16">
        <f t="shared" si="0"/>
        <v>0</v>
      </c>
      <c r="T53" s="15" t="str">
        <f>IF($P53&gt;0,COUNTIF($P$11:P53,"&gt;0"),"")</f>
        <v/>
      </c>
    </row>
    <row r="54" spans="1:20" ht="15" customHeight="1" x14ac:dyDescent="0.2">
      <c r="A54" s="15"/>
      <c r="B54" s="15"/>
      <c r="C54" s="15"/>
      <c r="D54" s="15"/>
      <c r="E54" s="15"/>
      <c r="F54" s="15"/>
      <c r="G54" s="15"/>
      <c r="H54" s="15"/>
      <c r="I54" s="16"/>
      <c r="J54" s="16"/>
      <c r="K54" s="16"/>
      <c r="L54" s="16"/>
      <c r="M54" s="16"/>
      <c r="N54" s="15"/>
      <c r="O54" s="15"/>
      <c r="P54" s="17"/>
      <c r="Q54" s="17"/>
      <c r="R54" s="16" t="str">
        <f>IF($P54&gt;0,CHOOSE(MATCH($B$4,'Служебный лист'!$A$4:$A$8,0),I54,J54,K54,L54,M54),"")</f>
        <v/>
      </c>
      <c r="S54" s="16">
        <f t="shared" si="0"/>
        <v>0</v>
      </c>
      <c r="T54" s="15" t="str">
        <f>IF($P54&gt;0,COUNTIF($P$11:P54,"&gt;0"),"")</f>
        <v/>
      </c>
    </row>
    <row r="55" spans="1:20" ht="15" customHeight="1" x14ac:dyDescent="0.2">
      <c r="A55" s="15"/>
      <c r="B55" s="15"/>
      <c r="C55" s="15"/>
      <c r="D55" s="15"/>
      <c r="E55" s="15"/>
      <c r="F55" s="15"/>
      <c r="G55" s="15"/>
      <c r="H55" s="15"/>
      <c r="I55" s="16"/>
      <c r="J55" s="16"/>
      <c r="K55" s="16"/>
      <c r="L55" s="16"/>
      <c r="M55" s="16"/>
      <c r="N55" s="15"/>
      <c r="O55" s="15"/>
      <c r="P55" s="17"/>
      <c r="Q55" s="17"/>
      <c r="R55" s="16" t="str">
        <f>IF($P55&gt;0,CHOOSE(MATCH($B$4,'Служебный лист'!$A$4:$A$8,0),I55,J55,K55,L55,M55),"")</f>
        <v/>
      </c>
      <c r="S55" s="16">
        <f t="shared" si="0"/>
        <v>0</v>
      </c>
      <c r="T55" s="15" t="str">
        <f>IF($P55&gt;0,COUNTIF($P$11:P55,"&gt;0"),"")</f>
        <v/>
      </c>
    </row>
    <row r="56" spans="1:20" ht="15" customHeight="1" x14ac:dyDescent="0.2">
      <c r="A56" s="15"/>
      <c r="B56" s="15"/>
      <c r="C56" s="15"/>
      <c r="D56" s="15"/>
      <c r="E56" s="15"/>
      <c r="F56" s="15"/>
      <c r="G56" s="15"/>
      <c r="H56" s="15"/>
      <c r="I56" s="16"/>
      <c r="J56" s="16"/>
      <c r="K56" s="16"/>
      <c r="L56" s="16"/>
      <c r="M56" s="16"/>
      <c r="N56" s="15"/>
      <c r="O56" s="15"/>
      <c r="P56" s="17"/>
      <c r="Q56" s="17"/>
      <c r="R56" s="16" t="str">
        <f>IF($P56&gt;0,CHOOSE(MATCH($B$4,'Служебный лист'!$A$4:$A$8,0),I56,J56,K56,L56,M56),"")</f>
        <v/>
      </c>
      <c r="S56" s="16">
        <f t="shared" si="0"/>
        <v>0</v>
      </c>
      <c r="T56" s="15" t="str">
        <f>IF($P56&gt;0,COUNTIF($P$11:P56,"&gt;0"),"")</f>
        <v/>
      </c>
    </row>
    <row r="57" spans="1:20" ht="15" customHeight="1" x14ac:dyDescent="0.2">
      <c r="A57" s="15"/>
      <c r="B57" s="15"/>
      <c r="C57" s="15"/>
      <c r="D57" s="15"/>
      <c r="E57" s="15"/>
      <c r="F57" s="15"/>
      <c r="G57" s="15"/>
      <c r="H57" s="15"/>
      <c r="I57" s="16"/>
      <c r="J57" s="16"/>
      <c r="K57" s="16"/>
      <c r="L57" s="16"/>
      <c r="M57" s="16"/>
      <c r="N57" s="15"/>
      <c r="O57" s="15"/>
      <c r="P57" s="17"/>
      <c r="Q57" s="17"/>
      <c r="R57" s="16" t="str">
        <f>IF($P57&gt;0,CHOOSE(MATCH($B$4,'Служебный лист'!$A$4:$A$8,0),I57,J57,K57,L57,M57),"")</f>
        <v/>
      </c>
      <c r="S57" s="16">
        <f t="shared" si="0"/>
        <v>0</v>
      </c>
      <c r="T57" s="15" t="str">
        <f>IF($P57&gt;0,COUNTIF($P$11:P57,"&gt;0"),"")</f>
        <v/>
      </c>
    </row>
    <row r="58" spans="1:20" ht="15" customHeight="1" x14ac:dyDescent="0.2">
      <c r="A58" s="15"/>
      <c r="B58" s="15"/>
      <c r="C58" s="15"/>
      <c r="D58" s="15"/>
      <c r="E58" s="15"/>
      <c r="F58" s="15"/>
      <c r="G58" s="15"/>
      <c r="H58" s="15"/>
      <c r="I58" s="16"/>
      <c r="J58" s="16"/>
      <c r="K58" s="16"/>
      <c r="L58" s="16"/>
      <c r="M58" s="16"/>
      <c r="N58" s="15"/>
      <c r="O58" s="15"/>
      <c r="P58" s="17"/>
      <c r="Q58" s="17"/>
      <c r="R58" s="16" t="str">
        <f>IF($P58&gt;0,CHOOSE(MATCH($B$4,'Служебный лист'!$A$4:$A$8,0),I58,J58,K58,L58,M58),"")</f>
        <v/>
      </c>
      <c r="S58" s="16">
        <f t="shared" si="0"/>
        <v>0</v>
      </c>
      <c r="T58" s="15" t="str">
        <f>IF($P58&gt;0,COUNTIF($P$11:P58,"&gt;0"),"")</f>
        <v/>
      </c>
    </row>
    <row r="59" spans="1:20" ht="15" customHeight="1" x14ac:dyDescent="0.2">
      <c r="A59" s="15"/>
      <c r="B59" s="15"/>
      <c r="C59" s="15"/>
      <c r="D59" s="15"/>
      <c r="E59" s="15"/>
      <c r="F59" s="15"/>
      <c r="G59" s="15"/>
      <c r="H59" s="15"/>
      <c r="I59" s="16"/>
      <c r="J59" s="16"/>
      <c r="K59" s="16"/>
      <c r="L59" s="16"/>
      <c r="M59" s="16"/>
      <c r="N59" s="15"/>
      <c r="O59" s="15"/>
      <c r="P59" s="17"/>
      <c r="Q59" s="17"/>
      <c r="R59" s="16" t="str">
        <f>IF($P59&gt;0,CHOOSE(MATCH($B$4,'Служебный лист'!$A$4:$A$8,0),I59,J59,K59,L59,M59),"")</f>
        <v/>
      </c>
      <c r="S59" s="16">
        <f t="shared" si="0"/>
        <v>0</v>
      </c>
      <c r="T59" s="15" t="str">
        <f>IF($P59&gt;0,COUNTIF($P$11:P59,"&gt;0"),"")</f>
        <v/>
      </c>
    </row>
    <row r="60" spans="1:20" ht="15" customHeight="1" x14ac:dyDescent="0.2">
      <c r="A60" s="15"/>
      <c r="B60" s="15"/>
      <c r="C60" s="15"/>
      <c r="D60" s="15"/>
      <c r="E60" s="15"/>
      <c r="F60" s="15"/>
      <c r="G60" s="15"/>
      <c r="H60" s="15"/>
      <c r="I60" s="16"/>
      <c r="J60" s="16"/>
      <c r="K60" s="16"/>
      <c r="L60" s="16"/>
      <c r="M60" s="16"/>
      <c r="N60" s="15"/>
      <c r="O60" s="15"/>
      <c r="P60" s="17"/>
      <c r="Q60" s="17"/>
      <c r="R60" s="16" t="str">
        <f>IF($P60&gt;0,CHOOSE(MATCH($B$4,'Служебный лист'!$A$4:$A$8,0),I60,J60,K60,L60,M60),"")</f>
        <v/>
      </c>
      <c r="S60" s="16">
        <f t="shared" si="0"/>
        <v>0</v>
      </c>
      <c r="T60" s="15" t="str">
        <f>IF($P60&gt;0,COUNTIF($P$11:P60,"&gt;0"),"")</f>
        <v/>
      </c>
    </row>
    <row r="61" spans="1:20" ht="15" customHeight="1" x14ac:dyDescent="0.2">
      <c r="A61" s="15"/>
      <c r="B61" s="15"/>
      <c r="C61" s="15"/>
      <c r="D61" s="15"/>
      <c r="E61" s="15"/>
      <c r="F61" s="15"/>
      <c r="G61" s="15"/>
      <c r="H61" s="15"/>
      <c r="I61" s="16"/>
      <c r="J61" s="16"/>
      <c r="K61" s="16"/>
      <c r="L61" s="16"/>
      <c r="M61" s="16"/>
      <c r="N61" s="15"/>
      <c r="O61" s="15"/>
      <c r="P61" s="17"/>
      <c r="Q61" s="17"/>
      <c r="R61" s="16" t="str">
        <f>IF($P61&gt;0,CHOOSE(MATCH($B$4,'Служебный лист'!$A$4:$A$8,0),I61,J61,K61,L61,M61),"")</f>
        <v/>
      </c>
      <c r="S61" s="16">
        <f t="shared" si="0"/>
        <v>0</v>
      </c>
      <c r="T61" s="15" t="str">
        <f>IF($P61&gt;0,COUNTIF($P$11:P61,"&gt;0"),"")</f>
        <v/>
      </c>
    </row>
    <row r="62" spans="1:20" ht="15" customHeight="1" x14ac:dyDescent="0.2">
      <c r="A62" s="15"/>
      <c r="B62" s="15"/>
      <c r="C62" s="15"/>
      <c r="D62" s="15"/>
      <c r="E62" s="15"/>
      <c r="F62" s="15"/>
      <c r="G62" s="15"/>
      <c r="H62" s="15"/>
      <c r="I62" s="16"/>
      <c r="J62" s="16"/>
      <c r="K62" s="16"/>
      <c r="L62" s="16"/>
      <c r="M62" s="16"/>
      <c r="N62" s="15"/>
      <c r="O62" s="15"/>
      <c r="P62" s="17"/>
      <c r="Q62" s="17"/>
      <c r="R62" s="16" t="str">
        <f>IF($P62&gt;0,CHOOSE(MATCH($B$4,'Служебный лист'!$A$4:$A$8,0),I62,J62,K62,L62,M62),"")</f>
        <v/>
      </c>
      <c r="S62" s="16">
        <f t="shared" si="0"/>
        <v>0</v>
      </c>
      <c r="T62" s="15" t="str">
        <f>IF($P62&gt;0,COUNTIF($P$11:P62,"&gt;0"),"")</f>
        <v/>
      </c>
    </row>
    <row r="63" spans="1:20" ht="15" customHeight="1" x14ac:dyDescent="0.2">
      <c r="A63" s="15"/>
      <c r="B63" s="15"/>
      <c r="C63" s="15"/>
      <c r="D63" s="15"/>
      <c r="E63" s="15"/>
      <c r="F63" s="15"/>
      <c r="G63" s="15"/>
      <c r="H63" s="15"/>
      <c r="I63" s="16"/>
      <c r="J63" s="16"/>
      <c r="K63" s="16"/>
      <c r="L63" s="16"/>
      <c r="M63" s="16"/>
      <c r="N63" s="15"/>
      <c r="O63" s="15"/>
      <c r="P63" s="17"/>
      <c r="Q63" s="17"/>
      <c r="R63" s="16" t="str">
        <f>IF($P63&gt;0,CHOOSE(MATCH($B$4,'Служебный лист'!$A$4:$A$8,0),I63,J63,K63,L63,M63),"")</f>
        <v/>
      </c>
      <c r="S63" s="16">
        <f t="shared" si="0"/>
        <v>0</v>
      </c>
      <c r="T63" s="15" t="str">
        <f>IF($P63&gt;0,COUNTIF($P$11:P63,"&gt;0"),"")</f>
        <v/>
      </c>
    </row>
    <row r="64" spans="1:20" ht="15" customHeight="1" x14ac:dyDescent="0.2">
      <c r="A64" s="15"/>
      <c r="B64" s="15"/>
      <c r="C64" s="15"/>
      <c r="D64" s="15"/>
      <c r="E64" s="15"/>
      <c r="F64" s="15"/>
      <c r="G64" s="15"/>
      <c r="H64" s="15"/>
      <c r="I64" s="16"/>
      <c r="J64" s="16"/>
      <c r="K64" s="16"/>
      <c r="L64" s="16"/>
      <c r="M64" s="16"/>
      <c r="N64" s="15"/>
      <c r="O64" s="15"/>
      <c r="P64" s="17"/>
      <c r="Q64" s="17"/>
      <c r="R64" s="16" t="str">
        <f>IF($P64&gt;0,CHOOSE(MATCH($B$4,'Служебный лист'!$A$4:$A$8,0),I64,J64,K64,L64,M64),"")</f>
        <v/>
      </c>
      <c r="S64" s="16">
        <f t="shared" si="0"/>
        <v>0</v>
      </c>
      <c r="T64" s="15" t="str">
        <f>IF($P64&gt;0,COUNTIF($P$11:P64,"&gt;0"),"")</f>
        <v/>
      </c>
    </row>
    <row r="65" spans="1:20" ht="15" customHeight="1" x14ac:dyDescent="0.2">
      <c r="A65" s="15"/>
      <c r="B65" s="15"/>
      <c r="C65" s="15"/>
      <c r="D65" s="15"/>
      <c r="E65" s="15"/>
      <c r="F65" s="15"/>
      <c r="G65" s="15"/>
      <c r="H65" s="15"/>
      <c r="I65" s="16"/>
      <c r="J65" s="16"/>
      <c r="K65" s="16"/>
      <c r="L65" s="16"/>
      <c r="M65" s="16"/>
      <c r="N65" s="15"/>
      <c r="O65" s="15"/>
      <c r="P65" s="17"/>
      <c r="Q65" s="17"/>
      <c r="R65" s="16" t="str">
        <f>IF($P65&gt;0,CHOOSE(MATCH($B$4,'Служебный лист'!$A$4:$A$8,0),I65,J65,K65,L65,M65),"")</f>
        <v/>
      </c>
      <c r="S65" s="16">
        <f t="shared" si="0"/>
        <v>0</v>
      </c>
      <c r="T65" s="15" t="str">
        <f>IF($P65&gt;0,COUNTIF($P$11:P65,"&gt;0"),"")</f>
        <v/>
      </c>
    </row>
    <row r="66" spans="1:20" ht="15" customHeight="1" x14ac:dyDescent="0.2">
      <c r="A66" s="15"/>
      <c r="B66" s="15"/>
      <c r="C66" s="15"/>
      <c r="D66" s="15"/>
      <c r="E66" s="15"/>
      <c r="F66" s="15"/>
      <c r="G66" s="15"/>
      <c r="H66" s="15"/>
      <c r="I66" s="16"/>
      <c r="J66" s="16"/>
      <c r="K66" s="16"/>
      <c r="L66" s="16"/>
      <c r="M66" s="16"/>
      <c r="N66" s="15"/>
      <c r="O66" s="15"/>
      <c r="P66" s="17"/>
      <c r="Q66" s="17"/>
      <c r="R66" s="16" t="str">
        <f>IF($P66&gt;0,CHOOSE(MATCH($B$4,'Служебный лист'!$A$4:$A$8,0),I66,J66,K66,L66,M66),"")</f>
        <v/>
      </c>
      <c r="S66" s="16">
        <f t="shared" si="0"/>
        <v>0</v>
      </c>
      <c r="T66" s="15" t="str">
        <f>IF($P66&gt;0,COUNTIF($P$11:P66,"&gt;0"),"")</f>
        <v/>
      </c>
    </row>
    <row r="67" spans="1:20" ht="15" customHeight="1" x14ac:dyDescent="0.2">
      <c r="A67" s="15"/>
      <c r="B67" s="15"/>
      <c r="C67" s="15"/>
      <c r="D67" s="15"/>
      <c r="E67" s="15"/>
      <c r="F67" s="15"/>
      <c r="G67" s="15"/>
      <c r="H67" s="15"/>
      <c r="I67" s="16"/>
      <c r="J67" s="16"/>
      <c r="K67" s="16"/>
      <c r="L67" s="16"/>
      <c r="M67" s="16"/>
      <c r="N67" s="15"/>
      <c r="O67" s="15"/>
      <c r="P67" s="17"/>
      <c r="Q67" s="17"/>
      <c r="R67" s="16" t="str">
        <f>IF($P67&gt;0,CHOOSE(MATCH($B$4,'Служебный лист'!$A$4:$A$8,0),I67,J67,K67,L67,M67),"")</f>
        <v/>
      </c>
      <c r="S67" s="16">
        <f t="shared" si="0"/>
        <v>0</v>
      </c>
      <c r="T67" s="15" t="str">
        <f>IF($P67&gt;0,COUNTIF($P$11:P67,"&gt;0"),"")</f>
        <v/>
      </c>
    </row>
    <row r="68" spans="1:20" ht="15" customHeight="1" x14ac:dyDescent="0.2">
      <c r="A68" s="15"/>
      <c r="B68" s="15"/>
      <c r="C68" s="15"/>
      <c r="D68" s="15"/>
      <c r="E68" s="15"/>
      <c r="F68" s="15"/>
      <c r="G68" s="15"/>
      <c r="H68" s="15"/>
      <c r="I68" s="16"/>
      <c r="J68" s="16"/>
      <c r="K68" s="16"/>
      <c r="L68" s="16"/>
      <c r="M68" s="16"/>
      <c r="N68" s="15"/>
      <c r="O68" s="15"/>
      <c r="P68" s="17"/>
      <c r="Q68" s="17"/>
      <c r="R68" s="16" t="str">
        <f>IF($P68&gt;0,CHOOSE(MATCH($B$4,'Служебный лист'!$A$4:$A$8,0),I68,J68,K68,L68,M68),"")</f>
        <v/>
      </c>
      <c r="S68" s="16">
        <f t="shared" si="0"/>
        <v>0</v>
      </c>
      <c r="T68" s="15" t="str">
        <f>IF($P68&gt;0,COUNTIF($P$11:P68,"&gt;0"),"")</f>
        <v/>
      </c>
    </row>
    <row r="69" spans="1:20" ht="15" customHeight="1" x14ac:dyDescent="0.2">
      <c r="A69" s="15"/>
      <c r="B69" s="15"/>
      <c r="C69" s="15"/>
      <c r="D69" s="15"/>
      <c r="E69" s="15"/>
      <c r="F69" s="15"/>
      <c r="G69" s="15"/>
      <c r="H69" s="15"/>
      <c r="I69" s="16"/>
      <c r="J69" s="16"/>
      <c r="K69" s="16"/>
      <c r="L69" s="16"/>
      <c r="M69" s="16"/>
      <c r="N69" s="15"/>
      <c r="O69" s="15"/>
      <c r="P69" s="17"/>
      <c r="Q69" s="17"/>
      <c r="R69" s="16" t="str">
        <f>IF($P69&gt;0,CHOOSE(MATCH($B$4,'Служебный лист'!$A$4:$A$8,0),I69,J69,K69,L69,M69),"")</f>
        <v/>
      </c>
      <c r="S69" s="16">
        <f t="shared" si="0"/>
        <v>0</v>
      </c>
      <c r="T69" s="15" t="str">
        <f>IF($P69&gt;0,COUNTIF($P$11:P69,"&gt;0"),"")</f>
        <v/>
      </c>
    </row>
    <row r="70" spans="1:20" ht="15" customHeight="1" x14ac:dyDescent="0.2">
      <c r="A70" s="15"/>
      <c r="B70" s="15"/>
      <c r="C70" s="15"/>
      <c r="D70" s="15"/>
      <c r="E70" s="15"/>
      <c r="F70" s="15"/>
      <c r="G70" s="15"/>
      <c r="H70" s="15"/>
      <c r="I70" s="16"/>
      <c r="J70" s="16"/>
      <c r="K70" s="16"/>
      <c r="L70" s="16"/>
      <c r="M70" s="16"/>
      <c r="N70" s="15"/>
      <c r="O70" s="15"/>
      <c r="P70" s="17"/>
      <c r="Q70" s="17"/>
      <c r="R70" s="16" t="str">
        <f>IF($P70&gt;0,CHOOSE(MATCH($B$4,'Служебный лист'!$A$4:$A$8,0),I70,J70,K70,L70,M70),"")</f>
        <v/>
      </c>
      <c r="S70" s="16">
        <f t="shared" si="0"/>
        <v>0</v>
      </c>
      <c r="T70" s="15" t="str">
        <f>IF($P70&gt;0,COUNTIF($P$11:P70,"&gt;0"),"")</f>
        <v/>
      </c>
    </row>
    <row r="71" spans="1:20" ht="15" customHeight="1" x14ac:dyDescent="0.2">
      <c r="A71" s="15"/>
      <c r="B71" s="15"/>
      <c r="C71" s="15"/>
      <c r="D71" s="15"/>
      <c r="E71" s="15"/>
      <c r="F71" s="15"/>
      <c r="G71" s="15"/>
      <c r="H71" s="15"/>
      <c r="I71" s="16"/>
      <c r="J71" s="16"/>
      <c r="K71" s="16"/>
      <c r="L71" s="16"/>
      <c r="M71" s="16"/>
      <c r="N71" s="15"/>
      <c r="O71" s="15"/>
      <c r="P71" s="17"/>
      <c r="Q71" s="17"/>
      <c r="R71" s="16" t="str">
        <f>IF($P71&gt;0,CHOOSE(MATCH($B$4,'Служебный лист'!$A$4:$A$8,0),I71,J71,K71,L71,M71),"")</f>
        <v/>
      </c>
      <c r="S71" s="16">
        <f t="shared" si="0"/>
        <v>0</v>
      </c>
      <c r="T71" s="15" t="str">
        <f>IF($P71&gt;0,COUNTIF($P$11:P71,"&gt;0"),"")</f>
        <v/>
      </c>
    </row>
    <row r="72" spans="1:20" ht="15" customHeight="1" x14ac:dyDescent="0.2">
      <c r="A72" s="15"/>
      <c r="B72" s="15"/>
      <c r="C72" s="15"/>
      <c r="D72" s="15"/>
      <c r="E72" s="15"/>
      <c r="F72" s="15"/>
      <c r="G72" s="15"/>
      <c r="H72" s="15"/>
      <c r="I72" s="16"/>
      <c r="J72" s="16"/>
      <c r="K72" s="16"/>
      <c r="L72" s="16"/>
      <c r="M72" s="16"/>
      <c r="N72" s="15"/>
      <c r="O72" s="15"/>
      <c r="P72" s="17"/>
      <c r="Q72" s="17"/>
      <c r="R72" s="16" t="str">
        <f>IF($P72&gt;0,CHOOSE(MATCH($B$4,'Служебный лист'!$A$4:$A$8,0),I72,J72,K72,L72,M72),"")</f>
        <v/>
      </c>
      <c r="S72" s="16">
        <f t="shared" si="0"/>
        <v>0</v>
      </c>
      <c r="T72" s="15" t="str">
        <f>IF($P72&gt;0,COUNTIF($P$11:P72,"&gt;0"),"")</f>
        <v/>
      </c>
    </row>
    <row r="73" spans="1:20" ht="15" customHeight="1" x14ac:dyDescent="0.2">
      <c r="A73" s="15"/>
      <c r="B73" s="15"/>
      <c r="C73" s="15"/>
      <c r="D73" s="15"/>
      <c r="E73" s="15"/>
      <c r="F73" s="15"/>
      <c r="G73" s="15"/>
      <c r="H73" s="15"/>
      <c r="I73" s="16"/>
      <c r="J73" s="16"/>
      <c r="K73" s="16"/>
      <c r="L73" s="16"/>
      <c r="M73" s="16"/>
      <c r="N73" s="15"/>
      <c r="O73" s="15"/>
      <c r="P73" s="17"/>
      <c r="Q73" s="17"/>
      <c r="R73" s="16" t="str">
        <f>IF($P73&gt;0,CHOOSE(MATCH($B$4,'Служебный лист'!$A$4:$A$8,0),I73,J73,K73,L73,M73),"")</f>
        <v/>
      </c>
      <c r="S73" s="16">
        <f t="shared" si="0"/>
        <v>0</v>
      </c>
      <c r="T73" s="15" t="str">
        <f>IF($P73&gt;0,COUNTIF($P$11:P73,"&gt;0"),"")</f>
        <v/>
      </c>
    </row>
    <row r="74" spans="1:20" ht="15" customHeight="1" x14ac:dyDescent="0.2">
      <c r="A74" s="15"/>
      <c r="B74" s="15"/>
      <c r="C74" s="15"/>
      <c r="D74" s="15"/>
      <c r="E74" s="15"/>
      <c r="F74" s="15"/>
      <c r="G74" s="15"/>
      <c r="H74" s="15"/>
      <c r="I74" s="16"/>
      <c r="J74" s="16"/>
      <c r="K74" s="16"/>
      <c r="L74" s="16"/>
      <c r="M74" s="16"/>
      <c r="N74" s="15"/>
      <c r="O74" s="15"/>
      <c r="P74" s="17"/>
      <c r="Q74" s="17"/>
      <c r="R74" s="16" t="str">
        <f>IF($P74&gt;0,CHOOSE(MATCH($B$4,'Служебный лист'!$A$4:$A$8,0),I74,J74,K74,L74,M74),"")</f>
        <v/>
      </c>
      <c r="S74" s="16">
        <f t="shared" si="0"/>
        <v>0</v>
      </c>
      <c r="T74" s="15" t="str">
        <f>IF($P74&gt;0,COUNTIF($P$11:P74,"&gt;0"),"")</f>
        <v/>
      </c>
    </row>
    <row r="75" spans="1:20" ht="15" customHeight="1" x14ac:dyDescent="0.2">
      <c r="A75" s="15"/>
      <c r="B75" s="15"/>
      <c r="C75" s="15"/>
      <c r="D75" s="15"/>
      <c r="E75" s="15"/>
      <c r="F75" s="15"/>
      <c r="G75" s="15"/>
      <c r="H75" s="15"/>
      <c r="I75" s="16"/>
      <c r="J75" s="16"/>
      <c r="K75" s="16"/>
      <c r="L75" s="16"/>
      <c r="M75" s="16"/>
      <c r="N75" s="15"/>
      <c r="O75" s="15"/>
      <c r="P75" s="17"/>
      <c r="Q75" s="17"/>
      <c r="R75" s="16" t="str">
        <f>IF($P75&gt;0,CHOOSE(MATCH($B$4,'Служебный лист'!$A$4:$A$8,0),I75,J75,K75,L75,M75),"")</f>
        <v/>
      </c>
      <c r="S75" s="16">
        <f t="shared" ref="S75:S138" si="1">IFERROR($P75*$R75,0)</f>
        <v>0</v>
      </c>
      <c r="T75" s="15" t="str">
        <f>IF($P75&gt;0,COUNTIF($P$11:P75,"&gt;0"),"")</f>
        <v/>
      </c>
    </row>
    <row r="76" spans="1:20" ht="15" customHeight="1" x14ac:dyDescent="0.2">
      <c r="A76" s="15"/>
      <c r="B76" s="15"/>
      <c r="C76" s="15"/>
      <c r="D76" s="15"/>
      <c r="E76" s="15"/>
      <c r="F76" s="15"/>
      <c r="G76" s="15"/>
      <c r="H76" s="15"/>
      <c r="I76" s="16"/>
      <c r="J76" s="16"/>
      <c r="K76" s="16"/>
      <c r="L76" s="16"/>
      <c r="M76" s="16"/>
      <c r="N76" s="15"/>
      <c r="O76" s="15"/>
      <c r="P76" s="17"/>
      <c r="Q76" s="17"/>
      <c r="R76" s="16" t="str">
        <f>IF($P76&gt;0,CHOOSE(MATCH($B$4,'Служебный лист'!$A$4:$A$8,0),I76,J76,K76,L76,M76),"")</f>
        <v/>
      </c>
      <c r="S76" s="16">
        <f t="shared" si="1"/>
        <v>0</v>
      </c>
      <c r="T76" s="15" t="str">
        <f>IF($P76&gt;0,COUNTIF($P$11:P76,"&gt;0"),"")</f>
        <v/>
      </c>
    </row>
    <row r="77" spans="1:20" ht="15" customHeight="1" x14ac:dyDescent="0.2">
      <c r="A77" s="15"/>
      <c r="B77" s="15"/>
      <c r="C77" s="15"/>
      <c r="D77" s="15"/>
      <c r="E77" s="15"/>
      <c r="F77" s="15"/>
      <c r="G77" s="15"/>
      <c r="H77" s="15"/>
      <c r="I77" s="16"/>
      <c r="J77" s="16"/>
      <c r="K77" s="16"/>
      <c r="L77" s="16"/>
      <c r="M77" s="16"/>
      <c r="N77" s="15"/>
      <c r="O77" s="15"/>
      <c r="P77" s="17"/>
      <c r="Q77" s="17"/>
      <c r="R77" s="16" t="str">
        <f>IF($P77&gt;0,CHOOSE(MATCH($B$4,'Служебный лист'!$A$4:$A$8,0),I77,J77,K77,L77,M77),"")</f>
        <v/>
      </c>
      <c r="S77" s="16">
        <f t="shared" si="1"/>
        <v>0</v>
      </c>
      <c r="T77" s="15" t="str">
        <f>IF($P77&gt;0,COUNTIF($P$11:P77,"&gt;0"),"")</f>
        <v/>
      </c>
    </row>
    <row r="78" spans="1:20" ht="15" customHeight="1" x14ac:dyDescent="0.2">
      <c r="A78" s="15"/>
      <c r="B78" s="15"/>
      <c r="C78" s="15"/>
      <c r="D78" s="15"/>
      <c r="E78" s="15"/>
      <c r="F78" s="15"/>
      <c r="G78" s="15"/>
      <c r="H78" s="15"/>
      <c r="I78" s="16"/>
      <c r="J78" s="16"/>
      <c r="K78" s="16"/>
      <c r="L78" s="16"/>
      <c r="M78" s="16"/>
      <c r="N78" s="15"/>
      <c r="O78" s="15"/>
      <c r="P78" s="17"/>
      <c r="Q78" s="17"/>
      <c r="R78" s="16" t="str">
        <f>IF($P78&gt;0,CHOOSE(MATCH($B$4,'Служебный лист'!$A$4:$A$8,0),I78,J78,K78,L78,M78),"")</f>
        <v/>
      </c>
      <c r="S78" s="16">
        <f t="shared" si="1"/>
        <v>0</v>
      </c>
      <c r="T78" s="15" t="str">
        <f>IF($P78&gt;0,COUNTIF($P$11:P78,"&gt;0"),"")</f>
        <v/>
      </c>
    </row>
    <row r="79" spans="1:20" ht="15" customHeight="1" x14ac:dyDescent="0.2">
      <c r="A79" s="15"/>
      <c r="B79" s="15"/>
      <c r="C79" s="15"/>
      <c r="D79" s="15"/>
      <c r="E79" s="15"/>
      <c r="F79" s="15"/>
      <c r="G79" s="15"/>
      <c r="H79" s="15"/>
      <c r="I79" s="16"/>
      <c r="J79" s="16"/>
      <c r="K79" s="16"/>
      <c r="L79" s="16"/>
      <c r="M79" s="16"/>
      <c r="N79" s="15"/>
      <c r="O79" s="15"/>
      <c r="P79" s="17"/>
      <c r="Q79" s="17"/>
      <c r="R79" s="16" t="str">
        <f>IF($P79&gt;0,CHOOSE(MATCH($B$4,'Служебный лист'!$A$4:$A$8,0),I79,J79,K79,L79,M79),"")</f>
        <v/>
      </c>
      <c r="S79" s="16">
        <f t="shared" si="1"/>
        <v>0</v>
      </c>
      <c r="T79" s="15" t="str">
        <f>IF($P79&gt;0,COUNTIF($P$11:P79,"&gt;0"),"")</f>
        <v/>
      </c>
    </row>
    <row r="80" spans="1:20" ht="15" customHeight="1" x14ac:dyDescent="0.2">
      <c r="A80" s="15"/>
      <c r="B80" s="15"/>
      <c r="C80" s="15"/>
      <c r="D80" s="15"/>
      <c r="E80" s="15"/>
      <c r="F80" s="15"/>
      <c r="G80" s="15"/>
      <c r="H80" s="15"/>
      <c r="I80" s="16"/>
      <c r="J80" s="16"/>
      <c r="K80" s="16"/>
      <c r="L80" s="16"/>
      <c r="M80" s="16"/>
      <c r="N80" s="15"/>
      <c r="O80" s="15"/>
      <c r="P80" s="17"/>
      <c r="Q80" s="17"/>
      <c r="R80" s="16" t="str">
        <f>IF($P80&gt;0,CHOOSE(MATCH($B$4,'Служебный лист'!$A$4:$A$8,0),I80,J80,K80,L80,M80),"")</f>
        <v/>
      </c>
      <c r="S80" s="16">
        <f t="shared" si="1"/>
        <v>0</v>
      </c>
      <c r="T80" s="15" t="str">
        <f>IF($P80&gt;0,COUNTIF($P$11:P80,"&gt;0"),"")</f>
        <v/>
      </c>
    </row>
    <row r="81" spans="1:20" ht="15" customHeight="1" x14ac:dyDescent="0.2">
      <c r="A81" s="15"/>
      <c r="B81" s="15"/>
      <c r="C81" s="15"/>
      <c r="D81" s="15"/>
      <c r="E81" s="15"/>
      <c r="F81" s="15"/>
      <c r="G81" s="15"/>
      <c r="H81" s="15"/>
      <c r="I81" s="16"/>
      <c r="J81" s="16"/>
      <c r="K81" s="16"/>
      <c r="L81" s="16"/>
      <c r="M81" s="16"/>
      <c r="N81" s="15"/>
      <c r="O81" s="15"/>
      <c r="P81" s="17"/>
      <c r="Q81" s="17"/>
      <c r="R81" s="16" t="str">
        <f>IF($P81&gt;0,CHOOSE(MATCH($B$4,'Служебный лист'!$A$4:$A$8,0),I81,J81,K81,L81,M81),"")</f>
        <v/>
      </c>
      <c r="S81" s="16">
        <f t="shared" si="1"/>
        <v>0</v>
      </c>
      <c r="T81" s="15" t="str">
        <f>IF($P81&gt;0,COUNTIF($P$11:P81,"&gt;0"),"")</f>
        <v/>
      </c>
    </row>
    <row r="82" spans="1:20" ht="15" customHeight="1" x14ac:dyDescent="0.2">
      <c r="A82" s="15"/>
      <c r="B82" s="15"/>
      <c r="C82" s="15"/>
      <c r="D82" s="15"/>
      <c r="E82" s="15"/>
      <c r="F82" s="15"/>
      <c r="G82" s="15"/>
      <c r="H82" s="15"/>
      <c r="I82" s="16"/>
      <c r="J82" s="16"/>
      <c r="K82" s="16"/>
      <c r="L82" s="16"/>
      <c r="M82" s="16"/>
      <c r="N82" s="15"/>
      <c r="O82" s="15"/>
      <c r="P82" s="17"/>
      <c r="Q82" s="17"/>
      <c r="R82" s="16" t="str">
        <f>IF($P82&gt;0,CHOOSE(MATCH($B$4,'Служебный лист'!$A$4:$A$8,0),I82,J82,K82,L82,M82),"")</f>
        <v/>
      </c>
      <c r="S82" s="16">
        <f t="shared" si="1"/>
        <v>0</v>
      </c>
      <c r="T82" s="15" t="str">
        <f>IF($P82&gt;0,COUNTIF($P$11:P82,"&gt;0"),"")</f>
        <v/>
      </c>
    </row>
    <row r="83" spans="1:20" ht="15" customHeight="1" x14ac:dyDescent="0.2">
      <c r="A83" s="15"/>
      <c r="B83" s="15"/>
      <c r="C83" s="15"/>
      <c r="D83" s="15"/>
      <c r="E83" s="15"/>
      <c r="F83" s="15"/>
      <c r="G83" s="15"/>
      <c r="H83" s="15"/>
      <c r="I83" s="16"/>
      <c r="J83" s="16"/>
      <c r="K83" s="16"/>
      <c r="L83" s="16"/>
      <c r="M83" s="16"/>
      <c r="N83" s="15"/>
      <c r="O83" s="15"/>
      <c r="P83" s="17"/>
      <c r="Q83" s="17"/>
      <c r="R83" s="16" t="str">
        <f>IF($P83&gt;0,CHOOSE(MATCH($B$4,'Служебный лист'!$A$4:$A$8,0),I83,J83,K83,L83,M83),"")</f>
        <v/>
      </c>
      <c r="S83" s="16">
        <f t="shared" si="1"/>
        <v>0</v>
      </c>
      <c r="T83" s="15" t="str">
        <f>IF($P83&gt;0,COUNTIF($P$11:P83,"&gt;0"),"")</f>
        <v/>
      </c>
    </row>
    <row r="84" spans="1:20" ht="15" customHeight="1" x14ac:dyDescent="0.2">
      <c r="A84" s="15"/>
      <c r="B84" s="15"/>
      <c r="C84" s="15"/>
      <c r="D84" s="15"/>
      <c r="E84" s="15"/>
      <c r="F84" s="15"/>
      <c r="G84" s="15"/>
      <c r="H84" s="15"/>
      <c r="I84" s="16"/>
      <c r="J84" s="16"/>
      <c r="K84" s="16"/>
      <c r="L84" s="16"/>
      <c r="M84" s="16"/>
      <c r="N84" s="15"/>
      <c r="O84" s="15"/>
      <c r="P84" s="17"/>
      <c r="Q84" s="17"/>
      <c r="R84" s="16" t="str">
        <f>IF($P84&gt;0,CHOOSE(MATCH($B$4,'Служебный лист'!$A$4:$A$8,0),I84,J84,K84,L84,M84),"")</f>
        <v/>
      </c>
      <c r="S84" s="16">
        <f t="shared" si="1"/>
        <v>0</v>
      </c>
      <c r="T84" s="15" t="str">
        <f>IF($P84&gt;0,COUNTIF($P$11:P84,"&gt;0"),"")</f>
        <v/>
      </c>
    </row>
    <row r="85" spans="1:20" ht="15" customHeight="1" x14ac:dyDescent="0.2">
      <c r="A85" s="15"/>
      <c r="B85" s="15"/>
      <c r="C85" s="15"/>
      <c r="D85" s="15"/>
      <c r="E85" s="15"/>
      <c r="F85" s="15"/>
      <c r="G85" s="15"/>
      <c r="H85" s="15"/>
      <c r="I85" s="16"/>
      <c r="J85" s="16"/>
      <c r="K85" s="16"/>
      <c r="L85" s="16"/>
      <c r="M85" s="16"/>
      <c r="N85" s="15"/>
      <c r="O85" s="15"/>
      <c r="P85" s="17"/>
      <c r="Q85" s="17"/>
      <c r="R85" s="16" t="str">
        <f>IF($P85&gt;0,CHOOSE(MATCH($B$4,'Служебный лист'!$A$4:$A$8,0),I85,J85,K85,L85,M85),"")</f>
        <v/>
      </c>
      <c r="S85" s="16">
        <f t="shared" si="1"/>
        <v>0</v>
      </c>
      <c r="T85" s="15" t="str">
        <f>IF($P85&gt;0,COUNTIF($P$11:P85,"&gt;0"),"")</f>
        <v/>
      </c>
    </row>
    <row r="86" spans="1:20" ht="15" customHeight="1" x14ac:dyDescent="0.2">
      <c r="A86" s="15"/>
      <c r="B86" s="15"/>
      <c r="C86" s="15"/>
      <c r="D86" s="15"/>
      <c r="E86" s="15"/>
      <c r="F86" s="15"/>
      <c r="G86" s="15"/>
      <c r="H86" s="15"/>
      <c r="I86" s="16"/>
      <c r="J86" s="16"/>
      <c r="K86" s="16"/>
      <c r="L86" s="16"/>
      <c r="M86" s="16"/>
      <c r="N86" s="15"/>
      <c r="O86" s="15"/>
      <c r="P86" s="17"/>
      <c r="Q86" s="17"/>
      <c r="R86" s="16" t="str">
        <f>IF($P86&gt;0,CHOOSE(MATCH($B$4,'Служебный лист'!$A$4:$A$8,0),I86,J86,K86,L86,M86),"")</f>
        <v/>
      </c>
      <c r="S86" s="16">
        <f t="shared" si="1"/>
        <v>0</v>
      </c>
      <c r="T86" s="15" t="str">
        <f>IF($P86&gt;0,COUNTIF($P$11:P86,"&gt;0"),"")</f>
        <v/>
      </c>
    </row>
    <row r="87" spans="1:20" ht="15" customHeight="1" x14ac:dyDescent="0.2">
      <c r="A87" s="15"/>
      <c r="B87" s="15"/>
      <c r="C87" s="15"/>
      <c r="D87" s="15"/>
      <c r="E87" s="15"/>
      <c r="F87" s="15"/>
      <c r="G87" s="15"/>
      <c r="H87" s="15"/>
      <c r="I87" s="16"/>
      <c r="J87" s="16"/>
      <c r="K87" s="16"/>
      <c r="L87" s="16"/>
      <c r="M87" s="16"/>
      <c r="N87" s="15"/>
      <c r="O87" s="15"/>
      <c r="P87" s="17"/>
      <c r="Q87" s="17"/>
      <c r="R87" s="16" t="str">
        <f>IF($P87&gt;0,CHOOSE(MATCH($B$4,'Служебный лист'!$A$4:$A$8,0),I87,J87,K87,L87,M87),"")</f>
        <v/>
      </c>
      <c r="S87" s="16">
        <f t="shared" si="1"/>
        <v>0</v>
      </c>
      <c r="T87" s="15" t="str">
        <f>IF($P87&gt;0,COUNTIF($P$11:P87,"&gt;0"),"")</f>
        <v/>
      </c>
    </row>
    <row r="88" spans="1:20" ht="15" customHeight="1" x14ac:dyDescent="0.2">
      <c r="A88" s="15"/>
      <c r="B88" s="15"/>
      <c r="C88" s="15"/>
      <c r="D88" s="15"/>
      <c r="E88" s="15"/>
      <c r="F88" s="15"/>
      <c r="G88" s="15"/>
      <c r="H88" s="15"/>
      <c r="I88" s="16"/>
      <c r="J88" s="16"/>
      <c r="K88" s="16"/>
      <c r="L88" s="16"/>
      <c r="M88" s="16"/>
      <c r="N88" s="15"/>
      <c r="O88" s="15"/>
      <c r="P88" s="17"/>
      <c r="Q88" s="17"/>
      <c r="R88" s="16" t="str">
        <f>IF($P88&gt;0,CHOOSE(MATCH($B$4,'Служебный лист'!$A$4:$A$8,0),I88,J88,K88,L88,M88),"")</f>
        <v/>
      </c>
      <c r="S88" s="16">
        <f t="shared" si="1"/>
        <v>0</v>
      </c>
      <c r="T88" s="15" t="str">
        <f>IF($P88&gt;0,COUNTIF($P$11:P88,"&gt;0"),"")</f>
        <v/>
      </c>
    </row>
    <row r="89" spans="1:20" ht="15" customHeight="1" x14ac:dyDescent="0.2">
      <c r="A89" s="15"/>
      <c r="B89" s="15"/>
      <c r="C89" s="15"/>
      <c r="D89" s="15"/>
      <c r="E89" s="15"/>
      <c r="F89" s="15"/>
      <c r="G89" s="15"/>
      <c r="H89" s="15"/>
      <c r="I89" s="16"/>
      <c r="J89" s="16"/>
      <c r="K89" s="16"/>
      <c r="L89" s="16"/>
      <c r="M89" s="16"/>
      <c r="N89" s="15"/>
      <c r="O89" s="15"/>
      <c r="P89" s="17"/>
      <c r="Q89" s="17"/>
      <c r="R89" s="16" t="str">
        <f>IF($P89&gt;0,CHOOSE(MATCH($B$4,'Служебный лист'!$A$4:$A$8,0),I89,J89,K89,L89,M89),"")</f>
        <v/>
      </c>
      <c r="S89" s="16">
        <f t="shared" si="1"/>
        <v>0</v>
      </c>
      <c r="T89" s="15" t="str">
        <f>IF($P89&gt;0,COUNTIF($P$11:P89,"&gt;0"),"")</f>
        <v/>
      </c>
    </row>
    <row r="90" spans="1:20" ht="15" customHeight="1" x14ac:dyDescent="0.2">
      <c r="A90" s="15"/>
      <c r="B90" s="15"/>
      <c r="C90" s="15"/>
      <c r="D90" s="15"/>
      <c r="E90" s="15"/>
      <c r="F90" s="15"/>
      <c r="G90" s="15"/>
      <c r="H90" s="15"/>
      <c r="I90" s="16"/>
      <c r="J90" s="16"/>
      <c r="K90" s="16"/>
      <c r="L90" s="16"/>
      <c r="M90" s="16"/>
      <c r="N90" s="15"/>
      <c r="O90" s="15"/>
      <c r="P90" s="17"/>
      <c r="Q90" s="17"/>
      <c r="R90" s="16" t="str">
        <f>IF($P90&gt;0,CHOOSE(MATCH($B$4,'Служебный лист'!$A$4:$A$8,0),I90,J90,K90,L90,M90),"")</f>
        <v/>
      </c>
      <c r="S90" s="16">
        <f t="shared" si="1"/>
        <v>0</v>
      </c>
      <c r="T90" s="15" t="str">
        <f>IF($P90&gt;0,COUNTIF($P$11:P90,"&gt;0"),"")</f>
        <v/>
      </c>
    </row>
    <row r="91" spans="1:20" ht="15" customHeight="1" x14ac:dyDescent="0.2">
      <c r="A91" s="15"/>
      <c r="B91" s="15"/>
      <c r="C91" s="15"/>
      <c r="D91" s="15"/>
      <c r="E91" s="15"/>
      <c r="F91" s="15"/>
      <c r="G91" s="15"/>
      <c r="H91" s="15"/>
      <c r="I91" s="16"/>
      <c r="J91" s="16"/>
      <c r="K91" s="16"/>
      <c r="L91" s="16"/>
      <c r="M91" s="16"/>
      <c r="N91" s="15"/>
      <c r="O91" s="15"/>
      <c r="P91" s="17"/>
      <c r="Q91" s="17"/>
      <c r="R91" s="16" t="str">
        <f>IF($P91&gt;0,CHOOSE(MATCH($B$4,'Служебный лист'!$A$4:$A$8,0),I91,J91,K91,L91,M91),"")</f>
        <v/>
      </c>
      <c r="S91" s="16">
        <f t="shared" si="1"/>
        <v>0</v>
      </c>
      <c r="T91" s="15" t="str">
        <f>IF($P91&gt;0,COUNTIF($P$11:P91,"&gt;0"),"")</f>
        <v/>
      </c>
    </row>
    <row r="92" spans="1:20" ht="15" customHeight="1" x14ac:dyDescent="0.2">
      <c r="A92" s="15"/>
      <c r="B92" s="15"/>
      <c r="C92" s="15"/>
      <c r="D92" s="15"/>
      <c r="E92" s="15"/>
      <c r="F92" s="15"/>
      <c r="G92" s="15"/>
      <c r="H92" s="15"/>
      <c r="I92" s="16"/>
      <c r="J92" s="16"/>
      <c r="K92" s="16"/>
      <c r="L92" s="16"/>
      <c r="M92" s="16"/>
      <c r="N92" s="15"/>
      <c r="O92" s="15"/>
      <c r="P92" s="17"/>
      <c r="Q92" s="17"/>
      <c r="R92" s="16" t="str">
        <f>IF($P92&gt;0,CHOOSE(MATCH($B$4,'Служебный лист'!$A$4:$A$8,0),I92,J92,K92,L92,M92),"")</f>
        <v/>
      </c>
      <c r="S92" s="16">
        <f t="shared" si="1"/>
        <v>0</v>
      </c>
      <c r="T92" s="15" t="str">
        <f>IF($P92&gt;0,COUNTIF($P$11:P92,"&gt;0"),"")</f>
        <v/>
      </c>
    </row>
    <row r="93" spans="1:20" ht="15" customHeight="1" x14ac:dyDescent="0.2">
      <c r="A93" s="15"/>
      <c r="B93" s="15"/>
      <c r="C93" s="15"/>
      <c r="D93" s="15"/>
      <c r="E93" s="15"/>
      <c r="F93" s="15"/>
      <c r="G93" s="15"/>
      <c r="H93" s="15"/>
      <c r="I93" s="16"/>
      <c r="J93" s="16"/>
      <c r="K93" s="16"/>
      <c r="L93" s="16"/>
      <c r="M93" s="16"/>
      <c r="N93" s="15"/>
      <c r="O93" s="15"/>
      <c r="P93" s="17"/>
      <c r="Q93" s="17"/>
      <c r="R93" s="16" t="str">
        <f>IF($P93&gt;0,CHOOSE(MATCH($B$4,'Служебный лист'!$A$4:$A$8,0),I93,J93,K93,L93,M93),"")</f>
        <v/>
      </c>
      <c r="S93" s="16">
        <f t="shared" si="1"/>
        <v>0</v>
      </c>
      <c r="T93" s="15" t="str">
        <f>IF($P93&gt;0,COUNTIF($P$11:P93,"&gt;0"),"")</f>
        <v/>
      </c>
    </row>
    <row r="94" spans="1:20" ht="15" customHeight="1" x14ac:dyDescent="0.2">
      <c r="A94" s="15"/>
      <c r="B94" s="15"/>
      <c r="C94" s="15"/>
      <c r="D94" s="15"/>
      <c r="E94" s="15"/>
      <c r="F94" s="15"/>
      <c r="G94" s="15"/>
      <c r="H94" s="15"/>
      <c r="I94" s="16"/>
      <c r="J94" s="16"/>
      <c r="K94" s="16"/>
      <c r="L94" s="16"/>
      <c r="M94" s="16"/>
      <c r="N94" s="15"/>
      <c r="O94" s="15"/>
      <c r="P94" s="17"/>
      <c r="Q94" s="17"/>
      <c r="R94" s="16" t="str">
        <f>IF($P94&gt;0,CHOOSE(MATCH($B$4,'Служебный лист'!$A$4:$A$8,0),I94,J94,K94,L94,M94),"")</f>
        <v/>
      </c>
      <c r="S94" s="16">
        <f t="shared" si="1"/>
        <v>0</v>
      </c>
      <c r="T94" s="15" t="str">
        <f>IF($P94&gt;0,COUNTIF($P$11:P94,"&gt;0"),"")</f>
        <v/>
      </c>
    </row>
    <row r="95" spans="1:20" ht="15" customHeight="1" x14ac:dyDescent="0.2">
      <c r="A95" s="15"/>
      <c r="B95" s="15"/>
      <c r="C95" s="15"/>
      <c r="D95" s="15"/>
      <c r="E95" s="15"/>
      <c r="F95" s="15"/>
      <c r="G95" s="15"/>
      <c r="H95" s="15"/>
      <c r="I95" s="16"/>
      <c r="J95" s="16"/>
      <c r="K95" s="16"/>
      <c r="L95" s="16"/>
      <c r="M95" s="16"/>
      <c r="N95" s="15"/>
      <c r="O95" s="15"/>
      <c r="P95" s="17"/>
      <c r="Q95" s="17"/>
      <c r="R95" s="16" t="str">
        <f>IF($P95&gt;0,CHOOSE(MATCH($B$4,'Служебный лист'!$A$4:$A$8,0),I95,J95,K95,L95,M95),"")</f>
        <v/>
      </c>
      <c r="S95" s="16">
        <f t="shared" si="1"/>
        <v>0</v>
      </c>
      <c r="T95" s="15" t="str">
        <f>IF($P95&gt;0,COUNTIF($P$11:P95,"&gt;0"),"")</f>
        <v/>
      </c>
    </row>
    <row r="96" spans="1:20" ht="15" customHeight="1" x14ac:dyDescent="0.2">
      <c r="A96" s="15"/>
      <c r="B96" s="15"/>
      <c r="C96" s="15"/>
      <c r="D96" s="15"/>
      <c r="E96" s="15"/>
      <c r="F96" s="15"/>
      <c r="G96" s="15"/>
      <c r="H96" s="15"/>
      <c r="I96" s="16"/>
      <c r="J96" s="16"/>
      <c r="K96" s="16"/>
      <c r="L96" s="16"/>
      <c r="M96" s="16"/>
      <c r="N96" s="15"/>
      <c r="O96" s="15"/>
      <c r="P96" s="17"/>
      <c r="Q96" s="17"/>
      <c r="R96" s="16" t="str">
        <f>IF($P96&gt;0,CHOOSE(MATCH($B$4,'Служебный лист'!$A$4:$A$8,0),I96,J96,K96,L96,M96),"")</f>
        <v/>
      </c>
      <c r="S96" s="16">
        <f t="shared" si="1"/>
        <v>0</v>
      </c>
      <c r="T96" s="15" t="str">
        <f>IF($P96&gt;0,COUNTIF($P$11:P96,"&gt;0"),"")</f>
        <v/>
      </c>
    </row>
    <row r="97" spans="1:20" ht="15" customHeight="1" x14ac:dyDescent="0.2">
      <c r="A97" s="15"/>
      <c r="B97" s="15"/>
      <c r="C97" s="15"/>
      <c r="D97" s="15"/>
      <c r="E97" s="15"/>
      <c r="F97" s="15"/>
      <c r="G97" s="15"/>
      <c r="H97" s="15"/>
      <c r="I97" s="16"/>
      <c r="J97" s="16"/>
      <c r="K97" s="16"/>
      <c r="L97" s="16"/>
      <c r="M97" s="16"/>
      <c r="N97" s="15"/>
      <c r="O97" s="15"/>
      <c r="P97" s="17"/>
      <c r="Q97" s="17"/>
      <c r="R97" s="16" t="str">
        <f>IF($P97&gt;0,CHOOSE(MATCH($B$4,'Служебный лист'!$A$4:$A$8,0),I97,J97,K97,L97,M97),"")</f>
        <v/>
      </c>
      <c r="S97" s="16">
        <f t="shared" si="1"/>
        <v>0</v>
      </c>
      <c r="T97" s="15" t="str">
        <f>IF($P97&gt;0,COUNTIF($P$11:P97,"&gt;0"),"")</f>
        <v/>
      </c>
    </row>
    <row r="98" spans="1:20" ht="15" customHeight="1" x14ac:dyDescent="0.2">
      <c r="A98" s="15"/>
      <c r="B98" s="15"/>
      <c r="C98" s="15"/>
      <c r="D98" s="15"/>
      <c r="E98" s="15"/>
      <c r="F98" s="15"/>
      <c r="G98" s="15"/>
      <c r="H98" s="15"/>
      <c r="I98" s="16"/>
      <c r="J98" s="16"/>
      <c r="K98" s="16"/>
      <c r="L98" s="16"/>
      <c r="M98" s="16"/>
      <c r="N98" s="15"/>
      <c r="O98" s="15"/>
      <c r="P98" s="17"/>
      <c r="Q98" s="17"/>
      <c r="R98" s="16" t="str">
        <f>IF($P98&gt;0,CHOOSE(MATCH($B$4,'Служебный лист'!$A$4:$A$8,0),I98,J98,K98,L98,M98),"")</f>
        <v/>
      </c>
      <c r="S98" s="16">
        <f t="shared" si="1"/>
        <v>0</v>
      </c>
      <c r="T98" s="15" t="str">
        <f>IF($P98&gt;0,COUNTIF($P$11:P98,"&gt;0"),"")</f>
        <v/>
      </c>
    </row>
    <row r="99" spans="1:20" ht="15" customHeight="1" x14ac:dyDescent="0.2">
      <c r="A99" s="15"/>
      <c r="B99" s="15"/>
      <c r="C99" s="15"/>
      <c r="D99" s="15"/>
      <c r="E99" s="15"/>
      <c r="F99" s="15"/>
      <c r="G99" s="15"/>
      <c r="H99" s="15"/>
      <c r="I99" s="16"/>
      <c r="J99" s="16"/>
      <c r="K99" s="16"/>
      <c r="L99" s="16"/>
      <c r="M99" s="16"/>
      <c r="N99" s="15"/>
      <c r="O99" s="15"/>
      <c r="P99" s="17"/>
      <c r="Q99" s="17"/>
      <c r="R99" s="16" t="str">
        <f>IF($P99&gt;0,CHOOSE(MATCH($B$4,'Служебный лист'!$A$4:$A$8,0),I99,J99,K99,L99,M99),"")</f>
        <v/>
      </c>
      <c r="S99" s="16">
        <f t="shared" si="1"/>
        <v>0</v>
      </c>
      <c r="T99" s="15" t="str">
        <f>IF($P99&gt;0,COUNTIF($P$11:P99,"&gt;0"),"")</f>
        <v/>
      </c>
    </row>
    <row r="100" spans="1:20" ht="1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6"/>
      <c r="J100" s="16"/>
      <c r="K100" s="16"/>
      <c r="L100" s="16"/>
      <c r="M100" s="16"/>
      <c r="N100" s="15"/>
      <c r="O100" s="15"/>
      <c r="P100" s="17"/>
      <c r="Q100" s="17"/>
      <c r="R100" s="16" t="str">
        <f>IF($P100&gt;0,CHOOSE(MATCH($B$4,'Служебный лист'!$A$4:$A$8,0),I100,J100,K100,L100,M100),"")</f>
        <v/>
      </c>
      <c r="S100" s="16">
        <f t="shared" si="1"/>
        <v>0</v>
      </c>
      <c r="T100" s="15" t="str">
        <f>IF($P100&gt;0,COUNTIF($P$11:P100,"&gt;0"),"")</f>
        <v/>
      </c>
    </row>
    <row r="101" spans="1:20" ht="1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6"/>
      <c r="J101" s="16"/>
      <c r="K101" s="16"/>
      <c r="L101" s="16"/>
      <c r="M101" s="16"/>
      <c r="N101" s="15"/>
      <c r="O101" s="15"/>
      <c r="P101" s="17"/>
      <c r="Q101" s="17"/>
      <c r="R101" s="16" t="str">
        <f>IF($P101&gt;0,CHOOSE(MATCH($B$4,'Служебный лист'!$A$4:$A$8,0),I101,J101,K101,L101,M101),"")</f>
        <v/>
      </c>
      <c r="S101" s="16">
        <f t="shared" si="1"/>
        <v>0</v>
      </c>
      <c r="T101" s="15" t="str">
        <f>IF($P101&gt;0,COUNTIF($P$11:P101,"&gt;0"),"")</f>
        <v/>
      </c>
    </row>
    <row r="102" spans="1:20" ht="1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6"/>
      <c r="J102" s="16"/>
      <c r="K102" s="16"/>
      <c r="L102" s="16"/>
      <c r="M102" s="16"/>
      <c r="N102" s="15"/>
      <c r="O102" s="15"/>
      <c r="P102" s="17"/>
      <c r="Q102" s="17"/>
      <c r="R102" s="16" t="str">
        <f>IF($P102&gt;0,CHOOSE(MATCH($B$4,'Служебный лист'!$A$4:$A$8,0),I102,J102,K102,L102,M102),"")</f>
        <v/>
      </c>
      <c r="S102" s="16">
        <f t="shared" si="1"/>
        <v>0</v>
      </c>
      <c r="T102" s="15" t="str">
        <f>IF($P102&gt;0,COUNTIF($P$11:P102,"&gt;0"),"")</f>
        <v/>
      </c>
    </row>
    <row r="103" spans="1:20" ht="1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6"/>
      <c r="J103" s="16"/>
      <c r="K103" s="16"/>
      <c r="L103" s="16"/>
      <c r="M103" s="16"/>
      <c r="N103" s="15"/>
      <c r="O103" s="15"/>
      <c r="P103" s="17"/>
      <c r="Q103" s="17"/>
      <c r="R103" s="16" t="str">
        <f>IF($P103&gt;0,CHOOSE(MATCH($B$4,'Служебный лист'!$A$4:$A$8,0),I103,J103,K103,L103,M103),"")</f>
        <v/>
      </c>
      <c r="S103" s="16">
        <f t="shared" si="1"/>
        <v>0</v>
      </c>
      <c r="T103" s="15" t="str">
        <f>IF($P103&gt;0,COUNTIF($P$11:P103,"&gt;0"),"")</f>
        <v/>
      </c>
    </row>
    <row r="104" spans="1:20" ht="1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6"/>
      <c r="J104" s="16"/>
      <c r="K104" s="16"/>
      <c r="L104" s="16"/>
      <c r="M104" s="16"/>
      <c r="N104" s="15"/>
      <c r="O104" s="15"/>
      <c r="P104" s="17"/>
      <c r="Q104" s="17"/>
      <c r="R104" s="16" t="str">
        <f>IF($P104&gt;0,CHOOSE(MATCH($B$4,'Служебный лист'!$A$4:$A$8,0),I104,J104,K104,L104,M104),"")</f>
        <v/>
      </c>
      <c r="S104" s="16">
        <f t="shared" si="1"/>
        <v>0</v>
      </c>
      <c r="T104" s="15" t="str">
        <f>IF($P104&gt;0,COUNTIF($P$11:P104,"&gt;0"),"")</f>
        <v/>
      </c>
    </row>
    <row r="105" spans="1:20" ht="1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6"/>
      <c r="J105" s="16"/>
      <c r="K105" s="16"/>
      <c r="L105" s="16"/>
      <c r="M105" s="16"/>
      <c r="N105" s="15"/>
      <c r="O105" s="15"/>
      <c r="P105" s="17"/>
      <c r="Q105" s="17"/>
      <c r="R105" s="16" t="str">
        <f>IF($P105&gt;0,CHOOSE(MATCH($B$4,'Служебный лист'!$A$4:$A$8,0),I105,J105,K105,L105,M105),"")</f>
        <v/>
      </c>
      <c r="S105" s="16">
        <f t="shared" si="1"/>
        <v>0</v>
      </c>
      <c r="T105" s="15" t="str">
        <f>IF($P105&gt;0,COUNTIF($P$11:P105,"&gt;0"),"")</f>
        <v/>
      </c>
    </row>
    <row r="106" spans="1:20" ht="1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6"/>
      <c r="J106" s="16"/>
      <c r="K106" s="16"/>
      <c r="L106" s="16"/>
      <c r="M106" s="16"/>
      <c r="N106" s="15"/>
      <c r="O106" s="15"/>
      <c r="P106" s="17"/>
      <c r="Q106" s="17"/>
      <c r="R106" s="16" t="str">
        <f>IF($P106&gt;0,CHOOSE(MATCH($B$4,'Служебный лист'!$A$4:$A$8,0),I106,J106,K106,L106,M106),"")</f>
        <v/>
      </c>
      <c r="S106" s="16">
        <f t="shared" si="1"/>
        <v>0</v>
      </c>
      <c r="T106" s="15" t="str">
        <f>IF($P106&gt;0,COUNTIF($P$11:P106,"&gt;0"),"")</f>
        <v/>
      </c>
    </row>
    <row r="107" spans="1:20" ht="1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6"/>
      <c r="J107" s="16"/>
      <c r="K107" s="16"/>
      <c r="L107" s="16"/>
      <c r="M107" s="16"/>
      <c r="N107" s="15"/>
      <c r="O107" s="15"/>
      <c r="P107" s="17"/>
      <c r="Q107" s="17"/>
      <c r="R107" s="16" t="str">
        <f>IF($P107&gt;0,CHOOSE(MATCH($B$4,'Служебный лист'!$A$4:$A$8,0),I107,J107,K107,L107,M107),"")</f>
        <v/>
      </c>
      <c r="S107" s="16">
        <f t="shared" si="1"/>
        <v>0</v>
      </c>
      <c r="T107" s="15" t="str">
        <f>IF($P107&gt;0,COUNTIF($P$11:P107,"&gt;0"),"")</f>
        <v/>
      </c>
    </row>
    <row r="108" spans="1:20" ht="1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6"/>
      <c r="J108" s="16"/>
      <c r="K108" s="16"/>
      <c r="L108" s="16"/>
      <c r="M108" s="16"/>
      <c r="N108" s="15"/>
      <c r="O108" s="15"/>
      <c r="P108" s="17"/>
      <c r="Q108" s="17"/>
      <c r="R108" s="16" t="str">
        <f>IF($P108&gt;0,CHOOSE(MATCH($B$4,'Служебный лист'!$A$4:$A$8,0),I108,J108,K108,L108,M108),"")</f>
        <v/>
      </c>
      <c r="S108" s="16">
        <f t="shared" si="1"/>
        <v>0</v>
      </c>
      <c r="T108" s="15" t="str">
        <f>IF($P108&gt;0,COUNTIF($P$11:P108,"&gt;0"),"")</f>
        <v/>
      </c>
    </row>
    <row r="109" spans="1:20" ht="1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6"/>
      <c r="J109" s="16"/>
      <c r="K109" s="16"/>
      <c r="L109" s="16"/>
      <c r="M109" s="16"/>
      <c r="N109" s="15"/>
      <c r="O109" s="15"/>
      <c r="P109" s="17"/>
      <c r="Q109" s="17"/>
      <c r="R109" s="16" t="str">
        <f>IF($P109&gt;0,CHOOSE(MATCH($B$4,'Служебный лист'!$A$4:$A$8,0),I109,J109,K109,L109,M109),"")</f>
        <v/>
      </c>
      <c r="S109" s="16">
        <f t="shared" si="1"/>
        <v>0</v>
      </c>
      <c r="T109" s="15" t="str">
        <f>IF($P109&gt;0,COUNTIF($P$11:P109,"&gt;0"),"")</f>
        <v/>
      </c>
    </row>
    <row r="110" spans="1:20" ht="1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6"/>
      <c r="J110" s="16"/>
      <c r="K110" s="16"/>
      <c r="L110" s="16"/>
      <c r="M110" s="16"/>
      <c r="N110" s="15"/>
      <c r="O110" s="15"/>
      <c r="P110" s="17"/>
      <c r="Q110" s="17"/>
      <c r="R110" s="16" t="str">
        <f>IF($P110&gt;0,CHOOSE(MATCH($B$4,'Служебный лист'!$A$4:$A$8,0),I110,J110,K110,L110,M110),"")</f>
        <v/>
      </c>
      <c r="S110" s="16">
        <f t="shared" si="1"/>
        <v>0</v>
      </c>
      <c r="T110" s="15" t="str">
        <f>IF($P110&gt;0,COUNTIF($P$11:P110,"&gt;0"),"")</f>
        <v/>
      </c>
    </row>
    <row r="111" spans="1:20" ht="14.2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6"/>
      <c r="J111" s="16"/>
      <c r="K111" s="16"/>
      <c r="L111" s="16"/>
      <c r="M111" s="16"/>
      <c r="N111" s="15"/>
      <c r="O111" s="15"/>
      <c r="P111" s="17"/>
      <c r="Q111" s="17"/>
      <c r="R111" s="16" t="str">
        <f>IF($P111&gt;0,CHOOSE(MATCH($B$4,'Служебный лист'!$A$4:$A$8,0),I111,J111,K111,L111,M111),"")</f>
        <v/>
      </c>
      <c r="S111" s="16">
        <f t="shared" si="1"/>
        <v>0</v>
      </c>
      <c r="T111" s="15" t="str">
        <f>IF($P111&gt;0,COUNTIF($P$11:P111,"&gt;0"),"")</f>
        <v/>
      </c>
    </row>
    <row r="112" spans="1:20" ht="14.2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6"/>
      <c r="J112" s="16"/>
      <c r="K112" s="16"/>
      <c r="L112" s="16"/>
      <c r="M112" s="16"/>
      <c r="N112" s="15"/>
      <c r="O112" s="15"/>
      <c r="P112" s="17"/>
      <c r="Q112" s="17"/>
      <c r="R112" s="16" t="str">
        <f>IF($P112&gt;0,CHOOSE(MATCH($B$4,'Служебный лист'!$A$4:$A$8,0),I112,J112,K112,L112,M112),"")</f>
        <v/>
      </c>
      <c r="S112" s="16">
        <f t="shared" si="1"/>
        <v>0</v>
      </c>
      <c r="T112" s="15" t="str">
        <f>IF($P112&gt;0,COUNTIF($P$11:P112,"&gt;0"),"")</f>
        <v/>
      </c>
    </row>
    <row r="113" spans="1:20" ht="14.2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6"/>
      <c r="J113" s="16"/>
      <c r="K113" s="16"/>
      <c r="L113" s="16"/>
      <c r="M113" s="16"/>
      <c r="N113" s="15"/>
      <c r="O113" s="15"/>
      <c r="P113" s="17"/>
      <c r="Q113" s="17"/>
      <c r="R113" s="16" t="str">
        <f>IF($P113&gt;0,CHOOSE(MATCH($B$4,'Служебный лист'!$A$4:$A$8,0),I113,J113,K113,L113,M113),"")</f>
        <v/>
      </c>
      <c r="S113" s="16">
        <f t="shared" si="1"/>
        <v>0</v>
      </c>
      <c r="T113" s="15" t="str">
        <f>IF($P113&gt;0,COUNTIF($P$11:P113,"&gt;0"),"")</f>
        <v/>
      </c>
    </row>
    <row r="114" spans="1:20" ht="14.2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6"/>
      <c r="J114" s="16"/>
      <c r="K114" s="16"/>
      <c r="L114" s="16"/>
      <c r="M114" s="16"/>
      <c r="N114" s="15"/>
      <c r="O114" s="15"/>
      <c r="P114" s="17"/>
      <c r="Q114" s="17"/>
      <c r="R114" s="16" t="str">
        <f>IF($P114&gt;0,CHOOSE(MATCH($B$4,'Служебный лист'!$A$4:$A$8,0),I114,J114,K114,L114,M114),"")</f>
        <v/>
      </c>
      <c r="S114" s="16">
        <f t="shared" si="1"/>
        <v>0</v>
      </c>
      <c r="T114" s="15" t="str">
        <f>IF($P114&gt;0,COUNTIF($P$11:P114,"&gt;0"),"")</f>
        <v/>
      </c>
    </row>
    <row r="115" spans="1:20" ht="14.2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6"/>
      <c r="J115" s="16"/>
      <c r="K115" s="16"/>
      <c r="L115" s="16"/>
      <c r="M115" s="16"/>
      <c r="N115" s="15"/>
      <c r="O115" s="15"/>
      <c r="P115" s="17"/>
      <c r="Q115" s="17"/>
      <c r="R115" s="16" t="str">
        <f>IF($P115&gt;0,CHOOSE(MATCH($B$4,'Служебный лист'!$A$4:$A$8,0),I115,J115,K115,L115,M115),"")</f>
        <v/>
      </c>
      <c r="S115" s="16">
        <f t="shared" si="1"/>
        <v>0</v>
      </c>
      <c r="T115" s="15" t="str">
        <f>IF($P115&gt;0,COUNTIF($P$11:P115,"&gt;0"),"")</f>
        <v/>
      </c>
    </row>
    <row r="116" spans="1:20" ht="14.2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6"/>
      <c r="J116" s="16"/>
      <c r="K116" s="16"/>
      <c r="L116" s="16"/>
      <c r="M116" s="16"/>
      <c r="N116" s="15"/>
      <c r="O116" s="15"/>
      <c r="P116" s="17"/>
      <c r="Q116" s="17"/>
      <c r="R116" s="16" t="str">
        <f>IF($P116&gt;0,CHOOSE(MATCH($B$4,'Служебный лист'!$A$4:$A$8,0),I116,J116,K116,L116,M116),"")</f>
        <v/>
      </c>
      <c r="S116" s="16">
        <f t="shared" si="1"/>
        <v>0</v>
      </c>
      <c r="T116" s="15" t="str">
        <f>IF($P116&gt;0,COUNTIF($P$11:P116,"&gt;0"),"")</f>
        <v/>
      </c>
    </row>
    <row r="117" spans="1:20" ht="14.2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6"/>
      <c r="J117" s="16"/>
      <c r="K117" s="16"/>
      <c r="L117" s="16"/>
      <c r="M117" s="16"/>
      <c r="N117" s="15"/>
      <c r="O117" s="15"/>
      <c r="P117" s="17"/>
      <c r="Q117" s="17"/>
      <c r="R117" s="16" t="str">
        <f>IF($P117&gt;0,CHOOSE(MATCH($B$4,'Служебный лист'!$A$4:$A$8,0),I117,J117,K117,L117,M117),"")</f>
        <v/>
      </c>
      <c r="S117" s="16">
        <f t="shared" si="1"/>
        <v>0</v>
      </c>
      <c r="T117" s="15" t="str">
        <f>IF($P117&gt;0,COUNTIF($P$11:P117,"&gt;0"),"")</f>
        <v/>
      </c>
    </row>
    <row r="118" spans="1:20" ht="14.2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6"/>
      <c r="J118" s="16"/>
      <c r="K118" s="16"/>
      <c r="L118" s="16"/>
      <c r="M118" s="16"/>
      <c r="N118" s="15"/>
      <c r="O118" s="15"/>
      <c r="P118" s="17"/>
      <c r="Q118" s="17"/>
      <c r="R118" s="16" t="str">
        <f>IF($P118&gt;0,CHOOSE(MATCH($B$4,'Служебный лист'!$A$4:$A$8,0),I118,J118,K118,L118,M118),"")</f>
        <v/>
      </c>
      <c r="S118" s="16">
        <f t="shared" si="1"/>
        <v>0</v>
      </c>
      <c r="T118" s="15" t="str">
        <f>IF($P118&gt;0,COUNTIF($P$11:P118,"&gt;0"),"")</f>
        <v/>
      </c>
    </row>
    <row r="119" spans="1:20" ht="14.2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6"/>
      <c r="J119" s="16"/>
      <c r="K119" s="16"/>
      <c r="L119" s="16"/>
      <c r="M119" s="16"/>
      <c r="N119" s="15"/>
      <c r="O119" s="15"/>
      <c r="P119" s="17"/>
      <c r="Q119" s="17"/>
      <c r="R119" s="16" t="str">
        <f>IF($P119&gt;0,CHOOSE(MATCH($B$4,'Служебный лист'!$A$4:$A$8,0),I119,J119,K119,L119,M119),"")</f>
        <v/>
      </c>
      <c r="S119" s="16">
        <f t="shared" si="1"/>
        <v>0</v>
      </c>
      <c r="T119" s="15" t="str">
        <f>IF($P119&gt;0,COUNTIF($P$11:P119,"&gt;0"),"")</f>
        <v/>
      </c>
    </row>
    <row r="120" spans="1:20" ht="14.2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6"/>
      <c r="J120" s="16"/>
      <c r="K120" s="16"/>
      <c r="L120" s="16"/>
      <c r="M120" s="16"/>
      <c r="N120" s="15"/>
      <c r="O120" s="15"/>
      <c r="P120" s="17"/>
      <c r="Q120" s="17"/>
      <c r="R120" s="16" t="str">
        <f>IF($P120&gt;0,CHOOSE(MATCH($B$4,'Служебный лист'!$A$4:$A$8,0),I120,J120,K120,L120,M120),"")</f>
        <v/>
      </c>
      <c r="S120" s="16">
        <f t="shared" si="1"/>
        <v>0</v>
      </c>
      <c r="T120" s="15" t="str">
        <f>IF($P120&gt;0,COUNTIF($P$11:P120,"&gt;0"),"")</f>
        <v/>
      </c>
    </row>
    <row r="121" spans="1:20" ht="14.2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6"/>
      <c r="J121" s="16"/>
      <c r="K121" s="16"/>
      <c r="L121" s="16"/>
      <c r="M121" s="16"/>
      <c r="N121" s="15"/>
      <c r="O121" s="15"/>
      <c r="P121" s="17"/>
      <c r="Q121" s="17"/>
      <c r="R121" s="16" t="str">
        <f>IF($P121&gt;0,CHOOSE(MATCH($B$4,'Служебный лист'!$A$4:$A$8,0),I121,J121,K121,L121,M121),"")</f>
        <v/>
      </c>
      <c r="S121" s="16">
        <f t="shared" si="1"/>
        <v>0</v>
      </c>
      <c r="T121" s="15" t="str">
        <f>IF($P121&gt;0,COUNTIF($P$11:P121,"&gt;0"),"")</f>
        <v/>
      </c>
    </row>
    <row r="122" spans="1:20" ht="14.2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6"/>
      <c r="J122" s="16"/>
      <c r="K122" s="16"/>
      <c r="L122" s="16"/>
      <c r="M122" s="16"/>
      <c r="N122" s="15"/>
      <c r="O122" s="15"/>
      <c r="P122" s="17"/>
      <c r="Q122" s="17"/>
      <c r="R122" s="16" t="str">
        <f>IF($P122&gt;0,CHOOSE(MATCH($B$4,'Служебный лист'!$A$4:$A$8,0),I122,J122,K122,L122,M122),"")</f>
        <v/>
      </c>
      <c r="S122" s="16">
        <f t="shared" si="1"/>
        <v>0</v>
      </c>
      <c r="T122" s="15" t="str">
        <f>IF($P122&gt;0,COUNTIF($P$11:P122,"&gt;0"),"")</f>
        <v/>
      </c>
    </row>
    <row r="123" spans="1:20" ht="14.2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6"/>
      <c r="J123" s="16"/>
      <c r="K123" s="16"/>
      <c r="L123" s="16"/>
      <c r="M123" s="16"/>
      <c r="N123" s="15"/>
      <c r="O123" s="15"/>
      <c r="P123" s="17"/>
      <c r="Q123" s="17"/>
      <c r="R123" s="16" t="str">
        <f>IF($P123&gt;0,CHOOSE(MATCH($B$4,'Служебный лист'!$A$4:$A$8,0),I123,J123,K123,L123,M123),"")</f>
        <v/>
      </c>
      <c r="S123" s="16">
        <f t="shared" si="1"/>
        <v>0</v>
      </c>
      <c r="T123" s="15" t="str">
        <f>IF($P123&gt;0,COUNTIF($P$11:P123,"&gt;0"),"")</f>
        <v/>
      </c>
    </row>
    <row r="124" spans="1:20" ht="14.2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6"/>
      <c r="J124" s="16"/>
      <c r="K124" s="16"/>
      <c r="L124" s="16"/>
      <c r="M124" s="16"/>
      <c r="N124" s="15"/>
      <c r="O124" s="15"/>
      <c r="P124" s="17"/>
      <c r="Q124" s="17"/>
      <c r="R124" s="16" t="str">
        <f>IF($P124&gt;0,CHOOSE(MATCH($B$4,'Служебный лист'!$A$4:$A$8,0),I124,J124,K124,L124,M124),"")</f>
        <v/>
      </c>
      <c r="S124" s="16">
        <f t="shared" si="1"/>
        <v>0</v>
      </c>
      <c r="T124" s="15" t="str">
        <f>IF($P124&gt;0,COUNTIF($P$11:P124,"&gt;0"),"")</f>
        <v/>
      </c>
    </row>
    <row r="125" spans="1:20" ht="14.2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6"/>
      <c r="J125" s="16"/>
      <c r="K125" s="16"/>
      <c r="L125" s="16"/>
      <c r="M125" s="16"/>
      <c r="N125" s="15"/>
      <c r="O125" s="15"/>
      <c r="P125" s="17"/>
      <c r="Q125" s="17"/>
      <c r="R125" s="16" t="str">
        <f>IF($P125&gt;0,CHOOSE(MATCH($B$4,'Служебный лист'!$A$4:$A$8,0),I125,J125,K125,L125,M125),"")</f>
        <v/>
      </c>
      <c r="S125" s="16">
        <f t="shared" si="1"/>
        <v>0</v>
      </c>
      <c r="T125" s="15" t="str">
        <f>IF($P125&gt;0,COUNTIF($P$11:P125,"&gt;0"),"")</f>
        <v/>
      </c>
    </row>
    <row r="126" spans="1:20" ht="14.2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6"/>
      <c r="J126" s="16"/>
      <c r="K126" s="16"/>
      <c r="L126" s="16"/>
      <c r="M126" s="16"/>
      <c r="N126" s="15"/>
      <c r="O126" s="15"/>
      <c r="P126" s="17"/>
      <c r="Q126" s="17"/>
      <c r="R126" s="16" t="str">
        <f>IF($P126&gt;0,CHOOSE(MATCH($B$4,'Служебный лист'!$A$4:$A$8,0),I126,J126,K126,L126,M126),"")</f>
        <v/>
      </c>
      <c r="S126" s="16">
        <f t="shared" si="1"/>
        <v>0</v>
      </c>
      <c r="T126" s="15" t="str">
        <f>IF($P126&gt;0,COUNTIF($P$11:P126,"&gt;0"),"")</f>
        <v/>
      </c>
    </row>
    <row r="127" spans="1:20" ht="14.2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6"/>
      <c r="J127" s="16"/>
      <c r="K127" s="16"/>
      <c r="L127" s="16"/>
      <c r="M127" s="16"/>
      <c r="N127" s="15"/>
      <c r="O127" s="15"/>
      <c r="P127" s="17"/>
      <c r="Q127" s="17"/>
      <c r="R127" s="16" t="str">
        <f>IF($P127&gt;0,CHOOSE(MATCH($B$4,'Служебный лист'!$A$4:$A$8,0),I127,J127,K127,L127,M127),"")</f>
        <v/>
      </c>
      <c r="S127" s="16">
        <f t="shared" si="1"/>
        <v>0</v>
      </c>
      <c r="T127" s="15" t="str">
        <f>IF($P127&gt;0,COUNTIF($P$11:P127,"&gt;0"),"")</f>
        <v/>
      </c>
    </row>
    <row r="128" spans="1:20" ht="14.2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6"/>
      <c r="J128" s="16"/>
      <c r="K128" s="16"/>
      <c r="L128" s="16"/>
      <c r="M128" s="16"/>
      <c r="N128" s="15"/>
      <c r="O128" s="15"/>
      <c r="P128" s="17"/>
      <c r="Q128" s="17"/>
      <c r="R128" s="16" t="str">
        <f>IF($P128&gt;0,CHOOSE(MATCH($B$4,'Служебный лист'!$A$4:$A$8,0),I128,J128,K128,L128,M128),"")</f>
        <v/>
      </c>
      <c r="S128" s="16">
        <f t="shared" si="1"/>
        <v>0</v>
      </c>
      <c r="T128" s="15" t="str">
        <f>IF($P128&gt;0,COUNTIF($P$11:P128,"&gt;0"),"")</f>
        <v/>
      </c>
    </row>
    <row r="129" spans="1:20" ht="14.2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6"/>
      <c r="J129" s="16"/>
      <c r="K129" s="16"/>
      <c r="L129" s="16"/>
      <c r="M129" s="16"/>
      <c r="N129" s="15"/>
      <c r="O129" s="15"/>
      <c r="P129" s="17"/>
      <c r="Q129" s="17"/>
      <c r="R129" s="16" t="str">
        <f>IF($P129&gt;0,CHOOSE(MATCH($B$4,'Служебный лист'!$A$4:$A$8,0),I129,J129,K129,L129,M129),"")</f>
        <v/>
      </c>
      <c r="S129" s="16">
        <f t="shared" si="1"/>
        <v>0</v>
      </c>
      <c r="T129" s="15" t="str">
        <f>IF($P129&gt;0,COUNTIF($P$11:P129,"&gt;0"),"")</f>
        <v/>
      </c>
    </row>
    <row r="130" spans="1:20" ht="14.2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6"/>
      <c r="J130" s="16"/>
      <c r="K130" s="16"/>
      <c r="L130" s="16"/>
      <c r="M130" s="16"/>
      <c r="N130" s="15"/>
      <c r="O130" s="15"/>
      <c r="P130" s="17"/>
      <c r="Q130" s="17"/>
      <c r="R130" s="16" t="str">
        <f>IF($P130&gt;0,CHOOSE(MATCH($B$4,'Служебный лист'!$A$4:$A$8,0),I130,J130,K130,L130,M130),"")</f>
        <v/>
      </c>
      <c r="S130" s="16">
        <f t="shared" si="1"/>
        <v>0</v>
      </c>
      <c r="T130" s="15" t="str">
        <f>IF($P130&gt;0,COUNTIF($P$11:P130,"&gt;0"),"")</f>
        <v/>
      </c>
    </row>
    <row r="131" spans="1:20" ht="14.2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6"/>
      <c r="J131" s="16"/>
      <c r="K131" s="16"/>
      <c r="L131" s="16"/>
      <c r="M131" s="16"/>
      <c r="N131" s="15"/>
      <c r="O131" s="15"/>
      <c r="P131" s="17"/>
      <c r="Q131" s="17"/>
      <c r="R131" s="16" t="str">
        <f>IF($P131&gt;0,CHOOSE(MATCH($B$4,'Служебный лист'!$A$4:$A$8,0),I131,J131,K131,L131,M131),"")</f>
        <v/>
      </c>
      <c r="S131" s="16">
        <f t="shared" si="1"/>
        <v>0</v>
      </c>
      <c r="T131" s="15" t="str">
        <f>IF($P131&gt;0,COUNTIF($P$11:P131,"&gt;0"),"")</f>
        <v/>
      </c>
    </row>
    <row r="132" spans="1:20" ht="14.2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6"/>
      <c r="J132" s="16"/>
      <c r="K132" s="16"/>
      <c r="L132" s="16"/>
      <c r="M132" s="16"/>
      <c r="N132" s="15"/>
      <c r="O132" s="15"/>
      <c r="P132" s="17"/>
      <c r="Q132" s="17"/>
      <c r="R132" s="16" t="str">
        <f>IF($P132&gt;0,CHOOSE(MATCH($B$4,'Служебный лист'!$A$4:$A$8,0),I132,J132,K132,L132,M132),"")</f>
        <v/>
      </c>
      <c r="S132" s="16">
        <f t="shared" si="1"/>
        <v>0</v>
      </c>
      <c r="T132" s="15" t="str">
        <f>IF($P132&gt;0,COUNTIF($P$11:P132,"&gt;0"),"")</f>
        <v/>
      </c>
    </row>
    <row r="133" spans="1:20" ht="14.2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6"/>
      <c r="J133" s="16"/>
      <c r="K133" s="16"/>
      <c r="L133" s="16"/>
      <c r="M133" s="16"/>
      <c r="N133" s="15"/>
      <c r="O133" s="15"/>
      <c r="P133" s="17"/>
      <c r="Q133" s="17"/>
      <c r="R133" s="16" t="str">
        <f>IF($P133&gt;0,CHOOSE(MATCH($B$4,'Служебный лист'!$A$4:$A$8,0),I133,J133,K133,L133,M133),"")</f>
        <v/>
      </c>
      <c r="S133" s="16">
        <f t="shared" si="1"/>
        <v>0</v>
      </c>
      <c r="T133" s="15" t="str">
        <f>IF($P133&gt;0,COUNTIF($P$11:P133,"&gt;0"),"")</f>
        <v/>
      </c>
    </row>
    <row r="134" spans="1:20" ht="14.2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6"/>
      <c r="J134" s="16"/>
      <c r="K134" s="16"/>
      <c r="L134" s="16"/>
      <c r="M134" s="16"/>
      <c r="N134" s="15"/>
      <c r="O134" s="15"/>
      <c r="P134" s="17"/>
      <c r="Q134" s="17"/>
      <c r="R134" s="16" t="str">
        <f>IF($P134&gt;0,CHOOSE(MATCH($B$4,'Служебный лист'!$A$4:$A$8,0),I134,J134,K134,L134,M134),"")</f>
        <v/>
      </c>
      <c r="S134" s="16">
        <f t="shared" si="1"/>
        <v>0</v>
      </c>
      <c r="T134" s="15" t="str">
        <f>IF($P134&gt;0,COUNTIF($P$11:P134,"&gt;0"),"")</f>
        <v/>
      </c>
    </row>
    <row r="135" spans="1:20" ht="14.2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6"/>
      <c r="J135" s="16"/>
      <c r="K135" s="16"/>
      <c r="L135" s="16"/>
      <c r="M135" s="16"/>
      <c r="N135" s="15"/>
      <c r="O135" s="15"/>
      <c r="P135" s="17"/>
      <c r="Q135" s="17"/>
      <c r="R135" s="16" t="str">
        <f>IF($P135&gt;0,CHOOSE(MATCH($B$4,'Служебный лист'!$A$4:$A$8,0),I135,J135,K135,L135,M135),"")</f>
        <v/>
      </c>
      <c r="S135" s="16">
        <f t="shared" si="1"/>
        <v>0</v>
      </c>
      <c r="T135" s="15" t="str">
        <f>IF($P135&gt;0,COUNTIF($P$11:P135,"&gt;0"),"")</f>
        <v/>
      </c>
    </row>
    <row r="136" spans="1:20" ht="14.2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6"/>
      <c r="J136" s="16"/>
      <c r="K136" s="16"/>
      <c r="L136" s="16"/>
      <c r="M136" s="16"/>
      <c r="N136" s="15"/>
      <c r="O136" s="15"/>
      <c r="P136" s="17"/>
      <c r="Q136" s="17"/>
      <c r="R136" s="16" t="str">
        <f>IF($P136&gt;0,CHOOSE(MATCH($B$4,'Служебный лист'!$A$4:$A$8,0),I136,J136,K136,L136,M136),"")</f>
        <v/>
      </c>
      <c r="S136" s="16">
        <f t="shared" si="1"/>
        <v>0</v>
      </c>
      <c r="T136" s="15" t="str">
        <f>IF($P136&gt;0,COUNTIF($P$11:P136,"&gt;0"),"")</f>
        <v/>
      </c>
    </row>
    <row r="137" spans="1:20" ht="14.2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6"/>
      <c r="J137" s="16"/>
      <c r="K137" s="16"/>
      <c r="L137" s="16"/>
      <c r="M137" s="16"/>
      <c r="N137" s="15"/>
      <c r="O137" s="15"/>
      <c r="P137" s="17"/>
      <c r="Q137" s="17"/>
      <c r="R137" s="16" t="str">
        <f>IF($P137&gt;0,CHOOSE(MATCH($B$4,'Служебный лист'!$A$4:$A$8,0),I137,J137,K137,L137,M137),"")</f>
        <v/>
      </c>
      <c r="S137" s="16">
        <f t="shared" si="1"/>
        <v>0</v>
      </c>
      <c r="T137" s="15" t="str">
        <f>IF($P137&gt;0,COUNTIF($P$11:P137,"&gt;0"),"")</f>
        <v/>
      </c>
    </row>
    <row r="138" spans="1:20" ht="14.2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6"/>
      <c r="J138" s="16"/>
      <c r="K138" s="16"/>
      <c r="L138" s="16"/>
      <c r="M138" s="16"/>
      <c r="N138" s="15"/>
      <c r="O138" s="15"/>
      <c r="P138" s="17"/>
      <c r="Q138" s="17"/>
      <c r="R138" s="16" t="str">
        <f>IF($P138&gt;0,CHOOSE(MATCH($B$4,'Служебный лист'!$A$4:$A$8,0),I138,J138,K138,L138,M138),"")</f>
        <v/>
      </c>
      <c r="S138" s="16">
        <f t="shared" si="1"/>
        <v>0</v>
      </c>
      <c r="T138" s="15" t="str">
        <f>IF($P138&gt;0,COUNTIF($P$11:P138,"&gt;0"),"")</f>
        <v/>
      </c>
    </row>
    <row r="139" spans="1:20" ht="14.2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6"/>
      <c r="J139" s="16"/>
      <c r="K139" s="16"/>
      <c r="L139" s="16"/>
      <c r="M139" s="16"/>
      <c r="N139" s="15"/>
      <c r="O139" s="15"/>
      <c r="P139" s="17"/>
      <c r="Q139" s="17"/>
      <c r="R139" s="16" t="str">
        <f>IF($P139&gt;0,CHOOSE(MATCH($B$4,'Служебный лист'!$A$4:$A$8,0),I139,J139,K139,L139,M139),"")</f>
        <v/>
      </c>
      <c r="S139" s="16">
        <f t="shared" ref="S139:S202" si="2">IFERROR($P139*$R139,0)</f>
        <v>0</v>
      </c>
      <c r="T139" s="15" t="str">
        <f>IF($P139&gt;0,COUNTIF($P$11:P139,"&gt;0"),"")</f>
        <v/>
      </c>
    </row>
    <row r="140" spans="1:20" ht="14.2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6"/>
      <c r="J140" s="16"/>
      <c r="K140" s="16"/>
      <c r="L140" s="16"/>
      <c r="M140" s="16"/>
      <c r="N140" s="15"/>
      <c r="O140" s="15"/>
      <c r="P140" s="17"/>
      <c r="Q140" s="17"/>
      <c r="R140" s="16" t="str">
        <f>IF($P140&gt;0,CHOOSE(MATCH($B$4,'Служебный лист'!$A$4:$A$8,0),I140,J140,K140,L140,M140),"")</f>
        <v/>
      </c>
      <c r="S140" s="16">
        <f t="shared" si="2"/>
        <v>0</v>
      </c>
      <c r="T140" s="15" t="str">
        <f>IF($P140&gt;0,COUNTIF($P$11:P140,"&gt;0"),"")</f>
        <v/>
      </c>
    </row>
    <row r="141" spans="1:20" ht="14.2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6"/>
      <c r="J141" s="16"/>
      <c r="K141" s="16"/>
      <c r="L141" s="16"/>
      <c r="M141" s="16"/>
      <c r="N141" s="15"/>
      <c r="O141" s="15"/>
      <c r="P141" s="17"/>
      <c r="Q141" s="17"/>
      <c r="R141" s="16" t="str">
        <f>IF($P141&gt;0,CHOOSE(MATCH($B$4,'Служебный лист'!$A$4:$A$8,0),I141,J141,K141,L141,M141),"")</f>
        <v/>
      </c>
      <c r="S141" s="16">
        <f t="shared" si="2"/>
        <v>0</v>
      </c>
      <c r="T141" s="15" t="str">
        <f>IF($P141&gt;0,COUNTIF($P$11:P141,"&gt;0"),"")</f>
        <v/>
      </c>
    </row>
    <row r="142" spans="1:20" ht="14.2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6"/>
      <c r="J142" s="16"/>
      <c r="K142" s="16"/>
      <c r="L142" s="16"/>
      <c r="M142" s="16"/>
      <c r="N142" s="15"/>
      <c r="O142" s="15"/>
      <c r="P142" s="17"/>
      <c r="Q142" s="17"/>
      <c r="R142" s="16" t="str">
        <f>IF($P142&gt;0,CHOOSE(MATCH($B$4,'Служебный лист'!$A$4:$A$8,0),I142,J142,K142,L142,M142),"")</f>
        <v/>
      </c>
      <c r="S142" s="16">
        <f t="shared" si="2"/>
        <v>0</v>
      </c>
      <c r="T142" s="15" t="str">
        <f>IF($P142&gt;0,COUNTIF($P$11:P142,"&gt;0"),"")</f>
        <v/>
      </c>
    </row>
    <row r="143" spans="1:20" ht="14.2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6"/>
      <c r="J143" s="16"/>
      <c r="K143" s="16"/>
      <c r="L143" s="16"/>
      <c r="M143" s="16"/>
      <c r="N143" s="15"/>
      <c r="O143" s="15"/>
      <c r="P143" s="17"/>
      <c r="Q143" s="17"/>
      <c r="R143" s="16" t="str">
        <f>IF($P143&gt;0,CHOOSE(MATCH($B$4,'Служебный лист'!$A$4:$A$8,0),I143,J143,K143,L143,M143),"")</f>
        <v/>
      </c>
      <c r="S143" s="16">
        <f t="shared" si="2"/>
        <v>0</v>
      </c>
      <c r="T143" s="15" t="str">
        <f>IF($P143&gt;0,COUNTIF($P$11:P143,"&gt;0"),"")</f>
        <v/>
      </c>
    </row>
    <row r="144" spans="1:20" ht="14.2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6"/>
      <c r="J144" s="16"/>
      <c r="K144" s="16"/>
      <c r="L144" s="16"/>
      <c r="M144" s="16"/>
      <c r="N144" s="15"/>
      <c r="O144" s="15"/>
      <c r="P144" s="17"/>
      <c r="Q144" s="17"/>
      <c r="R144" s="16" t="str">
        <f>IF($P144&gt;0,CHOOSE(MATCH($B$4,'Служебный лист'!$A$4:$A$8,0),I144,J144,K144,L144,M144),"")</f>
        <v/>
      </c>
      <c r="S144" s="16">
        <f t="shared" si="2"/>
        <v>0</v>
      </c>
      <c r="T144" s="15" t="str">
        <f>IF($P144&gt;0,COUNTIF($P$11:P144,"&gt;0"),"")</f>
        <v/>
      </c>
    </row>
    <row r="145" spans="1:20" ht="14.2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6"/>
      <c r="J145" s="16"/>
      <c r="K145" s="16"/>
      <c r="L145" s="16"/>
      <c r="M145" s="16"/>
      <c r="N145" s="15"/>
      <c r="O145" s="15"/>
      <c r="P145" s="17"/>
      <c r="Q145" s="17"/>
      <c r="R145" s="16" t="str">
        <f>IF($P145&gt;0,CHOOSE(MATCH($B$4,'Служебный лист'!$A$4:$A$8,0),I145,J145,K145,L145,M145),"")</f>
        <v/>
      </c>
      <c r="S145" s="16">
        <f t="shared" si="2"/>
        <v>0</v>
      </c>
      <c r="T145" s="15" t="str">
        <f>IF($P145&gt;0,COUNTIF($P$11:P145,"&gt;0"),"")</f>
        <v/>
      </c>
    </row>
    <row r="146" spans="1:20" ht="14.2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6"/>
      <c r="J146" s="16"/>
      <c r="K146" s="16"/>
      <c r="L146" s="16"/>
      <c r="M146" s="16"/>
      <c r="N146" s="15"/>
      <c r="O146" s="15"/>
      <c r="P146" s="17"/>
      <c r="Q146" s="17"/>
      <c r="R146" s="16" t="str">
        <f>IF($P146&gt;0,CHOOSE(MATCH($B$4,'Служебный лист'!$A$4:$A$8,0),I146,J146,K146,L146,M146),"")</f>
        <v/>
      </c>
      <c r="S146" s="16">
        <f t="shared" si="2"/>
        <v>0</v>
      </c>
      <c r="T146" s="15" t="str">
        <f>IF($P146&gt;0,COUNTIF($P$11:P146,"&gt;0"),"")</f>
        <v/>
      </c>
    </row>
    <row r="147" spans="1:20" ht="14.2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6"/>
      <c r="J147" s="16"/>
      <c r="K147" s="16"/>
      <c r="L147" s="16"/>
      <c r="M147" s="16"/>
      <c r="N147" s="15"/>
      <c r="O147" s="15"/>
      <c r="P147" s="17"/>
      <c r="Q147" s="17"/>
      <c r="R147" s="16" t="str">
        <f>IF($P147&gt;0,CHOOSE(MATCH($B$4,'Служебный лист'!$A$4:$A$8,0),I147,J147,K147,L147,M147),"")</f>
        <v/>
      </c>
      <c r="S147" s="16">
        <f t="shared" si="2"/>
        <v>0</v>
      </c>
      <c r="T147" s="15" t="str">
        <f>IF($P147&gt;0,COUNTIF($P$11:P147,"&gt;0"),"")</f>
        <v/>
      </c>
    </row>
    <row r="148" spans="1:20" ht="14.2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6"/>
      <c r="J148" s="16"/>
      <c r="K148" s="16"/>
      <c r="L148" s="16"/>
      <c r="M148" s="16"/>
      <c r="N148" s="15"/>
      <c r="O148" s="15"/>
      <c r="P148" s="17"/>
      <c r="Q148" s="17"/>
      <c r="R148" s="16" t="str">
        <f>IF($P148&gt;0,CHOOSE(MATCH($B$4,'Служебный лист'!$A$4:$A$8,0),I148,J148,K148,L148,M148),"")</f>
        <v/>
      </c>
      <c r="S148" s="16">
        <f t="shared" si="2"/>
        <v>0</v>
      </c>
      <c r="T148" s="15" t="str">
        <f>IF($P148&gt;0,COUNTIF($P$11:P148,"&gt;0"),"")</f>
        <v/>
      </c>
    </row>
    <row r="149" spans="1:20" ht="14.2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6"/>
      <c r="J149" s="16"/>
      <c r="K149" s="16"/>
      <c r="L149" s="16"/>
      <c r="M149" s="16"/>
      <c r="N149" s="15"/>
      <c r="O149" s="15"/>
      <c r="P149" s="17"/>
      <c r="Q149" s="17"/>
      <c r="R149" s="16" t="str">
        <f>IF($P149&gt;0,CHOOSE(MATCH($B$4,'Служебный лист'!$A$4:$A$8,0),I149,J149,K149,L149,M149),"")</f>
        <v/>
      </c>
      <c r="S149" s="16">
        <f t="shared" si="2"/>
        <v>0</v>
      </c>
      <c r="T149" s="15" t="str">
        <f>IF($P149&gt;0,COUNTIF($P$11:P149,"&gt;0"),"")</f>
        <v/>
      </c>
    </row>
    <row r="150" spans="1:20" ht="14.2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6"/>
      <c r="J150" s="16"/>
      <c r="K150" s="16"/>
      <c r="L150" s="16"/>
      <c r="M150" s="16"/>
      <c r="N150" s="15"/>
      <c r="O150" s="15"/>
      <c r="P150" s="17"/>
      <c r="Q150" s="17"/>
      <c r="R150" s="16" t="str">
        <f>IF($P150&gt;0,CHOOSE(MATCH($B$4,'Служебный лист'!$A$4:$A$8,0),I150,J150,K150,L150,M150),"")</f>
        <v/>
      </c>
      <c r="S150" s="16">
        <f t="shared" si="2"/>
        <v>0</v>
      </c>
      <c r="T150" s="15" t="str">
        <f>IF($P150&gt;0,COUNTIF($P$11:P150,"&gt;0"),"")</f>
        <v/>
      </c>
    </row>
    <row r="151" spans="1:20" ht="14.2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6"/>
      <c r="J151" s="16"/>
      <c r="K151" s="16"/>
      <c r="L151" s="16"/>
      <c r="M151" s="16"/>
      <c r="N151" s="15"/>
      <c r="O151" s="15"/>
      <c r="P151" s="17"/>
      <c r="Q151" s="17"/>
      <c r="R151" s="16" t="str">
        <f>IF($P151&gt;0,CHOOSE(MATCH($B$4,'Служебный лист'!$A$4:$A$8,0),I151,J151,K151,L151,M151),"")</f>
        <v/>
      </c>
      <c r="S151" s="16">
        <f t="shared" si="2"/>
        <v>0</v>
      </c>
      <c r="T151" s="15" t="str">
        <f>IF($P151&gt;0,COUNTIF($P$11:P151,"&gt;0"),"")</f>
        <v/>
      </c>
    </row>
    <row r="152" spans="1:20" ht="14.2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6"/>
      <c r="J152" s="16"/>
      <c r="K152" s="16"/>
      <c r="L152" s="16"/>
      <c r="M152" s="16"/>
      <c r="N152" s="15"/>
      <c r="O152" s="15"/>
      <c r="P152" s="17"/>
      <c r="Q152" s="17"/>
      <c r="R152" s="16" t="str">
        <f>IF($P152&gt;0,CHOOSE(MATCH($B$4,'Служебный лист'!$A$4:$A$8,0),I152,J152,K152,L152,M152),"")</f>
        <v/>
      </c>
      <c r="S152" s="16">
        <f t="shared" si="2"/>
        <v>0</v>
      </c>
      <c r="T152" s="15" t="str">
        <f>IF($P152&gt;0,COUNTIF($P$11:P152,"&gt;0"),"")</f>
        <v/>
      </c>
    </row>
    <row r="153" spans="1:20" ht="14.2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6"/>
      <c r="J153" s="16"/>
      <c r="K153" s="16"/>
      <c r="L153" s="16"/>
      <c r="M153" s="16"/>
      <c r="N153" s="15"/>
      <c r="O153" s="15"/>
      <c r="P153" s="17"/>
      <c r="Q153" s="17"/>
      <c r="R153" s="16" t="str">
        <f>IF($P153&gt;0,CHOOSE(MATCH($B$4,'Служебный лист'!$A$4:$A$8,0),I153,J153,K153,L153,M153),"")</f>
        <v/>
      </c>
      <c r="S153" s="16">
        <f t="shared" si="2"/>
        <v>0</v>
      </c>
      <c r="T153" s="15" t="str">
        <f>IF($P153&gt;0,COUNTIF($P$11:P153,"&gt;0"),"")</f>
        <v/>
      </c>
    </row>
    <row r="154" spans="1:20" ht="14.2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6"/>
      <c r="J154" s="16"/>
      <c r="K154" s="16"/>
      <c r="L154" s="16"/>
      <c r="M154" s="16"/>
      <c r="N154" s="15"/>
      <c r="O154" s="15"/>
      <c r="P154" s="17"/>
      <c r="Q154" s="17"/>
      <c r="R154" s="16" t="str">
        <f>IF($P154&gt;0,CHOOSE(MATCH($B$4,'Служебный лист'!$A$4:$A$8,0),I154,J154,K154,L154,M154),"")</f>
        <v/>
      </c>
      <c r="S154" s="16">
        <f t="shared" si="2"/>
        <v>0</v>
      </c>
      <c r="T154" s="15" t="str">
        <f>IF($P154&gt;0,COUNTIF($P$11:P154,"&gt;0"),"")</f>
        <v/>
      </c>
    </row>
    <row r="155" spans="1:20" ht="14.2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6"/>
      <c r="J155" s="16"/>
      <c r="K155" s="16"/>
      <c r="L155" s="16"/>
      <c r="M155" s="16"/>
      <c r="N155" s="15"/>
      <c r="O155" s="15"/>
      <c r="P155" s="17"/>
      <c r="Q155" s="17"/>
      <c r="R155" s="16" t="str">
        <f>IF($P155&gt;0,CHOOSE(MATCH($B$4,'Служебный лист'!$A$4:$A$8,0),I155,J155,K155,L155,M155),"")</f>
        <v/>
      </c>
      <c r="S155" s="16">
        <f t="shared" si="2"/>
        <v>0</v>
      </c>
      <c r="T155" s="15" t="str">
        <f>IF($P155&gt;0,COUNTIF($P$11:P155,"&gt;0"),"")</f>
        <v/>
      </c>
    </row>
    <row r="156" spans="1:20" ht="14.2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6"/>
      <c r="J156" s="16"/>
      <c r="K156" s="16"/>
      <c r="L156" s="16"/>
      <c r="M156" s="16"/>
      <c r="N156" s="15"/>
      <c r="O156" s="15"/>
      <c r="P156" s="17"/>
      <c r="Q156" s="17"/>
      <c r="R156" s="16" t="str">
        <f>IF($P156&gt;0,CHOOSE(MATCH($B$4,'Служебный лист'!$A$4:$A$8,0),I156,J156,K156,L156,M156),"")</f>
        <v/>
      </c>
      <c r="S156" s="16">
        <f t="shared" si="2"/>
        <v>0</v>
      </c>
      <c r="T156" s="15" t="str">
        <f>IF($P156&gt;0,COUNTIF($P$11:P156,"&gt;0"),"")</f>
        <v/>
      </c>
    </row>
    <row r="157" spans="1:20" ht="14.2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6"/>
      <c r="J157" s="16"/>
      <c r="K157" s="16"/>
      <c r="L157" s="16"/>
      <c r="M157" s="16"/>
      <c r="N157" s="15"/>
      <c r="O157" s="15"/>
      <c r="P157" s="17"/>
      <c r="Q157" s="17"/>
      <c r="R157" s="16" t="str">
        <f>IF($P157&gt;0,CHOOSE(MATCH($B$4,'Служебный лист'!$A$4:$A$8,0),I157,J157,K157,L157,M157),"")</f>
        <v/>
      </c>
      <c r="S157" s="16">
        <f t="shared" si="2"/>
        <v>0</v>
      </c>
      <c r="T157" s="15" t="str">
        <f>IF($P157&gt;0,COUNTIF($P$11:P157,"&gt;0"),"")</f>
        <v/>
      </c>
    </row>
    <row r="158" spans="1:20" ht="14.2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6"/>
      <c r="J158" s="16"/>
      <c r="K158" s="16"/>
      <c r="L158" s="16"/>
      <c r="M158" s="16"/>
      <c r="N158" s="15"/>
      <c r="O158" s="15"/>
      <c r="P158" s="17"/>
      <c r="Q158" s="17"/>
      <c r="R158" s="16" t="str">
        <f>IF($P158&gt;0,CHOOSE(MATCH($B$4,'Служебный лист'!$A$4:$A$8,0),I158,J158,K158,L158,M158),"")</f>
        <v/>
      </c>
      <c r="S158" s="16">
        <f t="shared" si="2"/>
        <v>0</v>
      </c>
      <c r="T158" s="15" t="str">
        <f>IF($P158&gt;0,COUNTIF($P$11:P158,"&gt;0"),"")</f>
        <v/>
      </c>
    </row>
    <row r="159" spans="1:20" ht="14.2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6"/>
      <c r="J159" s="16"/>
      <c r="K159" s="16"/>
      <c r="L159" s="16"/>
      <c r="M159" s="16"/>
      <c r="N159" s="15"/>
      <c r="O159" s="15"/>
      <c r="P159" s="17"/>
      <c r="Q159" s="17"/>
      <c r="R159" s="16" t="str">
        <f>IF($P159&gt;0,CHOOSE(MATCH($B$4,'Служебный лист'!$A$4:$A$8,0),I159,J159,K159,L159,M159),"")</f>
        <v/>
      </c>
      <c r="S159" s="16">
        <f t="shared" si="2"/>
        <v>0</v>
      </c>
      <c r="T159" s="15" t="str">
        <f>IF($P159&gt;0,COUNTIF($P$11:P159,"&gt;0"),"")</f>
        <v/>
      </c>
    </row>
    <row r="160" spans="1:20" ht="14.2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6"/>
      <c r="J160" s="16"/>
      <c r="K160" s="16"/>
      <c r="L160" s="16"/>
      <c r="M160" s="16"/>
      <c r="N160" s="15"/>
      <c r="O160" s="15"/>
      <c r="P160" s="17"/>
      <c r="Q160" s="17"/>
      <c r="R160" s="16" t="str">
        <f>IF($P160&gt;0,CHOOSE(MATCH($B$4,'Служебный лист'!$A$4:$A$8,0),I160,J160,K160,L160,M160),"")</f>
        <v/>
      </c>
      <c r="S160" s="16">
        <f t="shared" si="2"/>
        <v>0</v>
      </c>
      <c r="T160" s="15" t="str">
        <f>IF($P160&gt;0,COUNTIF($P$11:P160,"&gt;0"),"")</f>
        <v/>
      </c>
    </row>
    <row r="161" spans="1:20" ht="14.2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6"/>
      <c r="J161" s="16"/>
      <c r="K161" s="16"/>
      <c r="L161" s="16"/>
      <c r="M161" s="16"/>
      <c r="N161" s="15"/>
      <c r="O161" s="15"/>
      <c r="P161" s="17"/>
      <c r="Q161" s="17"/>
      <c r="R161" s="16" t="str">
        <f>IF($P161&gt;0,CHOOSE(MATCH($B$4,'Служебный лист'!$A$4:$A$8,0),I161,J161,K161,L161,M161),"")</f>
        <v/>
      </c>
      <c r="S161" s="16">
        <f t="shared" si="2"/>
        <v>0</v>
      </c>
      <c r="T161" s="15" t="str">
        <f>IF($P161&gt;0,COUNTIF($P$11:P161,"&gt;0"),"")</f>
        <v/>
      </c>
    </row>
    <row r="162" spans="1:20" ht="14.2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6"/>
      <c r="J162" s="16"/>
      <c r="K162" s="16"/>
      <c r="L162" s="16"/>
      <c r="M162" s="16"/>
      <c r="N162" s="15"/>
      <c r="O162" s="15"/>
      <c r="P162" s="17"/>
      <c r="Q162" s="17"/>
      <c r="R162" s="16" t="str">
        <f>IF($P162&gt;0,CHOOSE(MATCH($B$4,'Служебный лист'!$A$4:$A$8,0),I162,J162,K162,L162,M162),"")</f>
        <v/>
      </c>
      <c r="S162" s="16">
        <f t="shared" si="2"/>
        <v>0</v>
      </c>
      <c r="T162" s="15" t="str">
        <f>IF($P162&gt;0,COUNTIF($P$11:P162,"&gt;0"),"")</f>
        <v/>
      </c>
    </row>
    <row r="163" spans="1:20" ht="14.2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6"/>
      <c r="J163" s="16"/>
      <c r="K163" s="16"/>
      <c r="L163" s="16"/>
      <c r="M163" s="16"/>
      <c r="N163" s="15"/>
      <c r="O163" s="15"/>
      <c r="P163" s="17"/>
      <c r="Q163" s="17"/>
      <c r="R163" s="16" t="str">
        <f>IF($P163&gt;0,CHOOSE(MATCH($B$4,'Служебный лист'!$A$4:$A$8,0),I163,J163,K163,L163,M163),"")</f>
        <v/>
      </c>
      <c r="S163" s="16">
        <f t="shared" si="2"/>
        <v>0</v>
      </c>
      <c r="T163" s="15" t="str">
        <f>IF($P163&gt;0,COUNTIF($P$11:P163,"&gt;0"),"")</f>
        <v/>
      </c>
    </row>
    <row r="164" spans="1:20" ht="14.2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6"/>
      <c r="J164" s="16"/>
      <c r="K164" s="16"/>
      <c r="L164" s="16"/>
      <c r="M164" s="16"/>
      <c r="N164" s="15"/>
      <c r="O164" s="15"/>
      <c r="P164" s="17"/>
      <c r="Q164" s="17"/>
      <c r="R164" s="16" t="str">
        <f>IF($P164&gt;0,CHOOSE(MATCH($B$4,'Служебный лист'!$A$4:$A$8,0),I164,J164,K164,L164,M164),"")</f>
        <v/>
      </c>
      <c r="S164" s="16">
        <f t="shared" si="2"/>
        <v>0</v>
      </c>
      <c r="T164" s="15" t="str">
        <f>IF($P164&gt;0,COUNTIF($P$11:P164,"&gt;0"),"")</f>
        <v/>
      </c>
    </row>
    <row r="165" spans="1:20" ht="14.2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6"/>
      <c r="J165" s="16"/>
      <c r="K165" s="16"/>
      <c r="L165" s="16"/>
      <c r="M165" s="16"/>
      <c r="N165" s="15"/>
      <c r="O165" s="15"/>
      <c r="P165" s="17"/>
      <c r="Q165" s="17"/>
      <c r="R165" s="16" t="str">
        <f>IF($P165&gt;0,CHOOSE(MATCH($B$4,'Служебный лист'!$A$4:$A$8,0),I165,J165,K165,L165,M165),"")</f>
        <v/>
      </c>
      <c r="S165" s="16">
        <f t="shared" si="2"/>
        <v>0</v>
      </c>
      <c r="T165" s="15" t="str">
        <f>IF($P165&gt;0,COUNTIF($P$11:P165,"&gt;0"),"")</f>
        <v/>
      </c>
    </row>
    <row r="166" spans="1:20" ht="14.2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6"/>
      <c r="J166" s="16"/>
      <c r="K166" s="16"/>
      <c r="L166" s="16"/>
      <c r="M166" s="16"/>
      <c r="N166" s="15"/>
      <c r="O166" s="15"/>
      <c r="P166" s="17"/>
      <c r="Q166" s="17"/>
      <c r="R166" s="16" t="str">
        <f>IF($P166&gt;0,CHOOSE(MATCH($B$4,'Служебный лист'!$A$4:$A$8,0),I166,J166,K166,L166,M166),"")</f>
        <v/>
      </c>
      <c r="S166" s="16">
        <f t="shared" si="2"/>
        <v>0</v>
      </c>
      <c r="T166" s="15" t="str">
        <f>IF($P166&gt;0,COUNTIF($P$11:P166,"&gt;0"),"")</f>
        <v/>
      </c>
    </row>
    <row r="167" spans="1:20" ht="14.2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6"/>
      <c r="J167" s="16"/>
      <c r="K167" s="16"/>
      <c r="L167" s="16"/>
      <c r="M167" s="16"/>
      <c r="N167" s="15"/>
      <c r="O167" s="15"/>
      <c r="P167" s="17"/>
      <c r="Q167" s="17"/>
      <c r="R167" s="16" t="str">
        <f>IF($P167&gt;0,CHOOSE(MATCH($B$4,'Служебный лист'!$A$4:$A$8,0),I167,J167,K167,L167,M167),"")</f>
        <v/>
      </c>
      <c r="S167" s="16">
        <f t="shared" si="2"/>
        <v>0</v>
      </c>
      <c r="T167" s="15" t="str">
        <f>IF($P167&gt;0,COUNTIF($P$11:P167,"&gt;0"),"")</f>
        <v/>
      </c>
    </row>
    <row r="168" spans="1:20" ht="14.2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6"/>
      <c r="J168" s="16"/>
      <c r="K168" s="16"/>
      <c r="L168" s="16"/>
      <c r="M168" s="16"/>
      <c r="N168" s="15"/>
      <c r="O168" s="15"/>
      <c r="P168" s="17"/>
      <c r="Q168" s="17"/>
      <c r="R168" s="16" t="str">
        <f>IF($P168&gt;0,CHOOSE(MATCH($B$4,'Служебный лист'!$A$4:$A$8,0),I168,J168,K168,L168,M168),"")</f>
        <v/>
      </c>
      <c r="S168" s="16">
        <f t="shared" si="2"/>
        <v>0</v>
      </c>
      <c r="T168" s="15" t="str">
        <f>IF($P168&gt;0,COUNTIF($P$11:P168,"&gt;0"),"")</f>
        <v/>
      </c>
    </row>
    <row r="169" spans="1:20" ht="14.2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6"/>
      <c r="J169" s="16"/>
      <c r="K169" s="16"/>
      <c r="L169" s="16"/>
      <c r="M169" s="16"/>
      <c r="N169" s="15"/>
      <c r="O169" s="15"/>
      <c r="P169" s="17"/>
      <c r="Q169" s="17"/>
      <c r="R169" s="16" t="str">
        <f>IF($P169&gt;0,CHOOSE(MATCH($B$4,'Служебный лист'!$A$4:$A$8,0),I169,J169,K169,L169,M169),"")</f>
        <v/>
      </c>
      <c r="S169" s="16">
        <f t="shared" si="2"/>
        <v>0</v>
      </c>
      <c r="T169" s="15" t="str">
        <f>IF($P169&gt;0,COUNTIF($P$11:P169,"&gt;0"),"")</f>
        <v/>
      </c>
    </row>
    <row r="170" spans="1:20" ht="14.2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6"/>
      <c r="J170" s="16"/>
      <c r="K170" s="16"/>
      <c r="L170" s="16"/>
      <c r="M170" s="16"/>
      <c r="N170" s="15"/>
      <c r="O170" s="15"/>
      <c r="P170" s="17"/>
      <c r="Q170" s="17"/>
      <c r="R170" s="16" t="str">
        <f>IF($P170&gt;0,CHOOSE(MATCH($B$4,'Служебный лист'!$A$4:$A$8,0),I170,J170,K170,L170,M170),"")</f>
        <v/>
      </c>
      <c r="S170" s="16">
        <f t="shared" si="2"/>
        <v>0</v>
      </c>
      <c r="T170" s="15" t="str">
        <f>IF($P170&gt;0,COUNTIF($P$11:P170,"&gt;0"),"")</f>
        <v/>
      </c>
    </row>
    <row r="171" spans="1:20" ht="14.2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6"/>
      <c r="J171" s="16"/>
      <c r="K171" s="16"/>
      <c r="L171" s="16"/>
      <c r="M171" s="16"/>
      <c r="N171" s="15"/>
      <c r="O171" s="15"/>
      <c r="P171" s="17"/>
      <c r="Q171" s="17"/>
      <c r="R171" s="16" t="str">
        <f>IF($P171&gt;0,CHOOSE(MATCH($B$4,'Служебный лист'!$A$4:$A$8,0),I171,J171,K171,L171,M171),"")</f>
        <v/>
      </c>
      <c r="S171" s="16">
        <f t="shared" si="2"/>
        <v>0</v>
      </c>
      <c r="T171" s="15" t="str">
        <f>IF($P171&gt;0,COUNTIF($P$11:P171,"&gt;0"),"")</f>
        <v/>
      </c>
    </row>
    <row r="172" spans="1:20" ht="14.2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6"/>
      <c r="J172" s="16"/>
      <c r="K172" s="16"/>
      <c r="L172" s="16"/>
      <c r="M172" s="16"/>
      <c r="N172" s="15"/>
      <c r="O172" s="15"/>
      <c r="P172" s="17"/>
      <c r="Q172" s="17"/>
      <c r="R172" s="16" t="str">
        <f>IF($P172&gt;0,CHOOSE(MATCH($B$4,'Служебный лист'!$A$4:$A$8,0),I172,J172,K172,L172,M172),"")</f>
        <v/>
      </c>
      <c r="S172" s="16">
        <f t="shared" si="2"/>
        <v>0</v>
      </c>
      <c r="T172" s="15" t="str">
        <f>IF($P172&gt;0,COUNTIF($P$11:P172,"&gt;0"),"")</f>
        <v/>
      </c>
    </row>
    <row r="173" spans="1:20" ht="14.2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6"/>
      <c r="J173" s="16"/>
      <c r="K173" s="16"/>
      <c r="L173" s="16"/>
      <c r="M173" s="16"/>
      <c r="N173" s="15"/>
      <c r="O173" s="15"/>
      <c r="P173" s="17"/>
      <c r="Q173" s="17"/>
      <c r="R173" s="16" t="str">
        <f>IF($P173&gt;0,CHOOSE(MATCH($B$4,'Служебный лист'!$A$4:$A$8,0),I173,J173,K173,L173,M173),"")</f>
        <v/>
      </c>
      <c r="S173" s="16">
        <f t="shared" si="2"/>
        <v>0</v>
      </c>
      <c r="T173" s="15" t="str">
        <f>IF($P173&gt;0,COUNTIF($P$11:P173,"&gt;0"),"")</f>
        <v/>
      </c>
    </row>
    <row r="174" spans="1:20" ht="14.2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6"/>
      <c r="J174" s="16"/>
      <c r="K174" s="16"/>
      <c r="L174" s="16"/>
      <c r="M174" s="16"/>
      <c r="N174" s="15"/>
      <c r="O174" s="15"/>
      <c r="P174" s="17"/>
      <c r="Q174" s="17"/>
      <c r="R174" s="16" t="str">
        <f>IF($P174&gt;0,CHOOSE(MATCH($B$4,'Служебный лист'!$A$4:$A$8,0),I174,J174,K174,L174,M174),"")</f>
        <v/>
      </c>
      <c r="S174" s="16">
        <f t="shared" si="2"/>
        <v>0</v>
      </c>
      <c r="T174" s="15" t="str">
        <f>IF($P174&gt;0,COUNTIF($P$11:P174,"&gt;0"),"")</f>
        <v/>
      </c>
    </row>
    <row r="175" spans="1:20" ht="14.2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6"/>
      <c r="J175" s="16"/>
      <c r="K175" s="16"/>
      <c r="L175" s="16"/>
      <c r="M175" s="16"/>
      <c r="N175" s="15"/>
      <c r="O175" s="15"/>
      <c r="P175" s="17"/>
      <c r="Q175" s="17"/>
      <c r="R175" s="16" t="str">
        <f>IF($P175&gt;0,CHOOSE(MATCH($B$4,'Служебный лист'!$A$4:$A$8,0),I175,J175,K175,L175,M175),"")</f>
        <v/>
      </c>
      <c r="S175" s="16">
        <f t="shared" si="2"/>
        <v>0</v>
      </c>
      <c r="T175" s="15" t="str">
        <f>IF($P175&gt;0,COUNTIF($P$11:P175,"&gt;0"),"")</f>
        <v/>
      </c>
    </row>
    <row r="176" spans="1:20" ht="14.2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6"/>
      <c r="J176" s="16"/>
      <c r="K176" s="16"/>
      <c r="L176" s="16"/>
      <c r="M176" s="16"/>
      <c r="N176" s="15"/>
      <c r="O176" s="15"/>
      <c r="P176" s="17"/>
      <c r="Q176" s="17"/>
      <c r="R176" s="16" t="str">
        <f>IF($P176&gt;0,CHOOSE(MATCH($B$4,'Служебный лист'!$A$4:$A$8,0),I176,J176,K176,L176,M176),"")</f>
        <v/>
      </c>
      <c r="S176" s="16">
        <f t="shared" si="2"/>
        <v>0</v>
      </c>
      <c r="T176" s="15" t="str">
        <f>IF($P176&gt;0,COUNTIF($P$11:P176,"&gt;0"),"")</f>
        <v/>
      </c>
    </row>
    <row r="177" spans="1:20" ht="14.2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6"/>
      <c r="J177" s="16"/>
      <c r="K177" s="16"/>
      <c r="L177" s="16"/>
      <c r="M177" s="16"/>
      <c r="N177" s="15"/>
      <c r="O177" s="15"/>
      <c r="P177" s="17"/>
      <c r="Q177" s="17"/>
      <c r="R177" s="16" t="str">
        <f>IF($P177&gt;0,CHOOSE(MATCH($B$4,'Служебный лист'!$A$4:$A$8,0),I177,J177,K177,L177,M177),"")</f>
        <v/>
      </c>
      <c r="S177" s="16">
        <f t="shared" si="2"/>
        <v>0</v>
      </c>
      <c r="T177" s="15" t="str">
        <f>IF($P177&gt;0,COUNTIF($P$11:P177,"&gt;0"),"")</f>
        <v/>
      </c>
    </row>
    <row r="178" spans="1:20" ht="14.2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6"/>
      <c r="J178" s="16"/>
      <c r="K178" s="16"/>
      <c r="L178" s="16"/>
      <c r="M178" s="16"/>
      <c r="N178" s="15"/>
      <c r="O178" s="15"/>
      <c r="P178" s="17"/>
      <c r="Q178" s="17"/>
      <c r="R178" s="16" t="str">
        <f>IF($P178&gt;0,CHOOSE(MATCH($B$4,'Служебный лист'!$A$4:$A$8,0),I178,J178,K178,L178,M178),"")</f>
        <v/>
      </c>
      <c r="S178" s="16">
        <f t="shared" si="2"/>
        <v>0</v>
      </c>
      <c r="T178" s="15" t="str">
        <f>IF($P178&gt;0,COUNTIF($P$11:P178,"&gt;0"),"")</f>
        <v/>
      </c>
    </row>
    <row r="179" spans="1:20" ht="14.2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6"/>
      <c r="J179" s="16"/>
      <c r="K179" s="16"/>
      <c r="L179" s="16"/>
      <c r="M179" s="16"/>
      <c r="N179" s="15"/>
      <c r="O179" s="15"/>
      <c r="P179" s="17"/>
      <c r="Q179" s="17"/>
      <c r="R179" s="16" t="str">
        <f>IF($P179&gt;0,CHOOSE(MATCH($B$4,'Служебный лист'!$A$4:$A$8,0),I179,J179,K179,L179,M179),"")</f>
        <v/>
      </c>
      <c r="S179" s="16">
        <f t="shared" si="2"/>
        <v>0</v>
      </c>
      <c r="T179" s="15" t="str">
        <f>IF($P179&gt;0,COUNTIF($P$11:P179,"&gt;0"),"")</f>
        <v/>
      </c>
    </row>
    <row r="180" spans="1:20" ht="14.2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6"/>
      <c r="J180" s="16"/>
      <c r="K180" s="16"/>
      <c r="L180" s="16"/>
      <c r="M180" s="16"/>
      <c r="N180" s="15"/>
      <c r="O180" s="15"/>
      <c r="P180" s="17"/>
      <c r="Q180" s="17"/>
      <c r="R180" s="16" t="str">
        <f>IF($P180&gt;0,CHOOSE(MATCH($B$4,'Служебный лист'!$A$4:$A$8,0),I180,J180,K180,L180,M180),"")</f>
        <v/>
      </c>
      <c r="S180" s="16">
        <f t="shared" si="2"/>
        <v>0</v>
      </c>
      <c r="T180" s="15" t="str">
        <f>IF($P180&gt;0,COUNTIF($P$11:P180,"&gt;0"),"")</f>
        <v/>
      </c>
    </row>
    <row r="181" spans="1:20" ht="14.2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6"/>
      <c r="J181" s="16"/>
      <c r="K181" s="16"/>
      <c r="L181" s="16"/>
      <c r="M181" s="16"/>
      <c r="N181" s="15"/>
      <c r="O181" s="15"/>
      <c r="P181" s="17"/>
      <c r="Q181" s="17"/>
      <c r="R181" s="16" t="str">
        <f>IF($P181&gt;0,CHOOSE(MATCH($B$4,'Служебный лист'!$A$4:$A$8,0),I181,J181,K181,L181,M181),"")</f>
        <v/>
      </c>
      <c r="S181" s="16">
        <f t="shared" si="2"/>
        <v>0</v>
      </c>
      <c r="T181" s="15" t="str">
        <f>IF($P181&gt;0,COUNTIF($P$11:P181,"&gt;0"),"")</f>
        <v/>
      </c>
    </row>
    <row r="182" spans="1:20" ht="14.2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6"/>
      <c r="J182" s="16"/>
      <c r="K182" s="16"/>
      <c r="L182" s="16"/>
      <c r="M182" s="16"/>
      <c r="N182" s="15"/>
      <c r="O182" s="15"/>
      <c r="P182" s="17"/>
      <c r="Q182" s="17"/>
      <c r="R182" s="16" t="str">
        <f>IF($P182&gt;0,CHOOSE(MATCH($B$4,'Служебный лист'!$A$4:$A$8,0),I182,J182,K182,L182,M182),"")</f>
        <v/>
      </c>
      <c r="S182" s="16">
        <f t="shared" si="2"/>
        <v>0</v>
      </c>
      <c r="T182" s="15" t="str">
        <f>IF($P182&gt;0,COUNTIF($P$11:P182,"&gt;0"),"")</f>
        <v/>
      </c>
    </row>
    <row r="183" spans="1:20" ht="14.2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6"/>
      <c r="J183" s="16"/>
      <c r="K183" s="16"/>
      <c r="L183" s="16"/>
      <c r="M183" s="16"/>
      <c r="N183" s="15"/>
      <c r="O183" s="15"/>
      <c r="P183" s="17"/>
      <c r="Q183" s="17"/>
      <c r="R183" s="16" t="str">
        <f>IF($P183&gt;0,CHOOSE(MATCH($B$4,'Служебный лист'!$A$4:$A$8,0),I183,J183,K183,L183,M183),"")</f>
        <v/>
      </c>
      <c r="S183" s="16">
        <f t="shared" si="2"/>
        <v>0</v>
      </c>
      <c r="T183" s="15" t="str">
        <f>IF($P183&gt;0,COUNTIF($P$11:P183,"&gt;0"),"")</f>
        <v/>
      </c>
    </row>
    <row r="184" spans="1:20" ht="14.2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6"/>
      <c r="J184" s="16"/>
      <c r="K184" s="16"/>
      <c r="L184" s="16"/>
      <c r="M184" s="16"/>
      <c r="N184" s="15"/>
      <c r="O184" s="15"/>
      <c r="P184" s="17"/>
      <c r="Q184" s="17"/>
      <c r="R184" s="16" t="str">
        <f>IF($P184&gt;0,CHOOSE(MATCH($B$4,'Служебный лист'!$A$4:$A$8,0),I184,J184,K184,L184,M184),"")</f>
        <v/>
      </c>
      <c r="S184" s="16">
        <f t="shared" si="2"/>
        <v>0</v>
      </c>
      <c r="T184" s="15" t="str">
        <f>IF($P184&gt;0,COUNTIF($P$11:P184,"&gt;0"),"")</f>
        <v/>
      </c>
    </row>
    <row r="185" spans="1:20" ht="14.2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6"/>
      <c r="J185" s="16"/>
      <c r="K185" s="16"/>
      <c r="L185" s="16"/>
      <c r="M185" s="16"/>
      <c r="N185" s="15"/>
      <c r="O185" s="15"/>
      <c r="P185" s="17"/>
      <c r="Q185" s="17"/>
      <c r="R185" s="16" t="str">
        <f>IF($P185&gt;0,CHOOSE(MATCH($B$4,'Служебный лист'!$A$4:$A$8,0),I185,J185,K185,L185,M185),"")</f>
        <v/>
      </c>
      <c r="S185" s="16">
        <f t="shared" si="2"/>
        <v>0</v>
      </c>
      <c r="T185" s="15" t="str">
        <f>IF($P185&gt;0,COUNTIF($P$11:P185,"&gt;0"),"")</f>
        <v/>
      </c>
    </row>
    <row r="186" spans="1:20" ht="14.2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6"/>
      <c r="J186" s="16"/>
      <c r="K186" s="16"/>
      <c r="L186" s="16"/>
      <c r="M186" s="16"/>
      <c r="N186" s="15"/>
      <c r="O186" s="15"/>
      <c r="P186" s="17"/>
      <c r="Q186" s="17"/>
      <c r="R186" s="16" t="str">
        <f>IF($P186&gt;0,CHOOSE(MATCH($B$4,'Служебный лист'!$A$4:$A$8,0),I186,J186,K186,L186,M186),"")</f>
        <v/>
      </c>
      <c r="S186" s="16">
        <f t="shared" si="2"/>
        <v>0</v>
      </c>
      <c r="T186" s="15" t="str">
        <f>IF($P186&gt;0,COUNTIF($P$11:P186,"&gt;0"),"")</f>
        <v/>
      </c>
    </row>
    <row r="187" spans="1:20" ht="14.2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6"/>
      <c r="J187" s="16"/>
      <c r="K187" s="16"/>
      <c r="L187" s="16"/>
      <c r="M187" s="16"/>
      <c r="N187" s="15"/>
      <c r="O187" s="15"/>
      <c r="P187" s="17"/>
      <c r="Q187" s="17"/>
      <c r="R187" s="16" t="str">
        <f>IF($P187&gt;0,CHOOSE(MATCH($B$4,'Служебный лист'!$A$4:$A$8,0),I187,J187,K187,L187,M187),"")</f>
        <v/>
      </c>
      <c r="S187" s="16">
        <f t="shared" si="2"/>
        <v>0</v>
      </c>
      <c r="T187" s="15" t="str">
        <f>IF($P187&gt;0,COUNTIF($P$11:P187,"&gt;0"),"")</f>
        <v/>
      </c>
    </row>
    <row r="188" spans="1:20" ht="14.2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6"/>
      <c r="J188" s="16"/>
      <c r="K188" s="16"/>
      <c r="L188" s="16"/>
      <c r="M188" s="16"/>
      <c r="N188" s="15"/>
      <c r="O188" s="15"/>
      <c r="P188" s="17"/>
      <c r="Q188" s="17"/>
      <c r="R188" s="16" t="str">
        <f>IF($P188&gt;0,CHOOSE(MATCH($B$4,'Служебный лист'!$A$4:$A$8,0),I188,J188,K188,L188,M188),"")</f>
        <v/>
      </c>
      <c r="S188" s="16">
        <f t="shared" si="2"/>
        <v>0</v>
      </c>
      <c r="T188" s="15" t="str">
        <f>IF($P188&gt;0,COUNTIF($P$11:P188,"&gt;0"),"")</f>
        <v/>
      </c>
    </row>
    <row r="189" spans="1:20" ht="14.2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6"/>
      <c r="J189" s="16"/>
      <c r="K189" s="16"/>
      <c r="L189" s="16"/>
      <c r="M189" s="16"/>
      <c r="N189" s="15"/>
      <c r="O189" s="15"/>
      <c r="P189" s="17"/>
      <c r="Q189" s="17"/>
      <c r="R189" s="16" t="str">
        <f>IF($P189&gt;0,CHOOSE(MATCH($B$4,'Служебный лист'!$A$4:$A$8,0),I189,J189,K189,L189,M189),"")</f>
        <v/>
      </c>
      <c r="S189" s="16">
        <f t="shared" si="2"/>
        <v>0</v>
      </c>
      <c r="T189" s="15" t="str">
        <f>IF($P189&gt;0,COUNTIF($P$11:P189,"&gt;0"),"")</f>
        <v/>
      </c>
    </row>
    <row r="190" spans="1:20" ht="14.2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6"/>
      <c r="J190" s="16"/>
      <c r="K190" s="16"/>
      <c r="L190" s="16"/>
      <c r="M190" s="16"/>
      <c r="N190" s="15"/>
      <c r="O190" s="15"/>
      <c r="P190" s="17"/>
      <c r="Q190" s="17"/>
      <c r="R190" s="16" t="str">
        <f>IF($P190&gt;0,CHOOSE(MATCH($B$4,'Служебный лист'!$A$4:$A$8,0),I190,J190,K190,L190,M190),"")</f>
        <v/>
      </c>
      <c r="S190" s="16">
        <f t="shared" si="2"/>
        <v>0</v>
      </c>
      <c r="T190" s="15" t="str">
        <f>IF($P190&gt;0,COUNTIF($P$11:P190,"&gt;0"),"")</f>
        <v/>
      </c>
    </row>
    <row r="191" spans="1:20" ht="14.2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6"/>
      <c r="J191" s="16"/>
      <c r="K191" s="16"/>
      <c r="L191" s="16"/>
      <c r="M191" s="16"/>
      <c r="N191" s="15"/>
      <c r="O191" s="15"/>
      <c r="P191" s="17"/>
      <c r="Q191" s="17"/>
      <c r="R191" s="16" t="str">
        <f>IF($P191&gt;0,CHOOSE(MATCH($B$4,'Служебный лист'!$A$4:$A$8,0),I191,J191,K191,L191,M191),"")</f>
        <v/>
      </c>
      <c r="S191" s="16">
        <f t="shared" si="2"/>
        <v>0</v>
      </c>
      <c r="T191" s="15" t="str">
        <f>IF($P191&gt;0,COUNTIF($P$11:P191,"&gt;0"),"")</f>
        <v/>
      </c>
    </row>
    <row r="192" spans="1:20" ht="14.2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6"/>
      <c r="J192" s="16"/>
      <c r="K192" s="16"/>
      <c r="L192" s="16"/>
      <c r="M192" s="16"/>
      <c r="N192" s="15"/>
      <c r="O192" s="15"/>
      <c r="P192" s="17"/>
      <c r="Q192" s="17"/>
      <c r="R192" s="16" t="str">
        <f>IF($P192&gt;0,CHOOSE(MATCH($B$4,'Служебный лист'!$A$4:$A$8,0),I192,J192,K192,L192,M192),"")</f>
        <v/>
      </c>
      <c r="S192" s="16">
        <f t="shared" si="2"/>
        <v>0</v>
      </c>
      <c r="T192" s="15" t="str">
        <f>IF($P192&gt;0,COUNTIF($P$11:P192,"&gt;0"),"")</f>
        <v/>
      </c>
    </row>
    <row r="193" spans="1:20" ht="14.2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6"/>
      <c r="J193" s="16"/>
      <c r="K193" s="16"/>
      <c r="L193" s="16"/>
      <c r="M193" s="16"/>
      <c r="N193" s="15"/>
      <c r="O193" s="15"/>
      <c r="P193" s="17"/>
      <c r="Q193" s="17"/>
      <c r="R193" s="16" t="str">
        <f>IF($P193&gt;0,CHOOSE(MATCH($B$4,'Служебный лист'!$A$4:$A$8,0),I193,J193,K193,L193,M193),"")</f>
        <v/>
      </c>
      <c r="S193" s="16">
        <f t="shared" si="2"/>
        <v>0</v>
      </c>
      <c r="T193" s="15" t="str">
        <f>IF($P193&gt;0,COUNTIF($P$11:P193,"&gt;0"),"")</f>
        <v/>
      </c>
    </row>
    <row r="194" spans="1:20" ht="14.2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6"/>
      <c r="J194" s="16"/>
      <c r="K194" s="16"/>
      <c r="L194" s="16"/>
      <c r="M194" s="16"/>
      <c r="N194" s="15"/>
      <c r="O194" s="15"/>
      <c r="P194" s="17"/>
      <c r="Q194" s="17"/>
      <c r="R194" s="16" t="str">
        <f>IF($P194&gt;0,CHOOSE(MATCH($B$4,'Служебный лист'!$A$4:$A$8,0),I194,J194,K194,L194,M194),"")</f>
        <v/>
      </c>
      <c r="S194" s="16">
        <f t="shared" si="2"/>
        <v>0</v>
      </c>
      <c r="T194" s="15" t="str">
        <f>IF($P194&gt;0,COUNTIF($P$11:P194,"&gt;0"),"")</f>
        <v/>
      </c>
    </row>
    <row r="195" spans="1:20" ht="14.2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6"/>
      <c r="J195" s="16"/>
      <c r="K195" s="16"/>
      <c r="L195" s="16"/>
      <c r="M195" s="16"/>
      <c r="N195" s="15"/>
      <c r="O195" s="15"/>
      <c r="P195" s="17"/>
      <c r="Q195" s="17"/>
      <c r="R195" s="16" t="str">
        <f>IF($P195&gt;0,CHOOSE(MATCH($B$4,'Служебный лист'!$A$4:$A$8,0),I195,J195,K195,L195,M195),"")</f>
        <v/>
      </c>
      <c r="S195" s="16">
        <f t="shared" si="2"/>
        <v>0</v>
      </c>
      <c r="T195" s="15" t="str">
        <f>IF($P195&gt;0,COUNTIF($P$11:P195,"&gt;0"),"")</f>
        <v/>
      </c>
    </row>
    <row r="196" spans="1:20" ht="14.2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6"/>
      <c r="J196" s="16"/>
      <c r="K196" s="16"/>
      <c r="L196" s="16"/>
      <c r="M196" s="16"/>
      <c r="N196" s="15"/>
      <c r="O196" s="15"/>
      <c r="P196" s="17"/>
      <c r="Q196" s="17"/>
      <c r="R196" s="16" t="str">
        <f>IF($P196&gt;0,CHOOSE(MATCH($B$4,'Служебный лист'!$A$4:$A$8,0),I196,J196,K196,L196,M196),"")</f>
        <v/>
      </c>
      <c r="S196" s="16">
        <f t="shared" si="2"/>
        <v>0</v>
      </c>
      <c r="T196" s="15" t="str">
        <f>IF($P196&gt;0,COUNTIF($P$11:P196,"&gt;0"),"")</f>
        <v/>
      </c>
    </row>
    <row r="197" spans="1:20" ht="14.2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6"/>
      <c r="J197" s="16"/>
      <c r="K197" s="16"/>
      <c r="L197" s="16"/>
      <c r="M197" s="16"/>
      <c r="N197" s="15"/>
      <c r="O197" s="15"/>
      <c r="P197" s="17"/>
      <c r="Q197" s="17"/>
      <c r="R197" s="16" t="str">
        <f>IF($P197&gt;0,CHOOSE(MATCH($B$4,'Служебный лист'!$A$4:$A$8,0),I197,J197,K197,L197,M197),"")</f>
        <v/>
      </c>
      <c r="S197" s="16">
        <f t="shared" si="2"/>
        <v>0</v>
      </c>
      <c r="T197" s="15" t="str">
        <f>IF($P197&gt;0,COUNTIF($P$11:P197,"&gt;0"),"")</f>
        <v/>
      </c>
    </row>
    <row r="198" spans="1:20" ht="14.2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6"/>
      <c r="J198" s="16"/>
      <c r="K198" s="16"/>
      <c r="L198" s="16"/>
      <c r="M198" s="16"/>
      <c r="N198" s="15"/>
      <c r="O198" s="15"/>
      <c r="P198" s="17"/>
      <c r="Q198" s="17"/>
      <c r="R198" s="16" t="str">
        <f>IF($P198&gt;0,CHOOSE(MATCH($B$4,'Служебный лист'!$A$4:$A$8,0),I198,J198,K198,L198,M198),"")</f>
        <v/>
      </c>
      <c r="S198" s="16">
        <f t="shared" si="2"/>
        <v>0</v>
      </c>
      <c r="T198" s="15" t="str">
        <f>IF($P198&gt;0,COUNTIF($P$11:P198,"&gt;0"),"")</f>
        <v/>
      </c>
    </row>
    <row r="199" spans="1:20" ht="14.2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6"/>
      <c r="J199" s="16"/>
      <c r="K199" s="16"/>
      <c r="L199" s="16"/>
      <c r="M199" s="16"/>
      <c r="N199" s="15"/>
      <c r="O199" s="15"/>
      <c r="P199" s="17"/>
      <c r="Q199" s="17"/>
      <c r="R199" s="16" t="str">
        <f>IF($P199&gt;0,CHOOSE(MATCH($B$4,'Служебный лист'!$A$4:$A$8,0),I199,J199,K199,L199,M199),"")</f>
        <v/>
      </c>
      <c r="S199" s="16">
        <f t="shared" si="2"/>
        <v>0</v>
      </c>
      <c r="T199" s="15" t="str">
        <f>IF($P199&gt;0,COUNTIF($P$11:P199,"&gt;0"),"")</f>
        <v/>
      </c>
    </row>
    <row r="200" spans="1:20" ht="14.2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6"/>
      <c r="J200" s="16"/>
      <c r="K200" s="16"/>
      <c r="L200" s="16"/>
      <c r="M200" s="16"/>
      <c r="N200" s="15"/>
      <c r="O200" s="15"/>
      <c r="P200" s="17"/>
      <c r="Q200" s="17"/>
      <c r="R200" s="16" t="str">
        <f>IF($P200&gt;0,CHOOSE(MATCH($B$4,'Служебный лист'!$A$4:$A$8,0),I200,J200,K200,L200,M200),"")</f>
        <v/>
      </c>
      <c r="S200" s="16">
        <f t="shared" si="2"/>
        <v>0</v>
      </c>
      <c r="T200" s="15" t="str">
        <f>IF($P200&gt;0,COUNTIF($P$11:P200,"&gt;0"),"")</f>
        <v/>
      </c>
    </row>
    <row r="201" spans="1:20" ht="14.2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6"/>
      <c r="J201" s="16"/>
      <c r="K201" s="16"/>
      <c r="L201" s="16"/>
      <c r="M201" s="16"/>
      <c r="N201" s="15"/>
      <c r="O201" s="15"/>
      <c r="P201" s="17"/>
      <c r="Q201" s="17"/>
      <c r="R201" s="16" t="str">
        <f>IF($P201&gt;0,CHOOSE(MATCH($B$4,'Служебный лист'!$A$4:$A$8,0),I201,J201,K201,L201,M201),"")</f>
        <v/>
      </c>
      <c r="S201" s="16">
        <f t="shared" si="2"/>
        <v>0</v>
      </c>
      <c r="T201" s="15" t="str">
        <f>IF($P201&gt;0,COUNTIF($P$11:P201,"&gt;0"),"")</f>
        <v/>
      </c>
    </row>
    <row r="202" spans="1:20" ht="14.2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6"/>
      <c r="J202" s="16"/>
      <c r="K202" s="16"/>
      <c r="L202" s="16"/>
      <c r="M202" s="16"/>
      <c r="N202" s="15"/>
      <c r="O202" s="15"/>
      <c r="P202" s="17"/>
      <c r="Q202" s="17"/>
      <c r="R202" s="16" t="str">
        <f>IF($P202&gt;0,CHOOSE(MATCH($B$4,'Служебный лист'!$A$4:$A$8,0),I202,J202,K202,L202,M202),"")</f>
        <v/>
      </c>
      <c r="S202" s="16">
        <f t="shared" si="2"/>
        <v>0</v>
      </c>
      <c r="T202" s="15" t="str">
        <f>IF($P202&gt;0,COUNTIF($P$11:P202,"&gt;0"),"")</f>
        <v/>
      </c>
    </row>
    <row r="203" spans="1:20" ht="14.2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6"/>
      <c r="J203" s="16"/>
      <c r="K203" s="16"/>
      <c r="L203" s="16"/>
      <c r="M203" s="16"/>
      <c r="N203" s="15"/>
      <c r="O203" s="15"/>
      <c r="P203" s="17"/>
      <c r="Q203" s="17"/>
      <c r="R203" s="16" t="str">
        <f>IF($P203&gt;0,CHOOSE(MATCH($B$4,'Служебный лист'!$A$4:$A$8,0),I203,J203,K203,L203,M203),"")</f>
        <v/>
      </c>
      <c r="S203" s="16">
        <f t="shared" ref="S203:S266" si="3">IFERROR($P203*$R203,0)</f>
        <v>0</v>
      </c>
      <c r="T203" s="15" t="str">
        <f>IF($P203&gt;0,COUNTIF($P$11:P203,"&gt;0"),"")</f>
        <v/>
      </c>
    </row>
    <row r="204" spans="1:20" ht="14.2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6"/>
      <c r="J204" s="16"/>
      <c r="K204" s="16"/>
      <c r="L204" s="16"/>
      <c r="M204" s="16"/>
      <c r="N204" s="15"/>
      <c r="O204" s="15"/>
      <c r="P204" s="17"/>
      <c r="Q204" s="17"/>
      <c r="R204" s="16" t="str">
        <f>IF($P204&gt;0,CHOOSE(MATCH($B$4,'Служебный лист'!$A$4:$A$8,0),I204,J204,K204,L204,M204),"")</f>
        <v/>
      </c>
      <c r="S204" s="16">
        <f t="shared" si="3"/>
        <v>0</v>
      </c>
      <c r="T204" s="15" t="str">
        <f>IF($P204&gt;0,COUNTIF($P$11:P204,"&gt;0"),"")</f>
        <v/>
      </c>
    </row>
    <row r="205" spans="1:20" ht="14.2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6"/>
      <c r="J205" s="16"/>
      <c r="K205" s="16"/>
      <c r="L205" s="16"/>
      <c r="M205" s="16"/>
      <c r="N205" s="15"/>
      <c r="O205" s="15"/>
      <c r="P205" s="17"/>
      <c r="Q205" s="17"/>
      <c r="R205" s="16" t="str">
        <f>IF($P205&gt;0,CHOOSE(MATCH($B$4,'Служебный лист'!$A$4:$A$8,0),I205,J205,K205,L205,M205),"")</f>
        <v/>
      </c>
      <c r="S205" s="16">
        <f t="shared" si="3"/>
        <v>0</v>
      </c>
      <c r="T205" s="15" t="str">
        <f>IF($P205&gt;0,COUNTIF($P$11:P205,"&gt;0"),"")</f>
        <v/>
      </c>
    </row>
    <row r="206" spans="1:20" ht="14.2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6"/>
      <c r="J206" s="16"/>
      <c r="K206" s="16"/>
      <c r="L206" s="16"/>
      <c r="M206" s="16"/>
      <c r="N206" s="15"/>
      <c r="O206" s="15"/>
      <c r="P206" s="17"/>
      <c r="Q206" s="17"/>
      <c r="R206" s="16" t="str">
        <f>IF($P206&gt;0,CHOOSE(MATCH($B$4,'Служебный лист'!$A$4:$A$8,0),I206,J206,K206,L206,M206),"")</f>
        <v/>
      </c>
      <c r="S206" s="16">
        <f t="shared" si="3"/>
        <v>0</v>
      </c>
      <c r="T206" s="15" t="str">
        <f>IF($P206&gt;0,COUNTIF($P$11:P206,"&gt;0"),"")</f>
        <v/>
      </c>
    </row>
    <row r="207" spans="1:20" ht="14.2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6"/>
      <c r="J207" s="16"/>
      <c r="K207" s="16"/>
      <c r="L207" s="16"/>
      <c r="M207" s="16"/>
      <c r="N207" s="15"/>
      <c r="O207" s="15"/>
      <c r="P207" s="17"/>
      <c r="Q207" s="17"/>
      <c r="R207" s="16" t="str">
        <f>IF($P207&gt;0,CHOOSE(MATCH($B$4,'Служебный лист'!$A$4:$A$8,0),I207,J207,K207,L207,M207),"")</f>
        <v/>
      </c>
      <c r="S207" s="16">
        <f t="shared" si="3"/>
        <v>0</v>
      </c>
      <c r="T207" s="15" t="str">
        <f>IF($P207&gt;0,COUNTIF($P$11:P207,"&gt;0"),"")</f>
        <v/>
      </c>
    </row>
    <row r="208" spans="1:20" ht="14.2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6"/>
      <c r="J208" s="16"/>
      <c r="K208" s="16"/>
      <c r="L208" s="16"/>
      <c r="M208" s="16"/>
      <c r="N208" s="15"/>
      <c r="O208" s="15"/>
      <c r="P208" s="17"/>
      <c r="Q208" s="17"/>
      <c r="R208" s="16" t="str">
        <f>IF($P208&gt;0,CHOOSE(MATCH($B$4,'Служебный лист'!$A$4:$A$8,0),I208,J208,K208,L208,M208),"")</f>
        <v/>
      </c>
      <c r="S208" s="16">
        <f t="shared" si="3"/>
        <v>0</v>
      </c>
      <c r="T208" s="15" t="str">
        <f>IF($P208&gt;0,COUNTIF($P$11:P208,"&gt;0"),"")</f>
        <v/>
      </c>
    </row>
    <row r="209" spans="1:20" ht="14.2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6"/>
      <c r="J209" s="16"/>
      <c r="K209" s="16"/>
      <c r="L209" s="16"/>
      <c r="M209" s="16"/>
      <c r="N209" s="15"/>
      <c r="O209" s="15"/>
      <c r="P209" s="17"/>
      <c r="Q209" s="17"/>
      <c r="R209" s="16" t="str">
        <f>IF($P209&gt;0,CHOOSE(MATCH($B$4,'Служебный лист'!$A$4:$A$8,0),I209,J209,K209,L209,M209),"")</f>
        <v/>
      </c>
      <c r="S209" s="16">
        <f t="shared" si="3"/>
        <v>0</v>
      </c>
      <c r="T209" s="15" t="str">
        <f>IF($P209&gt;0,COUNTIF($P$11:P209,"&gt;0"),"")</f>
        <v/>
      </c>
    </row>
    <row r="210" spans="1:20" ht="14.2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6"/>
      <c r="J210" s="16"/>
      <c r="K210" s="16"/>
      <c r="L210" s="16"/>
      <c r="M210" s="16"/>
      <c r="N210" s="15"/>
      <c r="O210" s="15"/>
      <c r="P210" s="17"/>
      <c r="Q210" s="17"/>
      <c r="R210" s="16" t="str">
        <f>IF($P210&gt;0,CHOOSE(MATCH($B$4,'Служебный лист'!$A$4:$A$8,0),I210,J210,K210,L210,M210),"")</f>
        <v/>
      </c>
      <c r="S210" s="16">
        <f t="shared" si="3"/>
        <v>0</v>
      </c>
      <c r="T210" s="15" t="str">
        <f>IF($P210&gt;0,COUNTIF($P$11:P210,"&gt;0"),"")</f>
        <v/>
      </c>
    </row>
    <row r="211" spans="1:20" ht="14.2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6"/>
      <c r="J211" s="16"/>
      <c r="K211" s="16"/>
      <c r="L211" s="16"/>
      <c r="M211" s="16"/>
      <c r="N211" s="15"/>
      <c r="O211" s="15"/>
      <c r="P211" s="17"/>
      <c r="Q211" s="17"/>
      <c r="R211" s="16" t="str">
        <f>IF($P211&gt;0,CHOOSE(MATCH($B$4,'Служебный лист'!$A$4:$A$8,0),I211,J211,K211,L211,M211),"")</f>
        <v/>
      </c>
      <c r="S211" s="16">
        <f t="shared" si="3"/>
        <v>0</v>
      </c>
      <c r="T211" s="15" t="str">
        <f>IF($P211&gt;0,COUNTIF($P$11:P211,"&gt;0"),"")</f>
        <v/>
      </c>
    </row>
    <row r="212" spans="1:20" ht="14.2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6"/>
      <c r="J212" s="16"/>
      <c r="K212" s="16"/>
      <c r="L212" s="16"/>
      <c r="M212" s="16"/>
      <c r="N212" s="15"/>
      <c r="O212" s="15"/>
      <c r="P212" s="17"/>
      <c r="Q212" s="17"/>
      <c r="R212" s="16" t="str">
        <f>IF($P212&gt;0,CHOOSE(MATCH($B$4,'Служебный лист'!$A$4:$A$8,0),I212,J212,K212,L212,M212),"")</f>
        <v/>
      </c>
      <c r="S212" s="16">
        <f t="shared" si="3"/>
        <v>0</v>
      </c>
      <c r="T212" s="15" t="str">
        <f>IF($P212&gt;0,COUNTIF($P$11:P212,"&gt;0"),"")</f>
        <v/>
      </c>
    </row>
    <row r="213" spans="1:20" ht="14.2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6"/>
      <c r="J213" s="16"/>
      <c r="K213" s="16"/>
      <c r="L213" s="16"/>
      <c r="M213" s="16"/>
      <c r="N213" s="15"/>
      <c r="O213" s="15"/>
      <c r="P213" s="17"/>
      <c r="Q213" s="17"/>
      <c r="R213" s="16" t="str">
        <f>IF($P213&gt;0,CHOOSE(MATCH($B$4,'Служебный лист'!$A$4:$A$8,0),I213,J213,K213,L213,M213),"")</f>
        <v/>
      </c>
      <c r="S213" s="16">
        <f t="shared" si="3"/>
        <v>0</v>
      </c>
      <c r="T213" s="15" t="str">
        <f>IF($P213&gt;0,COUNTIF($P$11:P213,"&gt;0"),"")</f>
        <v/>
      </c>
    </row>
    <row r="214" spans="1:20" ht="14.2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6"/>
      <c r="J214" s="16"/>
      <c r="K214" s="16"/>
      <c r="L214" s="16"/>
      <c r="M214" s="16"/>
      <c r="N214" s="15"/>
      <c r="O214" s="15"/>
      <c r="P214" s="17"/>
      <c r="Q214" s="17"/>
      <c r="R214" s="16" t="str">
        <f>IF($P214&gt;0,CHOOSE(MATCH($B$4,'Служебный лист'!$A$4:$A$8,0),I214,J214,K214,L214,M214),"")</f>
        <v/>
      </c>
      <c r="S214" s="16">
        <f t="shared" si="3"/>
        <v>0</v>
      </c>
      <c r="T214" s="15" t="str">
        <f>IF($P214&gt;0,COUNTIF($P$11:P214,"&gt;0"),"")</f>
        <v/>
      </c>
    </row>
    <row r="215" spans="1:20" ht="14.2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6"/>
      <c r="J215" s="16"/>
      <c r="K215" s="16"/>
      <c r="L215" s="16"/>
      <c r="M215" s="16"/>
      <c r="N215" s="15"/>
      <c r="O215" s="15"/>
      <c r="P215" s="17"/>
      <c r="Q215" s="17"/>
      <c r="R215" s="16" t="str">
        <f>IF($P215&gt;0,CHOOSE(MATCH($B$4,'Служебный лист'!$A$4:$A$8,0),I215,J215,K215,L215,M215),"")</f>
        <v/>
      </c>
      <c r="S215" s="16">
        <f t="shared" si="3"/>
        <v>0</v>
      </c>
      <c r="T215" s="15" t="str">
        <f>IF($P215&gt;0,COUNTIF($P$11:P215,"&gt;0"),"")</f>
        <v/>
      </c>
    </row>
    <row r="216" spans="1:20" ht="14.2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6"/>
      <c r="J216" s="16"/>
      <c r="K216" s="16"/>
      <c r="L216" s="16"/>
      <c r="M216" s="16"/>
      <c r="N216" s="15"/>
      <c r="O216" s="15"/>
      <c r="P216" s="17"/>
      <c r="Q216" s="17"/>
      <c r="R216" s="16" t="str">
        <f>IF($P216&gt;0,CHOOSE(MATCH($B$4,'Служебный лист'!$A$4:$A$8,0),I216,J216,K216,L216,M216),"")</f>
        <v/>
      </c>
      <c r="S216" s="16">
        <f t="shared" si="3"/>
        <v>0</v>
      </c>
      <c r="T216" s="15" t="str">
        <f>IF($P216&gt;0,COUNTIF($P$11:P216,"&gt;0"),"")</f>
        <v/>
      </c>
    </row>
    <row r="217" spans="1:20" ht="14.2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6"/>
      <c r="J217" s="16"/>
      <c r="K217" s="16"/>
      <c r="L217" s="16"/>
      <c r="M217" s="16"/>
      <c r="N217" s="15"/>
      <c r="O217" s="15"/>
      <c r="P217" s="17"/>
      <c r="Q217" s="17"/>
      <c r="R217" s="16" t="str">
        <f>IF($P217&gt;0,CHOOSE(MATCH($B$4,'Служебный лист'!$A$4:$A$8,0),I217,J217,K217,L217,M217),"")</f>
        <v/>
      </c>
      <c r="S217" s="16">
        <f t="shared" si="3"/>
        <v>0</v>
      </c>
      <c r="T217" s="15" t="str">
        <f>IF($P217&gt;0,COUNTIF($P$11:P217,"&gt;0"),"")</f>
        <v/>
      </c>
    </row>
    <row r="218" spans="1:20" ht="14.2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6"/>
      <c r="J218" s="16"/>
      <c r="K218" s="16"/>
      <c r="L218" s="16"/>
      <c r="M218" s="16"/>
      <c r="N218" s="15"/>
      <c r="O218" s="15"/>
      <c r="P218" s="17"/>
      <c r="Q218" s="17"/>
      <c r="R218" s="16" t="str">
        <f>IF($P218&gt;0,CHOOSE(MATCH($B$4,'Служебный лист'!$A$4:$A$8,0),I218,J218,K218,L218,M218),"")</f>
        <v/>
      </c>
      <c r="S218" s="16">
        <f t="shared" si="3"/>
        <v>0</v>
      </c>
      <c r="T218" s="15" t="str">
        <f>IF($P218&gt;0,COUNTIF($P$11:P218,"&gt;0"),"")</f>
        <v/>
      </c>
    </row>
    <row r="219" spans="1:20" ht="14.2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6"/>
      <c r="J219" s="16"/>
      <c r="K219" s="16"/>
      <c r="L219" s="16"/>
      <c r="M219" s="16"/>
      <c r="N219" s="15"/>
      <c r="O219" s="15"/>
      <c r="P219" s="17"/>
      <c r="Q219" s="17"/>
      <c r="R219" s="16" t="str">
        <f>IF($P219&gt;0,CHOOSE(MATCH($B$4,'Служебный лист'!$A$4:$A$8,0),I219,J219,K219,L219,M219),"")</f>
        <v/>
      </c>
      <c r="S219" s="16">
        <f t="shared" si="3"/>
        <v>0</v>
      </c>
      <c r="T219" s="15" t="str">
        <f>IF($P219&gt;0,COUNTIF($P$11:P219,"&gt;0"),"")</f>
        <v/>
      </c>
    </row>
    <row r="220" spans="1:20" ht="14.2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6"/>
      <c r="J220" s="16"/>
      <c r="K220" s="16"/>
      <c r="L220" s="16"/>
      <c r="M220" s="16"/>
      <c r="N220" s="15"/>
      <c r="O220" s="15"/>
      <c r="P220" s="17"/>
      <c r="Q220" s="17"/>
      <c r="R220" s="16" t="str">
        <f>IF($P220&gt;0,CHOOSE(MATCH($B$4,'Служебный лист'!$A$4:$A$8,0),I220,J220,K220,L220,M220),"")</f>
        <v/>
      </c>
      <c r="S220" s="16">
        <f t="shared" si="3"/>
        <v>0</v>
      </c>
      <c r="T220" s="15" t="str">
        <f>IF($P220&gt;0,COUNTIF($P$11:P220,"&gt;0"),"")</f>
        <v/>
      </c>
    </row>
    <row r="221" spans="1:20" ht="14.2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6"/>
      <c r="J221" s="16"/>
      <c r="K221" s="16"/>
      <c r="L221" s="16"/>
      <c r="M221" s="16"/>
      <c r="N221" s="15"/>
      <c r="O221" s="15"/>
      <c r="P221" s="17"/>
      <c r="Q221" s="17"/>
      <c r="R221" s="16" t="str">
        <f>IF($P221&gt;0,CHOOSE(MATCH($B$4,'Служебный лист'!$A$4:$A$8,0),I221,J221,K221,L221,M221),"")</f>
        <v/>
      </c>
      <c r="S221" s="16">
        <f t="shared" si="3"/>
        <v>0</v>
      </c>
      <c r="T221" s="15" t="str">
        <f>IF($P221&gt;0,COUNTIF($P$11:P221,"&gt;0"),"")</f>
        <v/>
      </c>
    </row>
    <row r="222" spans="1:20" ht="14.2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6"/>
      <c r="J222" s="16"/>
      <c r="K222" s="16"/>
      <c r="L222" s="16"/>
      <c r="M222" s="16"/>
      <c r="N222" s="15"/>
      <c r="O222" s="15"/>
      <c r="P222" s="17"/>
      <c r="Q222" s="17"/>
      <c r="R222" s="16" t="str">
        <f>IF($P222&gt;0,CHOOSE(MATCH($B$4,'Служебный лист'!$A$4:$A$8,0),I222,J222,K222,L222,M222),"")</f>
        <v/>
      </c>
      <c r="S222" s="16">
        <f t="shared" si="3"/>
        <v>0</v>
      </c>
      <c r="T222" s="15" t="str">
        <f>IF($P222&gt;0,COUNTIF($P$11:P222,"&gt;0"),"")</f>
        <v/>
      </c>
    </row>
    <row r="223" spans="1:20" ht="14.2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6"/>
      <c r="J223" s="16"/>
      <c r="K223" s="16"/>
      <c r="L223" s="16"/>
      <c r="M223" s="16"/>
      <c r="N223" s="15"/>
      <c r="O223" s="15"/>
      <c r="P223" s="17"/>
      <c r="Q223" s="17"/>
      <c r="R223" s="16" t="str">
        <f>IF($P223&gt;0,CHOOSE(MATCH($B$4,'Служебный лист'!$A$4:$A$8,0),I223,J223,K223,L223,M223),"")</f>
        <v/>
      </c>
      <c r="S223" s="16">
        <f t="shared" si="3"/>
        <v>0</v>
      </c>
      <c r="T223" s="15" t="str">
        <f>IF($P223&gt;0,COUNTIF($P$11:P223,"&gt;0"),"")</f>
        <v/>
      </c>
    </row>
    <row r="224" spans="1:20" ht="14.2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6"/>
      <c r="J224" s="16"/>
      <c r="K224" s="16"/>
      <c r="L224" s="16"/>
      <c r="M224" s="16"/>
      <c r="N224" s="15"/>
      <c r="O224" s="15"/>
      <c r="P224" s="17"/>
      <c r="Q224" s="17"/>
      <c r="R224" s="16" t="str">
        <f>IF($P224&gt;0,CHOOSE(MATCH($B$4,'Служебный лист'!$A$4:$A$8,0),I224,J224,K224,L224,M224),"")</f>
        <v/>
      </c>
      <c r="S224" s="16">
        <f t="shared" si="3"/>
        <v>0</v>
      </c>
      <c r="T224" s="15" t="str">
        <f>IF($P224&gt;0,COUNTIF($P$11:P224,"&gt;0"),"")</f>
        <v/>
      </c>
    </row>
    <row r="225" spans="1:20" ht="14.2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6"/>
      <c r="J225" s="16"/>
      <c r="K225" s="16"/>
      <c r="L225" s="16"/>
      <c r="M225" s="16"/>
      <c r="N225" s="15"/>
      <c r="O225" s="15"/>
      <c r="P225" s="17"/>
      <c r="Q225" s="17"/>
      <c r="R225" s="16" t="str">
        <f>IF($P225&gt;0,CHOOSE(MATCH($B$4,'Служебный лист'!$A$4:$A$8,0),I225,J225,K225,L225,M225),"")</f>
        <v/>
      </c>
      <c r="S225" s="16">
        <f t="shared" si="3"/>
        <v>0</v>
      </c>
      <c r="T225" s="15" t="str">
        <f>IF($P225&gt;0,COUNTIF($P$11:P225,"&gt;0"),"")</f>
        <v/>
      </c>
    </row>
    <row r="226" spans="1:20" ht="14.2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6"/>
      <c r="J226" s="16"/>
      <c r="K226" s="16"/>
      <c r="L226" s="16"/>
      <c r="M226" s="16"/>
      <c r="N226" s="15"/>
      <c r="O226" s="15"/>
      <c r="P226" s="17"/>
      <c r="Q226" s="17"/>
      <c r="R226" s="16" t="str">
        <f>IF($P226&gt;0,CHOOSE(MATCH($B$4,'Служебный лист'!$A$4:$A$8,0),I226,J226,K226,L226,M226),"")</f>
        <v/>
      </c>
      <c r="S226" s="16">
        <f t="shared" si="3"/>
        <v>0</v>
      </c>
      <c r="T226" s="15" t="str">
        <f>IF($P226&gt;0,COUNTIF($P$11:P226,"&gt;0"),"")</f>
        <v/>
      </c>
    </row>
    <row r="227" spans="1:20" ht="14.2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6"/>
      <c r="J227" s="16"/>
      <c r="K227" s="16"/>
      <c r="L227" s="16"/>
      <c r="M227" s="16"/>
      <c r="N227" s="15"/>
      <c r="O227" s="15"/>
      <c r="P227" s="17"/>
      <c r="Q227" s="17"/>
      <c r="R227" s="16" t="str">
        <f>IF($P227&gt;0,CHOOSE(MATCH($B$4,'Служебный лист'!$A$4:$A$8,0),I227,J227,K227,L227,M227),"")</f>
        <v/>
      </c>
      <c r="S227" s="16">
        <f t="shared" si="3"/>
        <v>0</v>
      </c>
      <c r="T227" s="15" t="str">
        <f>IF($P227&gt;0,COUNTIF($P$11:P227,"&gt;0"),"")</f>
        <v/>
      </c>
    </row>
    <row r="228" spans="1:20" ht="14.2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6"/>
      <c r="J228" s="16"/>
      <c r="K228" s="16"/>
      <c r="L228" s="16"/>
      <c r="M228" s="16"/>
      <c r="N228" s="15"/>
      <c r="O228" s="15"/>
      <c r="P228" s="17"/>
      <c r="Q228" s="17"/>
      <c r="R228" s="16" t="str">
        <f>IF($P228&gt;0,CHOOSE(MATCH($B$4,'Служебный лист'!$A$4:$A$8,0),I228,J228,K228,L228,M228),"")</f>
        <v/>
      </c>
      <c r="S228" s="16">
        <f t="shared" si="3"/>
        <v>0</v>
      </c>
      <c r="T228" s="15" t="str">
        <f>IF($P228&gt;0,COUNTIF($P$11:P228,"&gt;0"),"")</f>
        <v/>
      </c>
    </row>
    <row r="229" spans="1:20" ht="14.2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6"/>
      <c r="J229" s="16"/>
      <c r="K229" s="16"/>
      <c r="L229" s="16"/>
      <c r="M229" s="16"/>
      <c r="N229" s="15"/>
      <c r="O229" s="15"/>
      <c r="P229" s="17"/>
      <c r="Q229" s="17"/>
      <c r="R229" s="16" t="str">
        <f>IF($P229&gt;0,CHOOSE(MATCH($B$4,'Служебный лист'!$A$4:$A$8,0),I229,J229,K229,L229,M229),"")</f>
        <v/>
      </c>
      <c r="S229" s="16">
        <f t="shared" si="3"/>
        <v>0</v>
      </c>
      <c r="T229" s="15" t="str">
        <f>IF($P229&gt;0,COUNTIF($P$11:P229,"&gt;0"),"")</f>
        <v/>
      </c>
    </row>
    <row r="230" spans="1:20" ht="14.2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6"/>
      <c r="J230" s="16"/>
      <c r="K230" s="16"/>
      <c r="L230" s="16"/>
      <c r="M230" s="16"/>
      <c r="N230" s="15"/>
      <c r="O230" s="15"/>
      <c r="P230" s="17"/>
      <c r="Q230" s="17"/>
      <c r="R230" s="16" t="str">
        <f>IF($P230&gt;0,CHOOSE(MATCH($B$4,'Служебный лист'!$A$4:$A$8,0),I230,J230,K230,L230,M230),"")</f>
        <v/>
      </c>
      <c r="S230" s="16">
        <f t="shared" si="3"/>
        <v>0</v>
      </c>
      <c r="T230" s="15" t="str">
        <f>IF($P230&gt;0,COUNTIF($P$11:P230,"&gt;0"),"")</f>
        <v/>
      </c>
    </row>
    <row r="231" spans="1:20" ht="14.2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6"/>
      <c r="J231" s="16"/>
      <c r="K231" s="16"/>
      <c r="L231" s="16"/>
      <c r="M231" s="16"/>
      <c r="N231" s="15"/>
      <c r="O231" s="15"/>
      <c r="P231" s="17"/>
      <c r="Q231" s="17"/>
      <c r="R231" s="16" t="str">
        <f>IF($P231&gt;0,CHOOSE(MATCH($B$4,'Служебный лист'!$A$4:$A$8,0),I231,J231,K231,L231,M231),"")</f>
        <v/>
      </c>
      <c r="S231" s="16">
        <f t="shared" si="3"/>
        <v>0</v>
      </c>
      <c r="T231" s="15" t="str">
        <f>IF($P231&gt;0,COUNTIF($P$11:P231,"&gt;0"),"")</f>
        <v/>
      </c>
    </row>
    <row r="232" spans="1:20" ht="14.2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6"/>
      <c r="J232" s="16"/>
      <c r="K232" s="16"/>
      <c r="L232" s="16"/>
      <c r="M232" s="16"/>
      <c r="N232" s="15"/>
      <c r="O232" s="15"/>
      <c r="P232" s="17"/>
      <c r="Q232" s="17"/>
      <c r="R232" s="16" t="str">
        <f>IF($P232&gt;0,CHOOSE(MATCH($B$4,'Служебный лист'!$A$4:$A$8,0),I232,J232,K232,L232,M232),"")</f>
        <v/>
      </c>
      <c r="S232" s="16">
        <f t="shared" si="3"/>
        <v>0</v>
      </c>
      <c r="T232" s="15" t="str">
        <f>IF($P232&gt;0,COUNTIF($P$11:P232,"&gt;0"),"")</f>
        <v/>
      </c>
    </row>
    <row r="233" spans="1:20" ht="14.2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6"/>
      <c r="J233" s="16"/>
      <c r="K233" s="16"/>
      <c r="L233" s="16"/>
      <c r="M233" s="16"/>
      <c r="N233" s="15"/>
      <c r="O233" s="15"/>
      <c r="P233" s="17"/>
      <c r="Q233" s="17"/>
      <c r="R233" s="16" t="str">
        <f>IF($P233&gt;0,CHOOSE(MATCH($B$4,'Служебный лист'!$A$4:$A$8,0),I233,J233,K233,L233,M233),"")</f>
        <v/>
      </c>
      <c r="S233" s="16">
        <f t="shared" si="3"/>
        <v>0</v>
      </c>
      <c r="T233" s="15" t="str">
        <f>IF($P233&gt;0,COUNTIF($P$11:P233,"&gt;0"),"")</f>
        <v/>
      </c>
    </row>
    <row r="234" spans="1:20" ht="14.2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6"/>
      <c r="J234" s="16"/>
      <c r="K234" s="16"/>
      <c r="L234" s="16"/>
      <c r="M234" s="16"/>
      <c r="N234" s="15"/>
      <c r="O234" s="15"/>
      <c r="P234" s="17"/>
      <c r="Q234" s="17"/>
      <c r="R234" s="16" t="str">
        <f>IF($P234&gt;0,CHOOSE(MATCH($B$4,'Служебный лист'!$A$4:$A$8,0),I234,J234,K234,L234,M234),"")</f>
        <v/>
      </c>
      <c r="S234" s="16">
        <f t="shared" si="3"/>
        <v>0</v>
      </c>
      <c r="T234" s="15" t="str">
        <f>IF($P234&gt;0,COUNTIF($P$11:P234,"&gt;0"),"")</f>
        <v/>
      </c>
    </row>
    <row r="235" spans="1:20" ht="14.2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6"/>
      <c r="J235" s="16"/>
      <c r="K235" s="16"/>
      <c r="L235" s="16"/>
      <c r="M235" s="16"/>
      <c r="N235" s="15"/>
      <c r="O235" s="15"/>
      <c r="P235" s="17"/>
      <c r="Q235" s="17"/>
      <c r="R235" s="16" t="str">
        <f>IF($P235&gt;0,CHOOSE(MATCH($B$4,'Служебный лист'!$A$4:$A$8,0),I235,J235,K235,L235,M235),"")</f>
        <v/>
      </c>
      <c r="S235" s="16">
        <f t="shared" si="3"/>
        <v>0</v>
      </c>
      <c r="T235" s="15" t="str">
        <f>IF($P235&gt;0,COUNTIF($P$11:P235,"&gt;0"),"")</f>
        <v/>
      </c>
    </row>
    <row r="236" spans="1:20" ht="14.2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6"/>
      <c r="J236" s="16"/>
      <c r="K236" s="16"/>
      <c r="L236" s="16"/>
      <c r="M236" s="16"/>
      <c r="N236" s="15"/>
      <c r="O236" s="15"/>
      <c r="P236" s="17"/>
      <c r="Q236" s="17"/>
      <c r="R236" s="16" t="str">
        <f>IF($P236&gt;0,CHOOSE(MATCH($B$4,'Служебный лист'!$A$4:$A$8,0),I236,J236,K236,L236,M236),"")</f>
        <v/>
      </c>
      <c r="S236" s="16">
        <f t="shared" si="3"/>
        <v>0</v>
      </c>
      <c r="T236" s="15" t="str">
        <f>IF($P236&gt;0,COUNTIF($P$11:P236,"&gt;0"),"")</f>
        <v/>
      </c>
    </row>
    <row r="237" spans="1:20" ht="14.2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6"/>
      <c r="J237" s="16"/>
      <c r="K237" s="16"/>
      <c r="L237" s="16"/>
      <c r="M237" s="16"/>
      <c r="N237" s="15"/>
      <c r="O237" s="15"/>
      <c r="P237" s="17"/>
      <c r="Q237" s="17"/>
      <c r="R237" s="16" t="str">
        <f>IF($P237&gt;0,CHOOSE(MATCH($B$4,'Служебный лист'!$A$4:$A$8,0),I237,J237,K237,L237,M237),"")</f>
        <v/>
      </c>
      <c r="S237" s="16">
        <f t="shared" si="3"/>
        <v>0</v>
      </c>
      <c r="T237" s="15" t="str">
        <f>IF($P237&gt;0,COUNTIF($P$11:P237,"&gt;0"),"")</f>
        <v/>
      </c>
    </row>
    <row r="238" spans="1:20" ht="14.2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6"/>
      <c r="J238" s="16"/>
      <c r="K238" s="16"/>
      <c r="L238" s="16"/>
      <c r="M238" s="16"/>
      <c r="N238" s="15"/>
      <c r="O238" s="15"/>
      <c r="P238" s="17"/>
      <c r="Q238" s="17"/>
      <c r="R238" s="16" t="str">
        <f>IF($P238&gt;0,CHOOSE(MATCH($B$4,'Служебный лист'!$A$4:$A$8,0),I238,J238,K238,L238,M238),"")</f>
        <v/>
      </c>
      <c r="S238" s="16">
        <f t="shared" si="3"/>
        <v>0</v>
      </c>
      <c r="T238" s="15" t="str">
        <f>IF($P238&gt;0,COUNTIF($P$11:P238,"&gt;0"),"")</f>
        <v/>
      </c>
    </row>
    <row r="239" spans="1:20" ht="14.2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6"/>
      <c r="J239" s="16"/>
      <c r="K239" s="16"/>
      <c r="L239" s="16"/>
      <c r="M239" s="16"/>
      <c r="N239" s="15"/>
      <c r="O239" s="15"/>
      <c r="P239" s="17"/>
      <c r="Q239" s="17"/>
      <c r="R239" s="16" t="str">
        <f>IF($P239&gt;0,CHOOSE(MATCH($B$4,'Служебный лист'!$A$4:$A$8,0),I239,J239,K239,L239,M239),"")</f>
        <v/>
      </c>
      <c r="S239" s="16">
        <f t="shared" si="3"/>
        <v>0</v>
      </c>
      <c r="T239" s="15" t="str">
        <f>IF($P239&gt;0,COUNTIF($P$11:P239,"&gt;0"),"")</f>
        <v/>
      </c>
    </row>
    <row r="240" spans="1:20" ht="14.2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6"/>
      <c r="J240" s="16"/>
      <c r="K240" s="16"/>
      <c r="L240" s="16"/>
      <c r="M240" s="16"/>
      <c r="N240" s="15"/>
      <c r="O240" s="15"/>
      <c r="P240" s="17"/>
      <c r="Q240" s="17"/>
      <c r="R240" s="16" t="str">
        <f>IF($P240&gt;0,CHOOSE(MATCH($B$4,'Служебный лист'!$A$4:$A$8,0),I240,J240,K240,L240,M240),"")</f>
        <v/>
      </c>
      <c r="S240" s="16">
        <f t="shared" si="3"/>
        <v>0</v>
      </c>
      <c r="T240" s="15" t="str">
        <f>IF($P240&gt;0,COUNTIF($P$11:P240,"&gt;0"),"")</f>
        <v/>
      </c>
    </row>
    <row r="241" spans="1:20" ht="14.2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6"/>
      <c r="J241" s="16"/>
      <c r="K241" s="16"/>
      <c r="L241" s="16"/>
      <c r="M241" s="16"/>
      <c r="N241" s="15"/>
      <c r="O241" s="15"/>
      <c r="P241" s="17"/>
      <c r="Q241" s="17"/>
      <c r="R241" s="16" t="str">
        <f>IF($P241&gt;0,CHOOSE(MATCH($B$4,'Служебный лист'!$A$4:$A$8,0),I241,J241,K241,L241,M241),"")</f>
        <v/>
      </c>
      <c r="S241" s="16">
        <f t="shared" si="3"/>
        <v>0</v>
      </c>
      <c r="T241" s="15" t="str">
        <f>IF($P241&gt;0,COUNTIF($P$11:P241,"&gt;0"),"")</f>
        <v/>
      </c>
    </row>
    <row r="242" spans="1:20" ht="14.2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6"/>
      <c r="J242" s="16"/>
      <c r="K242" s="16"/>
      <c r="L242" s="16"/>
      <c r="M242" s="16"/>
      <c r="N242" s="15"/>
      <c r="O242" s="15"/>
      <c r="P242" s="17"/>
      <c r="Q242" s="17"/>
      <c r="R242" s="16" t="str">
        <f>IF($P242&gt;0,CHOOSE(MATCH($B$4,'Служебный лист'!$A$4:$A$8,0),I242,J242,K242,L242,M242),"")</f>
        <v/>
      </c>
      <c r="S242" s="16">
        <f t="shared" si="3"/>
        <v>0</v>
      </c>
      <c r="T242" s="15" t="str">
        <f>IF($P242&gt;0,COUNTIF($P$11:P242,"&gt;0"),"")</f>
        <v/>
      </c>
    </row>
    <row r="243" spans="1:20" ht="14.2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6"/>
      <c r="J243" s="16"/>
      <c r="K243" s="16"/>
      <c r="L243" s="16"/>
      <c r="M243" s="16"/>
      <c r="N243" s="15"/>
      <c r="O243" s="15"/>
      <c r="P243" s="17"/>
      <c r="Q243" s="17"/>
      <c r="R243" s="16" t="str">
        <f>IF($P243&gt;0,CHOOSE(MATCH($B$4,'Служебный лист'!$A$4:$A$8,0),I243,J243,K243,L243,M243),"")</f>
        <v/>
      </c>
      <c r="S243" s="16">
        <f t="shared" si="3"/>
        <v>0</v>
      </c>
      <c r="T243" s="15" t="str">
        <f>IF($P243&gt;0,COUNTIF($P$11:P243,"&gt;0"),"")</f>
        <v/>
      </c>
    </row>
    <row r="244" spans="1:20" ht="14.2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6"/>
      <c r="J244" s="16"/>
      <c r="K244" s="16"/>
      <c r="L244" s="16"/>
      <c r="M244" s="16"/>
      <c r="N244" s="15"/>
      <c r="O244" s="15"/>
      <c r="P244" s="17"/>
      <c r="Q244" s="17"/>
      <c r="R244" s="16" t="str">
        <f>IF($P244&gt;0,CHOOSE(MATCH($B$4,'Служебный лист'!$A$4:$A$8,0),I244,J244,K244,L244,M244),"")</f>
        <v/>
      </c>
      <c r="S244" s="16">
        <f t="shared" si="3"/>
        <v>0</v>
      </c>
      <c r="T244" s="15" t="str">
        <f>IF($P244&gt;0,COUNTIF($P$11:P244,"&gt;0"),"")</f>
        <v/>
      </c>
    </row>
    <row r="245" spans="1:20" ht="14.2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6"/>
      <c r="J245" s="16"/>
      <c r="K245" s="16"/>
      <c r="L245" s="16"/>
      <c r="M245" s="16"/>
      <c r="N245" s="15"/>
      <c r="O245" s="15"/>
      <c r="P245" s="17"/>
      <c r="Q245" s="17"/>
      <c r="R245" s="16" t="str">
        <f>IF($P245&gt;0,CHOOSE(MATCH($B$4,'Служебный лист'!$A$4:$A$8,0),I245,J245,K245,L245,M245),"")</f>
        <v/>
      </c>
      <c r="S245" s="16">
        <f t="shared" si="3"/>
        <v>0</v>
      </c>
      <c r="T245" s="15" t="str">
        <f>IF($P245&gt;0,COUNTIF($P$11:P245,"&gt;0"),"")</f>
        <v/>
      </c>
    </row>
    <row r="246" spans="1:20" ht="14.2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6"/>
      <c r="J246" s="16"/>
      <c r="K246" s="16"/>
      <c r="L246" s="16"/>
      <c r="M246" s="16"/>
      <c r="N246" s="15"/>
      <c r="O246" s="15"/>
      <c r="P246" s="17"/>
      <c r="Q246" s="17"/>
      <c r="R246" s="16" t="str">
        <f>IF($P246&gt;0,CHOOSE(MATCH($B$4,'Служебный лист'!$A$4:$A$8,0),I246,J246,K246,L246,M246),"")</f>
        <v/>
      </c>
      <c r="S246" s="16">
        <f t="shared" si="3"/>
        <v>0</v>
      </c>
      <c r="T246" s="15" t="str">
        <f>IF($P246&gt;0,COUNTIF($P$11:P246,"&gt;0"),"")</f>
        <v/>
      </c>
    </row>
    <row r="247" spans="1:20" ht="14.2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6"/>
      <c r="J247" s="16"/>
      <c r="K247" s="16"/>
      <c r="L247" s="16"/>
      <c r="M247" s="16"/>
      <c r="N247" s="15"/>
      <c r="O247" s="15"/>
      <c r="P247" s="17"/>
      <c r="Q247" s="17"/>
      <c r="R247" s="16" t="str">
        <f>IF($P247&gt;0,CHOOSE(MATCH($B$4,'Служебный лист'!$A$4:$A$8,0),I247,J247,K247,L247,M247),"")</f>
        <v/>
      </c>
      <c r="S247" s="16">
        <f t="shared" si="3"/>
        <v>0</v>
      </c>
      <c r="T247" s="15" t="str">
        <f>IF($P247&gt;0,COUNTIF($P$11:P247,"&gt;0"),"")</f>
        <v/>
      </c>
    </row>
    <row r="248" spans="1:20" ht="14.2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6"/>
      <c r="J248" s="16"/>
      <c r="K248" s="16"/>
      <c r="L248" s="16"/>
      <c r="M248" s="16"/>
      <c r="N248" s="15"/>
      <c r="O248" s="15"/>
      <c r="P248" s="17"/>
      <c r="Q248" s="17"/>
      <c r="R248" s="16" t="str">
        <f>IF($P248&gt;0,CHOOSE(MATCH($B$4,'Служебный лист'!$A$4:$A$8,0),I248,J248,K248,L248,M248),"")</f>
        <v/>
      </c>
      <c r="S248" s="16">
        <f t="shared" si="3"/>
        <v>0</v>
      </c>
      <c r="T248" s="15" t="str">
        <f>IF($P248&gt;0,COUNTIF($P$11:P248,"&gt;0"),"")</f>
        <v/>
      </c>
    </row>
    <row r="249" spans="1:20" ht="14.2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6"/>
      <c r="J249" s="16"/>
      <c r="K249" s="16"/>
      <c r="L249" s="16"/>
      <c r="M249" s="16"/>
      <c r="N249" s="15"/>
      <c r="O249" s="15"/>
      <c r="P249" s="17"/>
      <c r="Q249" s="17"/>
      <c r="R249" s="16" t="str">
        <f>IF($P249&gt;0,CHOOSE(MATCH($B$4,'Служебный лист'!$A$4:$A$8,0),I249,J249,K249,L249,M249),"")</f>
        <v/>
      </c>
      <c r="S249" s="16">
        <f t="shared" si="3"/>
        <v>0</v>
      </c>
      <c r="T249" s="15" t="str">
        <f>IF($P249&gt;0,COUNTIF($P$11:P249,"&gt;0"),"")</f>
        <v/>
      </c>
    </row>
    <row r="250" spans="1:20" ht="14.2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6"/>
      <c r="J250" s="16"/>
      <c r="K250" s="16"/>
      <c r="L250" s="16"/>
      <c r="M250" s="16"/>
      <c r="N250" s="15"/>
      <c r="O250" s="15"/>
      <c r="P250" s="17"/>
      <c r="Q250" s="17"/>
      <c r="R250" s="16" t="str">
        <f>IF($P250&gt;0,CHOOSE(MATCH($B$4,'Служебный лист'!$A$4:$A$8,0),I250,J250,K250,L250,M250),"")</f>
        <v/>
      </c>
      <c r="S250" s="16">
        <f t="shared" si="3"/>
        <v>0</v>
      </c>
      <c r="T250" s="15" t="str">
        <f>IF($P250&gt;0,COUNTIF($P$11:P250,"&gt;0"),"")</f>
        <v/>
      </c>
    </row>
    <row r="251" spans="1:20" ht="14.2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6"/>
      <c r="J251" s="16"/>
      <c r="K251" s="16"/>
      <c r="L251" s="16"/>
      <c r="M251" s="16"/>
      <c r="N251" s="15"/>
      <c r="O251" s="15"/>
      <c r="P251" s="17"/>
      <c r="Q251" s="17"/>
      <c r="R251" s="16" t="str">
        <f>IF($P251&gt;0,CHOOSE(MATCH($B$4,'Служебный лист'!$A$4:$A$8,0),I251,J251,K251,L251,M251),"")</f>
        <v/>
      </c>
      <c r="S251" s="16">
        <f t="shared" si="3"/>
        <v>0</v>
      </c>
      <c r="T251" s="15" t="str">
        <f>IF($P251&gt;0,COUNTIF($P$11:P251,"&gt;0"),"")</f>
        <v/>
      </c>
    </row>
    <row r="252" spans="1:20" ht="14.2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6"/>
      <c r="J252" s="16"/>
      <c r="K252" s="16"/>
      <c r="L252" s="16"/>
      <c r="M252" s="16"/>
      <c r="N252" s="15"/>
      <c r="O252" s="15"/>
      <c r="P252" s="17"/>
      <c r="Q252" s="17"/>
      <c r="R252" s="16" t="str">
        <f>IF($P252&gt;0,CHOOSE(MATCH($B$4,'Служебный лист'!$A$4:$A$8,0),I252,J252,K252,L252,M252),"")</f>
        <v/>
      </c>
      <c r="S252" s="16">
        <f t="shared" si="3"/>
        <v>0</v>
      </c>
      <c r="T252" s="15" t="str">
        <f>IF($P252&gt;0,COUNTIF($P$11:P252,"&gt;0"),"")</f>
        <v/>
      </c>
    </row>
    <row r="253" spans="1:20" ht="14.2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6"/>
      <c r="J253" s="16"/>
      <c r="K253" s="16"/>
      <c r="L253" s="16"/>
      <c r="M253" s="16"/>
      <c r="N253" s="15"/>
      <c r="O253" s="15"/>
      <c r="P253" s="17"/>
      <c r="Q253" s="17"/>
      <c r="R253" s="16" t="str">
        <f>IF($P253&gt;0,CHOOSE(MATCH($B$4,'Служебный лист'!$A$4:$A$8,0),I253,J253,K253,L253,M253),"")</f>
        <v/>
      </c>
      <c r="S253" s="16">
        <f t="shared" si="3"/>
        <v>0</v>
      </c>
      <c r="T253" s="15" t="str">
        <f>IF($P253&gt;0,COUNTIF($P$11:P253,"&gt;0"),"")</f>
        <v/>
      </c>
    </row>
    <row r="254" spans="1:20" ht="14.2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6"/>
      <c r="J254" s="16"/>
      <c r="K254" s="16"/>
      <c r="L254" s="16"/>
      <c r="M254" s="16"/>
      <c r="N254" s="15"/>
      <c r="O254" s="15"/>
      <c r="P254" s="17"/>
      <c r="Q254" s="17"/>
      <c r="R254" s="16" t="str">
        <f>IF($P254&gt;0,CHOOSE(MATCH($B$4,'Служебный лист'!$A$4:$A$8,0),I254,J254,K254,L254,M254),"")</f>
        <v/>
      </c>
      <c r="S254" s="16">
        <f t="shared" si="3"/>
        <v>0</v>
      </c>
      <c r="T254" s="15" t="str">
        <f>IF($P254&gt;0,COUNTIF($P$11:P254,"&gt;0"),"")</f>
        <v/>
      </c>
    </row>
    <row r="255" spans="1:20" ht="14.2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6"/>
      <c r="J255" s="16"/>
      <c r="K255" s="16"/>
      <c r="L255" s="16"/>
      <c r="M255" s="16"/>
      <c r="N255" s="15"/>
      <c r="O255" s="15"/>
      <c r="P255" s="17"/>
      <c r="Q255" s="17"/>
      <c r="R255" s="16" t="str">
        <f>IF($P255&gt;0,CHOOSE(MATCH($B$4,'Служебный лист'!$A$4:$A$8,0),I255,J255,K255,L255,M255),"")</f>
        <v/>
      </c>
      <c r="S255" s="16">
        <f t="shared" si="3"/>
        <v>0</v>
      </c>
      <c r="T255" s="15" t="str">
        <f>IF($P255&gt;0,COUNTIF($P$11:P255,"&gt;0"),"")</f>
        <v/>
      </c>
    </row>
    <row r="256" spans="1:20" ht="14.2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6"/>
      <c r="J256" s="16"/>
      <c r="K256" s="16"/>
      <c r="L256" s="16"/>
      <c r="M256" s="16"/>
      <c r="N256" s="15"/>
      <c r="O256" s="15"/>
      <c r="P256" s="17"/>
      <c r="Q256" s="17"/>
      <c r="R256" s="16" t="str">
        <f>IF($P256&gt;0,CHOOSE(MATCH($B$4,'Служебный лист'!$A$4:$A$8,0),I256,J256,K256,L256,M256),"")</f>
        <v/>
      </c>
      <c r="S256" s="16">
        <f t="shared" si="3"/>
        <v>0</v>
      </c>
      <c r="T256" s="15" t="str">
        <f>IF($P256&gt;0,COUNTIF($P$11:P256,"&gt;0"),"")</f>
        <v/>
      </c>
    </row>
    <row r="257" spans="1:20" ht="14.2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6"/>
      <c r="J257" s="16"/>
      <c r="K257" s="16"/>
      <c r="L257" s="16"/>
      <c r="M257" s="16"/>
      <c r="N257" s="15"/>
      <c r="O257" s="15"/>
      <c r="P257" s="17"/>
      <c r="Q257" s="17"/>
      <c r="R257" s="16" t="str">
        <f>IF($P257&gt;0,CHOOSE(MATCH($B$4,'Служебный лист'!$A$4:$A$8,0),I257,J257,K257,L257,M257),"")</f>
        <v/>
      </c>
      <c r="S257" s="16">
        <f t="shared" si="3"/>
        <v>0</v>
      </c>
      <c r="T257" s="15" t="str">
        <f>IF($P257&gt;0,COUNTIF($P$11:P257,"&gt;0"),"")</f>
        <v/>
      </c>
    </row>
    <row r="258" spans="1:20" ht="14.2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6"/>
      <c r="J258" s="16"/>
      <c r="K258" s="16"/>
      <c r="L258" s="16"/>
      <c r="M258" s="16"/>
      <c r="N258" s="15"/>
      <c r="O258" s="15"/>
      <c r="P258" s="17"/>
      <c r="Q258" s="17"/>
      <c r="R258" s="16" t="str">
        <f>IF($P258&gt;0,CHOOSE(MATCH($B$4,'Служебный лист'!$A$4:$A$8,0),I258,J258,K258,L258,M258),"")</f>
        <v/>
      </c>
      <c r="S258" s="16">
        <f t="shared" si="3"/>
        <v>0</v>
      </c>
      <c r="T258" s="15" t="str">
        <f>IF($P258&gt;0,COUNTIF($P$11:P258,"&gt;0"),"")</f>
        <v/>
      </c>
    </row>
    <row r="259" spans="1:20" ht="14.2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6"/>
      <c r="J259" s="16"/>
      <c r="K259" s="16"/>
      <c r="L259" s="16"/>
      <c r="M259" s="16"/>
      <c r="N259" s="15"/>
      <c r="O259" s="15"/>
      <c r="P259" s="17"/>
      <c r="Q259" s="17"/>
      <c r="R259" s="16" t="str">
        <f>IF($P259&gt;0,CHOOSE(MATCH($B$4,'Служебный лист'!$A$4:$A$8,0),I259,J259,K259,L259,M259),"")</f>
        <v/>
      </c>
      <c r="S259" s="16">
        <f t="shared" si="3"/>
        <v>0</v>
      </c>
      <c r="T259" s="15" t="str">
        <f>IF($P259&gt;0,COUNTIF($P$11:P259,"&gt;0"),"")</f>
        <v/>
      </c>
    </row>
    <row r="260" spans="1:20" ht="14.2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6"/>
      <c r="J260" s="16"/>
      <c r="K260" s="16"/>
      <c r="L260" s="16"/>
      <c r="M260" s="16"/>
      <c r="N260" s="15"/>
      <c r="O260" s="15"/>
      <c r="P260" s="17"/>
      <c r="Q260" s="17"/>
      <c r="R260" s="16" t="str">
        <f>IF($P260&gt;0,CHOOSE(MATCH($B$4,'Служебный лист'!$A$4:$A$8,0),I260,J260,K260,L260,M260),"")</f>
        <v/>
      </c>
      <c r="S260" s="16">
        <f t="shared" si="3"/>
        <v>0</v>
      </c>
      <c r="T260" s="15" t="str">
        <f>IF($P260&gt;0,COUNTIF($P$11:P260,"&gt;0"),"")</f>
        <v/>
      </c>
    </row>
    <row r="261" spans="1:20" ht="14.2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6"/>
      <c r="J261" s="16"/>
      <c r="K261" s="16"/>
      <c r="L261" s="16"/>
      <c r="M261" s="16"/>
      <c r="N261" s="15"/>
      <c r="O261" s="15"/>
      <c r="P261" s="17"/>
      <c r="Q261" s="17"/>
      <c r="R261" s="16" t="str">
        <f>IF($P261&gt;0,CHOOSE(MATCH($B$4,'Служебный лист'!$A$4:$A$8,0),I261,J261,K261,L261,M261),"")</f>
        <v/>
      </c>
      <c r="S261" s="16">
        <f t="shared" si="3"/>
        <v>0</v>
      </c>
      <c r="T261" s="15" t="str">
        <f>IF($P261&gt;0,COUNTIF($P$11:P261,"&gt;0"),"")</f>
        <v/>
      </c>
    </row>
    <row r="262" spans="1:20" ht="14.2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6"/>
      <c r="J262" s="16"/>
      <c r="K262" s="16"/>
      <c r="L262" s="16"/>
      <c r="M262" s="16"/>
      <c r="N262" s="15"/>
      <c r="O262" s="15"/>
      <c r="P262" s="17"/>
      <c r="Q262" s="17"/>
      <c r="R262" s="16" t="str">
        <f>IF($P262&gt;0,CHOOSE(MATCH($B$4,'Служебный лист'!$A$4:$A$8,0),I262,J262,K262,L262,M262),"")</f>
        <v/>
      </c>
      <c r="S262" s="16">
        <f t="shared" si="3"/>
        <v>0</v>
      </c>
      <c r="T262" s="15" t="str">
        <f>IF($P262&gt;0,COUNTIF($P$11:P262,"&gt;0"),"")</f>
        <v/>
      </c>
    </row>
    <row r="263" spans="1:20" ht="14.2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6"/>
      <c r="J263" s="16"/>
      <c r="K263" s="16"/>
      <c r="L263" s="16"/>
      <c r="M263" s="16"/>
      <c r="N263" s="15"/>
      <c r="O263" s="15"/>
      <c r="P263" s="17"/>
      <c r="Q263" s="17"/>
      <c r="R263" s="16" t="str">
        <f>IF($P263&gt;0,CHOOSE(MATCH($B$4,'Служебный лист'!$A$4:$A$8,0),I263,J263,K263,L263,M263),"")</f>
        <v/>
      </c>
      <c r="S263" s="16">
        <f t="shared" si="3"/>
        <v>0</v>
      </c>
      <c r="T263" s="15" t="str">
        <f>IF($P263&gt;0,COUNTIF($P$11:P263,"&gt;0"),"")</f>
        <v/>
      </c>
    </row>
    <row r="264" spans="1:20" ht="14.2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6"/>
      <c r="J264" s="16"/>
      <c r="K264" s="16"/>
      <c r="L264" s="16"/>
      <c r="M264" s="16"/>
      <c r="N264" s="15"/>
      <c r="O264" s="15"/>
      <c r="P264" s="17"/>
      <c r="Q264" s="17"/>
      <c r="R264" s="16" t="str">
        <f>IF($P264&gt;0,CHOOSE(MATCH($B$4,'Служебный лист'!$A$4:$A$8,0),I264,J264,K264,L264,M264),"")</f>
        <v/>
      </c>
      <c r="S264" s="16">
        <f t="shared" si="3"/>
        <v>0</v>
      </c>
      <c r="T264" s="15" t="str">
        <f>IF($P264&gt;0,COUNTIF($P$11:P264,"&gt;0"),"")</f>
        <v/>
      </c>
    </row>
    <row r="265" spans="1:20" ht="14.2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6"/>
      <c r="J265" s="16"/>
      <c r="K265" s="16"/>
      <c r="L265" s="16"/>
      <c r="M265" s="16"/>
      <c r="N265" s="15"/>
      <c r="O265" s="15"/>
      <c r="P265" s="17"/>
      <c r="Q265" s="17"/>
      <c r="R265" s="16" t="str">
        <f>IF($P265&gt;0,CHOOSE(MATCH($B$4,'Служебный лист'!$A$4:$A$8,0),I265,J265,K265,L265,M265),"")</f>
        <v/>
      </c>
      <c r="S265" s="16">
        <f t="shared" si="3"/>
        <v>0</v>
      </c>
      <c r="T265" s="15" t="str">
        <f>IF($P265&gt;0,COUNTIF($P$11:P265,"&gt;0"),"")</f>
        <v/>
      </c>
    </row>
    <row r="266" spans="1:20" ht="14.2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6"/>
      <c r="J266" s="16"/>
      <c r="K266" s="16"/>
      <c r="L266" s="16"/>
      <c r="M266" s="16"/>
      <c r="N266" s="15"/>
      <c r="O266" s="15"/>
      <c r="P266" s="17"/>
      <c r="Q266" s="17"/>
      <c r="R266" s="16" t="str">
        <f>IF($P266&gt;0,CHOOSE(MATCH($B$4,'Служебный лист'!$A$4:$A$8,0),I266,J266,K266,L266,M266),"")</f>
        <v/>
      </c>
      <c r="S266" s="16">
        <f t="shared" si="3"/>
        <v>0</v>
      </c>
      <c r="T266" s="15" t="str">
        <f>IF($P266&gt;0,COUNTIF($P$11:P266,"&gt;0"),"")</f>
        <v/>
      </c>
    </row>
    <row r="267" spans="1:20" ht="14.2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6"/>
      <c r="J267" s="16"/>
      <c r="K267" s="16"/>
      <c r="L267" s="16"/>
      <c r="M267" s="16"/>
      <c r="N267" s="15"/>
      <c r="O267" s="15"/>
      <c r="P267" s="17"/>
      <c r="Q267" s="17"/>
      <c r="R267" s="16" t="str">
        <f>IF($P267&gt;0,CHOOSE(MATCH($B$4,'Служебный лист'!$A$4:$A$8,0),I267,J267,K267,L267,M267),"")</f>
        <v/>
      </c>
      <c r="S267" s="16">
        <f t="shared" ref="S267:S310" si="4">IFERROR($P267*$R267,0)</f>
        <v>0</v>
      </c>
      <c r="T267" s="15" t="str">
        <f>IF($P267&gt;0,COUNTIF($P$11:P267,"&gt;0"),"")</f>
        <v/>
      </c>
    </row>
    <row r="268" spans="1:20" ht="14.2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6"/>
      <c r="J268" s="16"/>
      <c r="K268" s="16"/>
      <c r="L268" s="16"/>
      <c r="M268" s="16"/>
      <c r="N268" s="15"/>
      <c r="O268" s="15"/>
      <c r="P268" s="17"/>
      <c r="Q268" s="17"/>
      <c r="R268" s="16" t="str">
        <f>IF($P268&gt;0,CHOOSE(MATCH($B$4,'Служебный лист'!$A$4:$A$8,0),I268,J268,K268,L268,M268),"")</f>
        <v/>
      </c>
      <c r="S268" s="16">
        <f t="shared" si="4"/>
        <v>0</v>
      </c>
      <c r="T268" s="15" t="str">
        <f>IF($P268&gt;0,COUNTIF($P$11:P268,"&gt;0"),"")</f>
        <v/>
      </c>
    </row>
    <row r="269" spans="1:20" ht="14.2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6"/>
      <c r="J269" s="16"/>
      <c r="K269" s="16"/>
      <c r="L269" s="16"/>
      <c r="M269" s="16"/>
      <c r="N269" s="15"/>
      <c r="O269" s="15"/>
      <c r="P269" s="17"/>
      <c r="Q269" s="17"/>
      <c r="R269" s="16" t="str">
        <f>IF($P269&gt;0,CHOOSE(MATCH($B$4,'Служебный лист'!$A$4:$A$8,0),I269,J269,K269,L269,M269),"")</f>
        <v/>
      </c>
      <c r="S269" s="16">
        <f t="shared" si="4"/>
        <v>0</v>
      </c>
      <c r="T269" s="15" t="str">
        <f>IF($P269&gt;0,COUNTIF($P$11:P269,"&gt;0"),"")</f>
        <v/>
      </c>
    </row>
    <row r="270" spans="1:20" ht="14.2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6"/>
      <c r="J270" s="16"/>
      <c r="K270" s="16"/>
      <c r="L270" s="16"/>
      <c r="M270" s="16"/>
      <c r="N270" s="15"/>
      <c r="O270" s="15"/>
      <c r="P270" s="17"/>
      <c r="Q270" s="17"/>
      <c r="R270" s="16" t="str">
        <f>IF($P270&gt;0,CHOOSE(MATCH($B$4,'Служебный лист'!$A$4:$A$8,0),I270,J270,K270,L270,M270),"")</f>
        <v/>
      </c>
      <c r="S270" s="16">
        <f t="shared" si="4"/>
        <v>0</v>
      </c>
      <c r="T270" s="15" t="str">
        <f>IF($P270&gt;0,COUNTIF($P$11:P270,"&gt;0"),"")</f>
        <v/>
      </c>
    </row>
    <row r="271" spans="1:20" ht="14.2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6"/>
      <c r="J271" s="16"/>
      <c r="K271" s="16"/>
      <c r="L271" s="16"/>
      <c r="M271" s="16"/>
      <c r="N271" s="15"/>
      <c r="O271" s="15"/>
      <c r="P271" s="17"/>
      <c r="Q271" s="17"/>
      <c r="R271" s="16" t="str">
        <f>IF($P271&gt;0,CHOOSE(MATCH($B$4,'Служебный лист'!$A$4:$A$8,0),I271,J271,K271,L271,M271),"")</f>
        <v/>
      </c>
      <c r="S271" s="16">
        <f t="shared" si="4"/>
        <v>0</v>
      </c>
      <c r="T271" s="15" t="str">
        <f>IF($P271&gt;0,COUNTIF($P$11:P271,"&gt;0"),"")</f>
        <v/>
      </c>
    </row>
    <row r="272" spans="1:20" ht="14.2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6"/>
      <c r="J272" s="16"/>
      <c r="K272" s="16"/>
      <c r="L272" s="16"/>
      <c r="M272" s="16"/>
      <c r="N272" s="15"/>
      <c r="O272" s="15"/>
      <c r="P272" s="17"/>
      <c r="Q272" s="17"/>
      <c r="R272" s="16" t="str">
        <f>IF($P272&gt;0,CHOOSE(MATCH($B$4,'Служебный лист'!$A$4:$A$8,0),I272,J272,K272,L272,M272),"")</f>
        <v/>
      </c>
      <c r="S272" s="16">
        <f t="shared" si="4"/>
        <v>0</v>
      </c>
      <c r="T272" s="15" t="str">
        <f>IF($P272&gt;0,COUNTIF($P$11:P272,"&gt;0"),"")</f>
        <v/>
      </c>
    </row>
    <row r="273" spans="1:20" ht="14.2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6"/>
      <c r="J273" s="16"/>
      <c r="K273" s="16"/>
      <c r="L273" s="16"/>
      <c r="M273" s="16"/>
      <c r="N273" s="15"/>
      <c r="O273" s="15"/>
      <c r="P273" s="17"/>
      <c r="Q273" s="17"/>
      <c r="R273" s="16" t="str">
        <f>IF($P273&gt;0,CHOOSE(MATCH($B$4,'Служебный лист'!$A$4:$A$8,0),I273,J273,K273,L273,M273),"")</f>
        <v/>
      </c>
      <c r="S273" s="16">
        <f t="shared" si="4"/>
        <v>0</v>
      </c>
      <c r="T273" s="15" t="str">
        <f>IF($P273&gt;0,COUNTIF($P$11:P273,"&gt;0"),"")</f>
        <v/>
      </c>
    </row>
    <row r="274" spans="1:20" ht="14.2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6"/>
      <c r="J274" s="16"/>
      <c r="K274" s="16"/>
      <c r="L274" s="16"/>
      <c r="M274" s="16"/>
      <c r="N274" s="15"/>
      <c r="O274" s="15"/>
      <c r="P274" s="17"/>
      <c r="Q274" s="17"/>
      <c r="R274" s="16" t="str">
        <f>IF($P274&gt;0,CHOOSE(MATCH($B$4,'Служебный лист'!$A$4:$A$8,0),I274,J274,K274,L274,M274),"")</f>
        <v/>
      </c>
      <c r="S274" s="16">
        <f t="shared" si="4"/>
        <v>0</v>
      </c>
      <c r="T274" s="15" t="str">
        <f>IF($P274&gt;0,COUNTIF($P$11:P274,"&gt;0"),"")</f>
        <v/>
      </c>
    </row>
    <row r="275" spans="1:20" ht="14.2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6"/>
      <c r="J275" s="16"/>
      <c r="K275" s="16"/>
      <c r="L275" s="16"/>
      <c r="M275" s="16"/>
      <c r="N275" s="15"/>
      <c r="O275" s="15"/>
      <c r="P275" s="17"/>
      <c r="Q275" s="17"/>
      <c r="R275" s="16" t="str">
        <f>IF($P275&gt;0,CHOOSE(MATCH($B$4,'Служебный лист'!$A$4:$A$8,0),I275,J275,K275,L275,M275),"")</f>
        <v/>
      </c>
      <c r="S275" s="16">
        <f t="shared" si="4"/>
        <v>0</v>
      </c>
      <c r="T275" s="15" t="str">
        <f>IF($P275&gt;0,COUNTIF($P$11:P275,"&gt;0"),"")</f>
        <v/>
      </c>
    </row>
    <row r="276" spans="1:20" ht="14.2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6"/>
      <c r="J276" s="16"/>
      <c r="K276" s="16"/>
      <c r="L276" s="16"/>
      <c r="M276" s="16"/>
      <c r="N276" s="15"/>
      <c r="O276" s="15"/>
      <c r="P276" s="17"/>
      <c r="Q276" s="17"/>
      <c r="R276" s="16" t="str">
        <f>IF($P276&gt;0,CHOOSE(MATCH($B$4,'Служебный лист'!$A$4:$A$8,0),I276,J276,K276,L276,M276),"")</f>
        <v/>
      </c>
      <c r="S276" s="16">
        <f t="shared" si="4"/>
        <v>0</v>
      </c>
      <c r="T276" s="15" t="str">
        <f>IF($P276&gt;0,COUNTIF($P$11:P276,"&gt;0"),"")</f>
        <v/>
      </c>
    </row>
    <row r="277" spans="1:20" ht="14.2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6"/>
      <c r="J277" s="16"/>
      <c r="K277" s="16"/>
      <c r="L277" s="16"/>
      <c r="M277" s="16"/>
      <c r="N277" s="15"/>
      <c r="O277" s="15"/>
      <c r="P277" s="17"/>
      <c r="Q277" s="17"/>
      <c r="R277" s="16" t="str">
        <f>IF($P277&gt;0,CHOOSE(MATCH($B$4,'Служебный лист'!$A$4:$A$8,0),I277,J277,K277,L277,M277),"")</f>
        <v/>
      </c>
      <c r="S277" s="16">
        <f t="shared" si="4"/>
        <v>0</v>
      </c>
      <c r="T277" s="15" t="str">
        <f>IF($P277&gt;0,COUNTIF($P$11:P277,"&gt;0"),"")</f>
        <v/>
      </c>
    </row>
    <row r="278" spans="1:20" ht="14.2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6"/>
      <c r="J278" s="16"/>
      <c r="K278" s="16"/>
      <c r="L278" s="16"/>
      <c r="M278" s="16"/>
      <c r="N278" s="15"/>
      <c r="O278" s="15"/>
      <c r="P278" s="17"/>
      <c r="Q278" s="17"/>
      <c r="R278" s="16" t="str">
        <f>IF($P278&gt;0,CHOOSE(MATCH($B$4,'Служебный лист'!$A$4:$A$8,0),I278,J278,K278,L278,M278),"")</f>
        <v/>
      </c>
      <c r="S278" s="16">
        <f t="shared" si="4"/>
        <v>0</v>
      </c>
      <c r="T278" s="15" t="str">
        <f>IF($P278&gt;0,COUNTIF($P$11:P278,"&gt;0"),"")</f>
        <v/>
      </c>
    </row>
    <row r="279" spans="1:20" ht="14.2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6"/>
      <c r="J279" s="16"/>
      <c r="K279" s="16"/>
      <c r="L279" s="16"/>
      <c r="M279" s="16"/>
      <c r="N279" s="15"/>
      <c r="O279" s="15"/>
      <c r="P279" s="17"/>
      <c r="Q279" s="17"/>
      <c r="R279" s="16" t="str">
        <f>IF($P279&gt;0,CHOOSE(MATCH($B$4,'Служебный лист'!$A$4:$A$8,0),I279,J279,K279,L279,M279),"")</f>
        <v/>
      </c>
      <c r="S279" s="16">
        <f t="shared" si="4"/>
        <v>0</v>
      </c>
      <c r="T279" s="15" t="str">
        <f>IF($P279&gt;0,COUNTIF($P$11:P279,"&gt;0"),"")</f>
        <v/>
      </c>
    </row>
    <row r="280" spans="1:20" ht="14.2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6"/>
      <c r="J280" s="16"/>
      <c r="K280" s="16"/>
      <c r="L280" s="16"/>
      <c r="M280" s="16"/>
      <c r="N280" s="15"/>
      <c r="O280" s="15"/>
      <c r="P280" s="17"/>
      <c r="Q280" s="17"/>
      <c r="R280" s="16" t="str">
        <f>IF($P280&gt;0,CHOOSE(MATCH($B$4,'Служебный лист'!$A$4:$A$8,0),I280,J280,K280,L280,M280),"")</f>
        <v/>
      </c>
      <c r="S280" s="16">
        <f t="shared" si="4"/>
        <v>0</v>
      </c>
      <c r="T280" s="15" t="str">
        <f>IF($P280&gt;0,COUNTIF($P$11:P280,"&gt;0"),"")</f>
        <v/>
      </c>
    </row>
    <row r="281" spans="1:20" ht="14.2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6"/>
      <c r="J281" s="16"/>
      <c r="K281" s="16"/>
      <c r="L281" s="16"/>
      <c r="M281" s="16"/>
      <c r="N281" s="15"/>
      <c r="O281" s="15"/>
      <c r="P281" s="17"/>
      <c r="Q281" s="17"/>
      <c r="R281" s="16" t="str">
        <f>IF($P281&gt;0,CHOOSE(MATCH($B$4,'Служебный лист'!$A$4:$A$8,0),I281,J281,K281,L281,M281),"")</f>
        <v/>
      </c>
      <c r="S281" s="16">
        <f t="shared" si="4"/>
        <v>0</v>
      </c>
      <c r="T281" s="15" t="str">
        <f>IF($P281&gt;0,COUNTIF($P$11:P281,"&gt;0"),"")</f>
        <v/>
      </c>
    </row>
    <row r="282" spans="1:20" ht="14.2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6"/>
      <c r="J282" s="16"/>
      <c r="K282" s="16"/>
      <c r="L282" s="16"/>
      <c r="M282" s="16"/>
      <c r="N282" s="15"/>
      <c r="O282" s="15"/>
      <c r="P282" s="17"/>
      <c r="Q282" s="17"/>
      <c r="R282" s="16" t="str">
        <f>IF($P282&gt;0,CHOOSE(MATCH($B$4,'Служебный лист'!$A$4:$A$8,0),I282,J282,K282,L282,M282),"")</f>
        <v/>
      </c>
      <c r="S282" s="16">
        <f t="shared" si="4"/>
        <v>0</v>
      </c>
      <c r="T282" s="15" t="str">
        <f>IF($P282&gt;0,COUNTIF($P$11:P282,"&gt;0"),"")</f>
        <v/>
      </c>
    </row>
    <row r="283" spans="1:20" ht="14.2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6"/>
      <c r="J283" s="16"/>
      <c r="K283" s="16"/>
      <c r="L283" s="16"/>
      <c r="M283" s="16"/>
      <c r="N283" s="15"/>
      <c r="O283" s="15"/>
      <c r="P283" s="17"/>
      <c r="Q283" s="17"/>
      <c r="R283" s="16" t="str">
        <f>IF($P283&gt;0,CHOOSE(MATCH($B$4,'Служебный лист'!$A$4:$A$8,0),I283,J283,K283,L283,M283),"")</f>
        <v/>
      </c>
      <c r="S283" s="16">
        <f t="shared" si="4"/>
        <v>0</v>
      </c>
      <c r="T283" s="15" t="str">
        <f>IF($P283&gt;0,COUNTIF($P$11:P283,"&gt;0"),"")</f>
        <v/>
      </c>
    </row>
    <row r="284" spans="1:20" ht="14.2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6"/>
      <c r="J284" s="16"/>
      <c r="K284" s="16"/>
      <c r="L284" s="16"/>
      <c r="M284" s="16"/>
      <c r="N284" s="15"/>
      <c r="O284" s="15"/>
      <c r="P284" s="17"/>
      <c r="Q284" s="17"/>
      <c r="R284" s="16" t="str">
        <f>IF($P284&gt;0,CHOOSE(MATCH($B$4,'Служебный лист'!$A$4:$A$8,0),I284,J284,K284,L284,M284),"")</f>
        <v/>
      </c>
      <c r="S284" s="16">
        <f t="shared" si="4"/>
        <v>0</v>
      </c>
      <c r="T284" s="15" t="str">
        <f>IF($P284&gt;0,COUNTIF($P$11:P284,"&gt;0"),"")</f>
        <v/>
      </c>
    </row>
    <row r="285" spans="1:20" ht="14.2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6"/>
      <c r="J285" s="16"/>
      <c r="K285" s="16"/>
      <c r="L285" s="16"/>
      <c r="M285" s="16"/>
      <c r="N285" s="15"/>
      <c r="O285" s="15"/>
      <c r="P285" s="17"/>
      <c r="Q285" s="17"/>
      <c r="R285" s="16" t="str">
        <f>IF($P285&gt;0,CHOOSE(MATCH($B$4,'Служебный лист'!$A$4:$A$8,0),I285,J285,K285,L285,M285),"")</f>
        <v/>
      </c>
      <c r="S285" s="16">
        <f t="shared" si="4"/>
        <v>0</v>
      </c>
      <c r="T285" s="15" t="str">
        <f>IF($P285&gt;0,COUNTIF($P$11:P285,"&gt;0"),"")</f>
        <v/>
      </c>
    </row>
    <row r="286" spans="1:20" ht="14.2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6"/>
      <c r="J286" s="16"/>
      <c r="K286" s="16"/>
      <c r="L286" s="16"/>
      <c r="M286" s="16"/>
      <c r="N286" s="15"/>
      <c r="O286" s="15"/>
      <c r="P286" s="17"/>
      <c r="Q286" s="17"/>
      <c r="R286" s="16" t="str">
        <f>IF($P286&gt;0,CHOOSE(MATCH($B$4,'Служебный лист'!$A$4:$A$8,0),I286,J286,K286,L286,M286),"")</f>
        <v/>
      </c>
      <c r="S286" s="16">
        <f t="shared" si="4"/>
        <v>0</v>
      </c>
      <c r="T286" s="15" t="str">
        <f>IF($P286&gt;0,COUNTIF($P$11:P286,"&gt;0"),"")</f>
        <v/>
      </c>
    </row>
    <row r="287" spans="1:20" ht="14.2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6"/>
      <c r="J287" s="16"/>
      <c r="K287" s="16"/>
      <c r="L287" s="16"/>
      <c r="M287" s="16"/>
      <c r="N287" s="15"/>
      <c r="O287" s="15"/>
      <c r="P287" s="17"/>
      <c r="Q287" s="17"/>
      <c r="R287" s="16" t="str">
        <f>IF($P287&gt;0,CHOOSE(MATCH($B$4,'Служебный лист'!$A$4:$A$8,0),I287,J287,K287,L287,M287),"")</f>
        <v/>
      </c>
      <c r="S287" s="16">
        <f t="shared" si="4"/>
        <v>0</v>
      </c>
      <c r="T287" s="15" t="str">
        <f>IF($P287&gt;0,COUNTIF($P$11:P287,"&gt;0"),"")</f>
        <v/>
      </c>
    </row>
    <row r="288" spans="1:20" ht="14.2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6"/>
      <c r="J288" s="16"/>
      <c r="K288" s="16"/>
      <c r="L288" s="16"/>
      <c r="M288" s="16"/>
      <c r="N288" s="15"/>
      <c r="O288" s="15"/>
      <c r="P288" s="17"/>
      <c r="Q288" s="17"/>
      <c r="R288" s="16" t="str">
        <f>IF($P288&gt;0,CHOOSE(MATCH($B$4,'Служебный лист'!$A$4:$A$8,0),I288,J288,K288,L288,M288),"")</f>
        <v/>
      </c>
      <c r="S288" s="16">
        <f t="shared" si="4"/>
        <v>0</v>
      </c>
      <c r="T288" s="15" t="str">
        <f>IF($P288&gt;0,COUNTIF($P$11:P288,"&gt;0"),"")</f>
        <v/>
      </c>
    </row>
    <row r="289" spans="1:20" ht="14.2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6"/>
      <c r="J289" s="16"/>
      <c r="K289" s="16"/>
      <c r="L289" s="16"/>
      <c r="M289" s="16"/>
      <c r="N289" s="15"/>
      <c r="O289" s="15"/>
      <c r="P289" s="17"/>
      <c r="Q289" s="17"/>
      <c r="R289" s="16" t="str">
        <f>IF($P289&gt;0,CHOOSE(MATCH($B$4,'Служебный лист'!$A$4:$A$8,0),I289,J289,K289,L289,M289),"")</f>
        <v/>
      </c>
      <c r="S289" s="16">
        <f t="shared" si="4"/>
        <v>0</v>
      </c>
      <c r="T289" s="15" t="str">
        <f>IF($P289&gt;0,COUNTIF($P$11:P289,"&gt;0"),"")</f>
        <v/>
      </c>
    </row>
    <row r="290" spans="1:20" ht="14.2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6"/>
      <c r="J290" s="16"/>
      <c r="K290" s="16"/>
      <c r="L290" s="16"/>
      <c r="M290" s="16"/>
      <c r="N290" s="15"/>
      <c r="O290" s="15"/>
      <c r="P290" s="17"/>
      <c r="Q290" s="17"/>
      <c r="R290" s="16" t="str">
        <f>IF($P290&gt;0,CHOOSE(MATCH($B$4,'Служебный лист'!$A$4:$A$8,0),I290,J290,K290,L290,M290),"")</f>
        <v/>
      </c>
      <c r="S290" s="16">
        <f t="shared" si="4"/>
        <v>0</v>
      </c>
      <c r="T290" s="15" t="str">
        <f>IF($P290&gt;0,COUNTIF($P$11:P290,"&gt;0"),"")</f>
        <v/>
      </c>
    </row>
    <row r="291" spans="1:20" ht="14.2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6"/>
      <c r="J291" s="16"/>
      <c r="K291" s="16"/>
      <c r="L291" s="16"/>
      <c r="M291" s="16"/>
      <c r="N291" s="15"/>
      <c r="O291" s="15"/>
      <c r="P291" s="17"/>
      <c r="Q291" s="17"/>
      <c r="R291" s="16" t="str">
        <f>IF($P291&gt;0,CHOOSE(MATCH($B$4,'Служебный лист'!$A$4:$A$8,0),I291,J291,K291,L291,M291),"")</f>
        <v/>
      </c>
      <c r="S291" s="16">
        <f t="shared" si="4"/>
        <v>0</v>
      </c>
      <c r="T291" s="15" t="str">
        <f>IF($P291&gt;0,COUNTIF($P$11:P291,"&gt;0"),"")</f>
        <v/>
      </c>
    </row>
    <row r="292" spans="1:20" ht="14.2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6"/>
      <c r="J292" s="16"/>
      <c r="K292" s="16"/>
      <c r="L292" s="16"/>
      <c r="M292" s="16"/>
      <c r="N292" s="15"/>
      <c r="O292" s="15"/>
      <c r="P292" s="17"/>
      <c r="Q292" s="17"/>
      <c r="R292" s="16" t="str">
        <f>IF($P292&gt;0,CHOOSE(MATCH($B$4,'Служебный лист'!$A$4:$A$8,0),I292,J292,K292,L292,M292),"")</f>
        <v/>
      </c>
      <c r="S292" s="16">
        <f t="shared" si="4"/>
        <v>0</v>
      </c>
      <c r="T292" s="15" t="str">
        <f>IF($P292&gt;0,COUNTIF($P$11:P292,"&gt;0"),"")</f>
        <v/>
      </c>
    </row>
    <row r="293" spans="1:20" ht="14.2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6"/>
      <c r="J293" s="16"/>
      <c r="K293" s="16"/>
      <c r="L293" s="16"/>
      <c r="M293" s="16"/>
      <c r="N293" s="15"/>
      <c r="O293" s="15"/>
      <c r="P293" s="17"/>
      <c r="Q293" s="17"/>
      <c r="R293" s="16" t="str">
        <f>IF($P293&gt;0,CHOOSE(MATCH($B$4,'Служебный лист'!$A$4:$A$8,0),I293,J293,K293,L293,M293),"")</f>
        <v/>
      </c>
      <c r="S293" s="16">
        <f t="shared" si="4"/>
        <v>0</v>
      </c>
      <c r="T293" s="15" t="str">
        <f>IF($P293&gt;0,COUNTIF($P$11:P293,"&gt;0"),"")</f>
        <v/>
      </c>
    </row>
    <row r="294" spans="1:20" ht="14.2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6"/>
      <c r="J294" s="16"/>
      <c r="K294" s="16"/>
      <c r="L294" s="16"/>
      <c r="M294" s="16"/>
      <c r="N294" s="15"/>
      <c r="O294" s="15"/>
      <c r="P294" s="17"/>
      <c r="Q294" s="17"/>
      <c r="R294" s="16" t="str">
        <f>IF($P294&gt;0,CHOOSE(MATCH($B$4,'Служебный лист'!$A$4:$A$8,0),I294,J294,K294,L294,M294),"")</f>
        <v/>
      </c>
      <c r="S294" s="16">
        <f t="shared" si="4"/>
        <v>0</v>
      </c>
      <c r="T294" s="15" t="str">
        <f>IF($P294&gt;0,COUNTIF($P$11:P294,"&gt;0"),"")</f>
        <v/>
      </c>
    </row>
    <row r="295" spans="1:20" ht="14.2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6"/>
      <c r="J295" s="16"/>
      <c r="K295" s="16"/>
      <c r="L295" s="16"/>
      <c r="M295" s="16"/>
      <c r="N295" s="15"/>
      <c r="O295" s="15"/>
      <c r="P295" s="17"/>
      <c r="Q295" s="17"/>
      <c r="R295" s="16" t="str">
        <f>IF($P295&gt;0,CHOOSE(MATCH($B$4,'Служебный лист'!$A$4:$A$8,0),I295,J295,K295,L295,M295),"")</f>
        <v/>
      </c>
      <c r="S295" s="16">
        <f t="shared" si="4"/>
        <v>0</v>
      </c>
      <c r="T295" s="15" t="str">
        <f>IF($P295&gt;0,COUNTIF($P$11:P295,"&gt;0"),"")</f>
        <v/>
      </c>
    </row>
    <row r="296" spans="1:20" ht="14.2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6"/>
      <c r="J296" s="16"/>
      <c r="K296" s="16"/>
      <c r="L296" s="16"/>
      <c r="M296" s="16"/>
      <c r="N296" s="15"/>
      <c r="O296" s="15"/>
      <c r="P296" s="17"/>
      <c r="Q296" s="17"/>
      <c r="R296" s="16" t="str">
        <f>IF($P296&gt;0,CHOOSE(MATCH($B$4,'Служебный лист'!$A$4:$A$8,0),I296,J296,K296,L296,M296),"")</f>
        <v/>
      </c>
      <c r="S296" s="16">
        <f t="shared" si="4"/>
        <v>0</v>
      </c>
      <c r="T296" s="15" t="str">
        <f>IF($P296&gt;0,COUNTIF($P$11:P296,"&gt;0"),"")</f>
        <v/>
      </c>
    </row>
    <row r="297" spans="1:20" ht="14.2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6"/>
      <c r="J297" s="16"/>
      <c r="K297" s="16"/>
      <c r="L297" s="16"/>
      <c r="M297" s="16"/>
      <c r="N297" s="15"/>
      <c r="O297" s="15"/>
      <c r="P297" s="17"/>
      <c r="Q297" s="17"/>
      <c r="R297" s="16" t="str">
        <f>IF($P297&gt;0,CHOOSE(MATCH($B$4,'Служебный лист'!$A$4:$A$8,0),I297,J297,K297,L297,M297),"")</f>
        <v/>
      </c>
      <c r="S297" s="16">
        <f t="shared" si="4"/>
        <v>0</v>
      </c>
      <c r="T297" s="15" t="str">
        <f>IF($P297&gt;0,COUNTIF($P$11:P297,"&gt;0"),"")</f>
        <v/>
      </c>
    </row>
    <row r="298" spans="1:20" ht="14.2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6"/>
      <c r="J298" s="16"/>
      <c r="K298" s="16"/>
      <c r="L298" s="16"/>
      <c r="M298" s="16"/>
      <c r="N298" s="15"/>
      <c r="O298" s="15"/>
      <c r="P298" s="17"/>
      <c r="Q298" s="17"/>
      <c r="R298" s="16" t="str">
        <f>IF($P298&gt;0,CHOOSE(MATCH($B$4,'Служебный лист'!$A$4:$A$8,0),I298,J298,K298,L298,M298),"")</f>
        <v/>
      </c>
      <c r="S298" s="16">
        <f t="shared" si="4"/>
        <v>0</v>
      </c>
      <c r="T298" s="15" t="str">
        <f>IF($P298&gt;0,COUNTIF($P$11:P298,"&gt;0"),"")</f>
        <v/>
      </c>
    </row>
    <row r="299" spans="1:20" ht="14.2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6"/>
      <c r="J299" s="16"/>
      <c r="K299" s="16"/>
      <c r="L299" s="16"/>
      <c r="M299" s="16"/>
      <c r="N299" s="15"/>
      <c r="O299" s="15"/>
      <c r="P299" s="17"/>
      <c r="Q299" s="17"/>
      <c r="R299" s="16" t="str">
        <f>IF($P299&gt;0,CHOOSE(MATCH($B$4,'Служебный лист'!$A$4:$A$8,0),I299,J299,K299,L299,M299),"")</f>
        <v/>
      </c>
      <c r="S299" s="16">
        <f t="shared" si="4"/>
        <v>0</v>
      </c>
      <c r="T299" s="15" t="str">
        <f>IF($P299&gt;0,COUNTIF($P$11:P299,"&gt;0"),"")</f>
        <v/>
      </c>
    </row>
    <row r="300" spans="1:20" ht="14.2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6"/>
      <c r="J300" s="16"/>
      <c r="K300" s="16"/>
      <c r="L300" s="16"/>
      <c r="M300" s="16"/>
      <c r="N300" s="15"/>
      <c r="O300" s="15"/>
      <c r="P300" s="17"/>
      <c r="Q300" s="17"/>
      <c r="R300" s="16" t="str">
        <f>IF($P300&gt;0,CHOOSE(MATCH($B$4,'Служебный лист'!$A$4:$A$8,0),I300,J300,K300,L300,M300),"")</f>
        <v/>
      </c>
      <c r="S300" s="16">
        <f t="shared" si="4"/>
        <v>0</v>
      </c>
      <c r="T300" s="15" t="str">
        <f>IF($P300&gt;0,COUNTIF($P$11:P300,"&gt;0"),"")</f>
        <v/>
      </c>
    </row>
    <row r="301" spans="1:20" ht="14.2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6"/>
      <c r="J301" s="16"/>
      <c r="K301" s="16"/>
      <c r="L301" s="16"/>
      <c r="M301" s="16"/>
      <c r="N301" s="15"/>
      <c r="O301" s="15"/>
      <c r="P301" s="17"/>
      <c r="Q301" s="17"/>
      <c r="R301" s="16" t="str">
        <f>IF($P301&gt;0,CHOOSE(MATCH($B$4,'Служебный лист'!$A$4:$A$8,0),I301,J301,K301,L301,M301),"")</f>
        <v/>
      </c>
      <c r="S301" s="16">
        <f t="shared" si="4"/>
        <v>0</v>
      </c>
      <c r="T301" s="15" t="str">
        <f>IF($P301&gt;0,COUNTIF($P$11:P301,"&gt;0"),"")</f>
        <v/>
      </c>
    </row>
    <row r="302" spans="1:20" ht="14.2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6"/>
      <c r="J302" s="16"/>
      <c r="K302" s="16"/>
      <c r="L302" s="16"/>
      <c r="M302" s="16"/>
      <c r="N302" s="15"/>
      <c r="O302" s="15"/>
      <c r="P302" s="17"/>
      <c r="Q302" s="17"/>
      <c r="R302" s="16" t="str">
        <f>IF($P302&gt;0,CHOOSE(MATCH($B$4,'Служебный лист'!$A$4:$A$8,0),I302,J302,K302,L302,M302),"")</f>
        <v/>
      </c>
      <c r="S302" s="16">
        <f t="shared" si="4"/>
        <v>0</v>
      </c>
      <c r="T302" s="15" t="str">
        <f>IF($P302&gt;0,COUNTIF($P$11:P302,"&gt;0"),"")</f>
        <v/>
      </c>
    </row>
    <row r="303" spans="1:20" ht="14.2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6"/>
      <c r="J303" s="16"/>
      <c r="K303" s="16"/>
      <c r="L303" s="16"/>
      <c r="M303" s="16"/>
      <c r="N303" s="15"/>
      <c r="O303" s="15"/>
      <c r="P303" s="17"/>
      <c r="Q303" s="17"/>
      <c r="R303" s="16" t="str">
        <f>IF($P303&gt;0,CHOOSE(MATCH($B$4,'Служебный лист'!$A$4:$A$8,0),I303,J303,K303,L303,M303),"")</f>
        <v/>
      </c>
      <c r="S303" s="16">
        <f t="shared" si="4"/>
        <v>0</v>
      </c>
      <c r="T303" s="15" t="str">
        <f>IF($P303&gt;0,COUNTIF($P$11:P303,"&gt;0"),"")</f>
        <v/>
      </c>
    </row>
    <row r="304" spans="1:20" ht="14.2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6"/>
      <c r="J304" s="16"/>
      <c r="K304" s="16"/>
      <c r="L304" s="16"/>
      <c r="M304" s="16"/>
      <c r="N304" s="15"/>
      <c r="O304" s="15"/>
      <c r="P304" s="17"/>
      <c r="Q304" s="17"/>
      <c r="R304" s="16" t="str">
        <f>IF($P304&gt;0,CHOOSE(MATCH($B$4,'Служебный лист'!$A$4:$A$8,0),I304,J304,K304,L304,M304),"")</f>
        <v/>
      </c>
      <c r="S304" s="16">
        <f t="shared" si="4"/>
        <v>0</v>
      </c>
      <c r="T304" s="15" t="str">
        <f>IF($P304&gt;0,COUNTIF($P$11:P304,"&gt;0"),"")</f>
        <v/>
      </c>
    </row>
    <row r="305" spans="1:20" ht="14.2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6"/>
      <c r="J305" s="16"/>
      <c r="K305" s="16"/>
      <c r="L305" s="16"/>
      <c r="M305" s="16"/>
      <c r="N305" s="15"/>
      <c r="O305" s="15"/>
      <c r="P305" s="17"/>
      <c r="Q305" s="17"/>
      <c r="R305" s="16" t="str">
        <f>IF($P305&gt;0,CHOOSE(MATCH($B$4,'Служебный лист'!$A$4:$A$8,0),I305,J305,K305,L305,M305),"")</f>
        <v/>
      </c>
      <c r="S305" s="16">
        <f t="shared" si="4"/>
        <v>0</v>
      </c>
      <c r="T305" s="15" t="str">
        <f>IF($P305&gt;0,COUNTIF($P$11:P305,"&gt;0"),"")</f>
        <v/>
      </c>
    </row>
    <row r="306" spans="1:20" ht="14.2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6"/>
      <c r="J306" s="16"/>
      <c r="K306" s="16"/>
      <c r="L306" s="16"/>
      <c r="M306" s="16"/>
      <c r="N306" s="15"/>
      <c r="O306" s="15"/>
      <c r="P306" s="17"/>
      <c r="Q306" s="17"/>
      <c r="R306" s="16" t="str">
        <f>IF($P306&gt;0,CHOOSE(MATCH($B$4,'Служебный лист'!$A$4:$A$8,0),I306,J306,K306,L306,M306),"")</f>
        <v/>
      </c>
      <c r="S306" s="16">
        <f t="shared" si="4"/>
        <v>0</v>
      </c>
      <c r="T306" s="15" t="str">
        <f>IF($P306&gt;0,COUNTIF($P$11:P306,"&gt;0"),"")</f>
        <v/>
      </c>
    </row>
    <row r="307" spans="1:20" ht="14.2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6"/>
      <c r="J307" s="16"/>
      <c r="K307" s="16"/>
      <c r="L307" s="16"/>
      <c r="M307" s="16"/>
      <c r="N307" s="15"/>
      <c r="O307" s="15"/>
      <c r="P307" s="17"/>
      <c r="Q307" s="17"/>
      <c r="R307" s="16" t="str">
        <f>IF($P307&gt;0,CHOOSE(MATCH($B$4,'Служебный лист'!$A$4:$A$8,0),I307,J307,K307,L307,M307),"")</f>
        <v/>
      </c>
      <c r="S307" s="16">
        <f t="shared" si="4"/>
        <v>0</v>
      </c>
      <c r="T307" s="15" t="str">
        <f>IF($P307&gt;0,COUNTIF($P$11:P307,"&gt;0"),"")</f>
        <v/>
      </c>
    </row>
    <row r="308" spans="1:20" ht="14.2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6"/>
      <c r="J308" s="16"/>
      <c r="K308" s="16"/>
      <c r="L308" s="16"/>
      <c r="M308" s="16"/>
      <c r="N308" s="15"/>
      <c r="O308" s="15"/>
      <c r="P308" s="17"/>
      <c r="Q308" s="17"/>
      <c r="R308" s="16" t="str">
        <f>IF($P308&gt;0,CHOOSE(MATCH($B$4,'Служебный лист'!$A$4:$A$8,0),I308,J308,K308,L308,M308),"")</f>
        <v/>
      </c>
      <c r="S308" s="16">
        <f t="shared" si="4"/>
        <v>0</v>
      </c>
      <c r="T308" s="15" t="str">
        <f>IF($P308&gt;0,COUNTIF($P$11:P308,"&gt;0"),"")</f>
        <v/>
      </c>
    </row>
    <row r="309" spans="1:20" ht="14.2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6"/>
      <c r="J309" s="16"/>
      <c r="K309" s="16"/>
      <c r="L309" s="16"/>
      <c r="M309" s="16"/>
      <c r="N309" s="15"/>
      <c r="O309" s="15"/>
      <c r="P309" s="17"/>
      <c r="Q309" s="17"/>
      <c r="R309" s="16" t="str">
        <f>IF($P309&gt;0,CHOOSE(MATCH($B$4,'Служебный лист'!$A$4:$A$8,0),I309,J309,K309,L309,M309),"")</f>
        <v/>
      </c>
      <c r="S309" s="16">
        <f t="shared" si="4"/>
        <v>0</v>
      </c>
      <c r="T309" s="15" t="str">
        <f>IF($P309&gt;0,COUNTIF($P$11:P309,"&gt;0"),"")</f>
        <v/>
      </c>
    </row>
    <row r="310" spans="1:20" ht="14.2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6"/>
      <c r="J310" s="16"/>
      <c r="K310" s="16"/>
      <c r="L310" s="16"/>
      <c r="M310" s="16"/>
      <c r="N310" s="15"/>
      <c r="O310" s="15"/>
      <c r="P310" s="17"/>
      <c r="Q310" s="17"/>
      <c r="R310" s="16" t="str">
        <f>IF($P310&gt;0,CHOOSE(MATCH($B$4,'Служебный лист'!$A$4:$A$8,0),I310,J310,K310,L310,M310),"")</f>
        <v/>
      </c>
      <c r="S310" s="16">
        <f t="shared" si="4"/>
        <v>0</v>
      </c>
      <c r="T310" s="15" t="str">
        <f>IF($P310&gt;0,COUNTIF($P$11:P310,"&gt;0"),"")</f>
        <v/>
      </c>
    </row>
  </sheetData>
  <mergeCells count="2">
    <mergeCell ref="A1:U1"/>
    <mergeCell ref="A2:U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8"/>
  <sheetViews>
    <sheetView zoomScale="180" zoomScaleNormal="180" workbookViewId="0">
      <selection activeCell="G13" sqref="G13"/>
    </sheetView>
  </sheetViews>
  <sheetFormatPr baseColWidth="10" defaultColWidth="8.83203125" defaultRowHeight="15" x14ac:dyDescent="0.2"/>
  <cols>
    <col min="1" max="1" width="19.83203125" customWidth="1"/>
    <col min="2" max="2" width="22.33203125" customWidth="1"/>
    <col min="3" max="3" width="14" customWidth="1"/>
    <col min="4" max="4" width="32" customWidth="1"/>
    <col min="5" max="5" width="17.33203125" customWidth="1"/>
    <col min="6" max="6" width="27.6640625" customWidth="1"/>
    <col min="7" max="7" width="15" customWidth="1"/>
    <col min="8" max="8" width="10" customWidth="1"/>
    <col min="9" max="9" width="16" customWidth="1"/>
    <col min="10" max="10" width="28" customWidth="1"/>
  </cols>
  <sheetData>
    <row r="1" spans="1:26" ht="15" customHeight="1" x14ac:dyDescent="0.2">
      <c r="A1" s="9" t="s">
        <v>27</v>
      </c>
      <c r="B1" s="9"/>
      <c r="C1" s="9"/>
      <c r="D1" s="9"/>
      <c r="E1" s="9"/>
      <c r="F1" s="9"/>
      <c r="G1" s="9"/>
      <c r="H1" s="9"/>
      <c r="I1" s="9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" customHeight="1" x14ac:dyDescent="0.2">
      <c r="A2" s="7" t="s">
        <v>28</v>
      </c>
      <c r="B2" s="7"/>
      <c r="C2" s="7"/>
      <c r="D2" s="7"/>
      <c r="E2" s="7"/>
      <c r="F2" s="7"/>
      <c r="G2" s="7"/>
      <c r="H2" s="7"/>
      <c r="I2" s="7"/>
      <c r="J2" s="7"/>
    </row>
    <row r="4" spans="1:26" ht="13.5" customHeight="1" x14ac:dyDescent="0.2">
      <c r="A4" s="11" t="s">
        <v>29</v>
      </c>
      <c r="B4" s="43">
        <v>46152</v>
      </c>
      <c r="F4" s="18" t="s">
        <v>30</v>
      </c>
      <c r="G4" s="18"/>
      <c r="H4" s="18"/>
      <c r="I4" s="18"/>
      <c r="J4" s="18"/>
    </row>
    <row r="5" spans="1:26" ht="13.5" customHeight="1" x14ac:dyDescent="0.2">
      <c r="A5" s="11" t="s">
        <v>31</v>
      </c>
      <c r="B5" s="12"/>
      <c r="C5" s="11" t="s">
        <v>32</v>
      </c>
      <c r="D5" s="12"/>
      <c r="F5" s="11" t="s">
        <v>25</v>
      </c>
      <c r="G5" s="19">
        <f>SUM(I16:I315)</f>
        <v>0</v>
      </c>
      <c r="H5" s="20"/>
      <c r="I5" s="20"/>
      <c r="J5" s="20"/>
    </row>
    <row r="6" spans="1:26" ht="13.5" customHeight="1" x14ac:dyDescent="0.2">
      <c r="A6" s="11" t="s">
        <v>33</v>
      </c>
      <c r="B6" s="12"/>
      <c r="C6" s="11" t="s">
        <v>34</v>
      </c>
      <c r="D6" s="12"/>
      <c r="F6" s="11" t="s">
        <v>35</v>
      </c>
      <c r="G6" s="19">
        <f>G5*'Служебный лист'!$B$1</f>
        <v>0</v>
      </c>
      <c r="H6" s="20"/>
      <c r="I6" s="20"/>
      <c r="J6" s="20"/>
    </row>
    <row r="7" spans="1:26" ht="13.5" customHeight="1" x14ac:dyDescent="0.2">
      <c r="A7" s="11" t="s">
        <v>36</v>
      </c>
      <c r="B7" s="12"/>
      <c r="C7" s="11" t="s">
        <v>37</v>
      </c>
      <c r="D7" s="44" t="s">
        <v>38</v>
      </c>
      <c r="F7" s="11" t="s">
        <v>39</v>
      </c>
      <c r="G7" s="19">
        <f>G5+G6</f>
        <v>0</v>
      </c>
      <c r="H7" s="20"/>
      <c r="I7" s="20"/>
      <c r="J7" s="20"/>
    </row>
    <row r="8" spans="1:26" ht="13.5" customHeight="1" x14ac:dyDescent="0.2">
      <c r="A8" s="11" t="s">
        <v>23</v>
      </c>
      <c r="B8" s="12"/>
      <c r="C8" s="11"/>
      <c r="D8" s="12"/>
      <c r="F8" s="11" t="s">
        <v>40</v>
      </c>
      <c r="G8" s="20">
        <f>COUNTIF(H16:H315,"&gt;0")</f>
        <v>0</v>
      </c>
      <c r="H8" s="20"/>
      <c r="I8" s="20"/>
      <c r="J8" s="20"/>
    </row>
    <row r="9" spans="1:26" ht="13.5" customHeight="1" x14ac:dyDescent="0.2">
      <c r="F9" s="11" t="s">
        <v>41</v>
      </c>
      <c r="G9" s="20" t="str">
        <f>IF(G5&lt;20000,"Ниже минимума",IF(G5&lt;50000,"Базовый",IF(G5&lt;150000,"Опт",IF(G5&lt;300000,"Опт+",IF(G5&lt;500000,"Партнер","Ключевой партнер")))))</f>
        <v>Ниже минимума</v>
      </c>
      <c r="H9" s="20"/>
      <c r="I9" s="20"/>
      <c r="J9" s="20"/>
    </row>
    <row r="10" spans="1:26" ht="13.5" customHeight="1" x14ac:dyDescent="0.2">
      <c r="F10" s="11" t="s">
        <v>42</v>
      </c>
      <c r="G10" s="19">
        <f>IF(G5&lt;20000,20000,IF(G5&lt;50000,50000,IF(G5&lt;150000,150000,IF(G5&lt;300000,300000,IF(G5&lt;500000,500000,"")))))</f>
        <v>20000</v>
      </c>
      <c r="H10" s="20"/>
      <c r="I10" s="20"/>
      <c r="J10" s="20"/>
    </row>
    <row r="11" spans="1:26" ht="13.5" customHeight="1" x14ac:dyDescent="0.2">
      <c r="F11" s="11" t="s">
        <v>43</v>
      </c>
      <c r="G11" s="19">
        <f>IF(G10="",0,MAX(G10-G5,0))</f>
        <v>20000</v>
      </c>
      <c r="H11" s="20"/>
      <c r="I11" s="20"/>
      <c r="J11" s="20"/>
    </row>
    <row r="12" spans="1:26" ht="13.5" customHeight="1" x14ac:dyDescent="0.2">
      <c r="F12" s="11" t="s">
        <v>44</v>
      </c>
      <c r="G12" s="20" t="str">
        <f>IF(G5&lt;20000,"Минимальная сумма заказа — 20 000 ₽ без НДС","Заказ соответствует минимальной сумме")</f>
        <v>Минимальная сумма заказа — 20 000 ₽ без НДС</v>
      </c>
      <c r="H12" s="20"/>
      <c r="I12" s="20"/>
      <c r="J12" s="20"/>
    </row>
    <row r="13" spans="1:26" ht="45" customHeight="1" x14ac:dyDescent="0.2">
      <c r="F13" s="37" t="s">
        <v>45</v>
      </c>
      <c r="G13" s="21" t="str">
        <f>IF(G5&lt;20000,"Доберите заказ до минимальной суммы",IF(G5&gt;=500000,"Возможны индивидуальные условия и ретробонус",IF(G5&gt;=300000,"Возможны партнерские условия и ретробонус",IF(G5&gt;=150000,"Возможны образцы новинок и расширенные условия",IF(G8&gt;=20,"Возможен бонус за ширину ассортимента","Обсудите с менеджером условия регулярных закупок")))))</f>
        <v>Доберите заказ до минимальной суммы</v>
      </c>
      <c r="H13" s="21"/>
      <c r="I13" s="21"/>
      <c r="J13" s="21"/>
    </row>
    <row r="15" spans="1:26" ht="15" customHeight="1" x14ac:dyDescent="0.2">
      <c r="A15" s="14" t="s">
        <v>46</v>
      </c>
      <c r="B15" s="14" t="s">
        <v>8</v>
      </c>
      <c r="C15" s="14" t="s">
        <v>9</v>
      </c>
      <c r="D15" s="14" t="s">
        <v>10</v>
      </c>
      <c r="E15" s="14" t="s">
        <v>12</v>
      </c>
      <c r="F15" s="14" t="s">
        <v>13</v>
      </c>
      <c r="G15" s="14" t="s">
        <v>47</v>
      </c>
      <c r="H15" s="14" t="s">
        <v>48</v>
      </c>
      <c r="I15" s="14" t="s">
        <v>25</v>
      </c>
      <c r="J15" s="14" t="s">
        <v>21</v>
      </c>
    </row>
    <row r="16" spans="1:26" ht="15" customHeight="1" x14ac:dyDescent="0.2">
      <c r="A16" s="15" t="str">
        <f>IFERROR(IF(INDEX('Прайс-лист'!$T$11:$T$310,MATCH(ROWS($A$16:A16),'Прайс-лист'!$T$11:$T$310,0))="","",ROWS($A$16:A16)),"")</f>
        <v/>
      </c>
      <c r="B16" s="15" t="str">
        <f>IFERROR(INDEX('Прайс-лист'!$A$11:$A$310,MATCH(ROWS($A$16:A16),'Прайс-лист'!$T$11:$T$310,0)),"")</f>
        <v/>
      </c>
      <c r="C16" s="15" t="str">
        <f>IFERROR(INDEX('Прайс-лист'!$B$11:$B$310,MATCH(ROWS($A$16:A16),'Прайс-лист'!$T$11:$T$310,0)),"")</f>
        <v/>
      </c>
      <c r="D16" s="15" t="str">
        <f>IFERROR(INDEX('Прайс-лист'!$C$11:$C$310,MATCH(ROWS($A$16:A16),'Прайс-лист'!$T$11:$T$310,0)),"")</f>
        <v/>
      </c>
      <c r="E16" s="15" t="str">
        <f>IFERROR(INDEX('Прайс-лист'!$E$11:$E$310,MATCH(ROWS($A$16:A16),'Прайс-лист'!$T$11:$T$310,0)),"")</f>
        <v/>
      </c>
      <c r="F16" s="15" t="str">
        <f>IFERROR(INDEX('Прайс-лист'!$F$11:$F$310,MATCH(ROWS($A$16:A16),'Прайс-лист'!$T$11:$T$310,0)),"")</f>
        <v/>
      </c>
      <c r="G16" s="16" t="str">
        <f>IFERROR(INDEX('Прайс-лист'!$R$11:$R$310,MATCH(ROWS($A$16:A16),'Прайс-лист'!$T$11:$T$310,0)),"")</f>
        <v/>
      </c>
      <c r="H16" s="15" t="str">
        <f>IFERROR(INDEX('Прайс-лист'!$P$11:$P$310,MATCH(ROWS($A$16:A16),'Прайс-лист'!$T$11:$T$310,0)),"")</f>
        <v/>
      </c>
      <c r="I16" s="16" t="str">
        <f>IFERROR(INDEX('Прайс-лист'!$S$11:$S$310,MATCH(ROWS($A$16:A16),'Прайс-лист'!$T$11:$T$310,0)),"")</f>
        <v/>
      </c>
      <c r="J16" s="15" t="str">
        <f>IFERROR(INDEX('Прайс-лист'!$Q$11:$Q$310,MATCH(ROWS($A$16:A16),'Прайс-лист'!$T$11:$T$310,0)),"")</f>
        <v/>
      </c>
    </row>
    <row r="17" spans="1:10" ht="15" customHeight="1" x14ac:dyDescent="0.2">
      <c r="A17" s="15" t="str">
        <f>IFERROR(IF(INDEX('Прайс-лист'!$T$11:$T$310,MATCH(ROWS($A$16:A17),'Прайс-лист'!$T$11:$T$310,0))="","",ROWS($A$16:A17)),"")</f>
        <v/>
      </c>
      <c r="B17" s="15" t="str">
        <f>IFERROR(INDEX('Прайс-лист'!$A$11:$A$310,MATCH(ROWS($A$16:A17),'Прайс-лист'!$T$11:$T$310,0)),"")</f>
        <v/>
      </c>
      <c r="C17" s="15" t="str">
        <f>IFERROR(INDEX('Прайс-лист'!$B$11:$B$310,MATCH(ROWS($A$16:A17),'Прайс-лист'!$T$11:$T$310,0)),"")</f>
        <v/>
      </c>
      <c r="D17" s="15" t="str">
        <f>IFERROR(INDEX('Прайс-лист'!$C$11:$C$310,MATCH(ROWS($A$16:A17),'Прайс-лист'!$T$11:$T$310,0)),"")</f>
        <v/>
      </c>
      <c r="E17" s="15" t="str">
        <f>IFERROR(INDEX('Прайс-лист'!$E$11:$E$310,MATCH(ROWS($A$16:A17),'Прайс-лист'!$T$11:$T$310,0)),"")</f>
        <v/>
      </c>
      <c r="F17" s="15" t="str">
        <f>IFERROR(INDEX('Прайс-лист'!$F$11:$F$310,MATCH(ROWS($A$16:A17),'Прайс-лист'!$T$11:$T$310,0)),"")</f>
        <v/>
      </c>
      <c r="G17" s="16" t="str">
        <f>IFERROR(INDEX('Прайс-лист'!$R$11:$R$310,MATCH(ROWS($A$16:A17),'Прайс-лист'!$T$11:$T$310,0)),"")</f>
        <v/>
      </c>
      <c r="H17" s="15" t="str">
        <f>IFERROR(INDEX('Прайс-лист'!$P$11:$P$310,MATCH(ROWS($A$16:A17),'Прайс-лист'!$T$11:$T$310,0)),"")</f>
        <v/>
      </c>
      <c r="I17" s="16" t="str">
        <f>IFERROR(INDEX('Прайс-лист'!$S$11:$S$310,MATCH(ROWS($A$16:A17),'Прайс-лист'!$T$11:$T$310,0)),"")</f>
        <v/>
      </c>
      <c r="J17" s="15" t="str">
        <f>IFERROR(INDEX('Прайс-лист'!$Q$11:$Q$310,MATCH(ROWS($A$16:A17),'Прайс-лист'!$T$11:$T$310,0)),"")</f>
        <v/>
      </c>
    </row>
    <row r="18" spans="1:10" ht="15" customHeight="1" x14ac:dyDescent="0.2">
      <c r="A18" s="15" t="str">
        <f>IFERROR(IF(INDEX('Прайс-лист'!$T$11:$T$310,MATCH(ROWS($A$16:A18),'Прайс-лист'!$T$11:$T$310,0))="","",ROWS($A$16:A18)),"")</f>
        <v/>
      </c>
      <c r="B18" s="15" t="str">
        <f>IFERROR(INDEX('Прайс-лист'!$A$11:$A$310,MATCH(ROWS($A$16:A18),'Прайс-лист'!$T$11:$T$310,0)),"")</f>
        <v/>
      </c>
      <c r="C18" s="15" t="str">
        <f>IFERROR(INDEX('Прайс-лист'!$B$11:$B$310,MATCH(ROWS($A$16:A18),'Прайс-лист'!$T$11:$T$310,0)),"")</f>
        <v/>
      </c>
      <c r="D18" s="15" t="str">
        <f>IFERROR(INDEX('Прайс-лист'!$C$11:$C$310,MATCH(ROWS($A$16:A18),'Прайс-лист'!$T$11:$T$310,0)),"")</f>
        <v/>
      </c>
      <c r="E18" s="15" t="str">
        <f>IFERROR(INDEX('Прайс-лист'!$E$11:$E$310,MATCH(ROWS($A$16:A18),'Прайс-лист'!$T$11:$T$310,0)),"")</f>
        <v/>
      </c>
      <c r="F18" s="15" t="str">
        <f>IFERROR(INDEX('Прайс-лист'!$F$11:$F$310,MATCH(ROWS($A$16:A18),'Прайс-лист'!$T$11:$T$310,0)),"")</f>
        <v/>
      </c>
      <c r="G18" s="16" t="str">
        <f>IFERROR(INDEX('Прайс-лист'!$R$11:$R$310,MATCH(ROWS($A$16:A18),'Прайс-лист'!$T$11:$T$310,0)),"")</f>
        <v/>
      </c>
      <c r="H18" s="15" t="str">
        <f>IFERROR(INDEX('Прайс-лист'!$P$11:$P$310,MATCH(ROWS($A$16:A18),'Прайс-лист'!$T$11:$T$310,0)),"")</f>
        <v/>
      </c>
      <c r="I18" s="16" t="str">
        <f>IFERROR(INDEX('Прайс-лист'!$S$11:$S$310,MATCH(ROWS($A$16:A18),'Прайс-лист'!$T$11:$T$310,0)),"")</f>
        <v/>
      </c>
      <c r="J18" s="15" t="str">
        <f>IFERROR(INDEX('Прайс-лист'!$Q$11:$Q$310,MATCH(ROWS($A$16:A18),'Прайс-лист'!$T$11:$T$310,0)),"")</f>
        <v/>
      </c>
    </row>
    <row r="19" spans="1:10" ht="15" customHeight="1" x14ac:dyDescent="0.2">
      <c r="A19" s="15" t="str">
        <f>IFERROR(IF(INDEX('Прайс-лист'!$T$11:$T$310,MATCH(ROWS($A$16:A19),'Прайс-лист'!$T$11:$T$310,0))="","",ROWS($A$16:A19)),"")</f>
        <v/>
      </c>
      <c r="B19" s="15" t="str">
        <f>IFERROR(INDEX('Прайс-лист'!$A$11:$A$310,MATCH(ROWS($A$16:A19),'Прайс-лист'!$T$11:$T$310,0)),"")</f>
        <v/>
      </c>
      <c r="C19" s="15" t="str">
        <f>IFERROR(INDEX('Прайс-лист'!$B$11:$B$310,MATCH(ROWS($A$16:A19),'Прайс-лист'!$T$11:$T$310,0)),"")</f>
        <v/>
      </c>
      <c r="D19" s="15" t="str">
        <f>IFERROR(INDEX('Прайс-лист'!$C$11:$C$310,MATCH(ROWS($A$16:A19),'Прайс-лист'!$T$11:$T$310,0)),"")</f>
        <v/>
      </c>
      <c r="E19" s="15" t="str">
        <f>IFERROR(INDEX('Прайс-лист'!$E$11:$E$310,MATCH(ROWS($A$16:A19),'Прайс-лист'!$T$11:$T$310,0)),"")</f>
        <v/>
      </c>
      <c r="F19" s="15" t="str">
        <f>IFERROR(INDEX('Прайс-лист'!$F$11:$F$310,MATCH(ROWS($A$16:A19),'Прайс-лист'!$T$11:$T$310,0)),"")</f>
        <v/>
      </c>
      <c r="G19" s="16" t="str">
        <f>IFERROR(INDEX('Прайс-лист'!$R$11:$R$310,MATCH(ROWS($A$16:A19),'Прайс-лист'!$T$11:$T$310,0)),"")</f>
        <v/>
      </c>
      <c r="H19" s="15" t="str">
        <f>IFERROR(INDEX('Прайс-лист'!$P$11:$P$310,MATCH(ROWS($A$16:A19),'Прайс-лист'!$T$11:$T$310,0)),"")</f>
        <v/>
      </c>
      <c r="I19" s="16" t="str">
        <f>IFERROR(INDEX('Прайс-лист'!$S$11:$S$310,MATCH(ROWS($A$16:A19),'Прайс-лист'!$T$11:$T$310,0)),"")</f>
        <v/>
      </c>
      <c r="J19" s="15" t="str">
        <f>IFERROR(INDEX('Прайс-лист'!$Q$11:$Q$310,MATCH(ROWS($A$16:A19),'Прайс-лист'!$T$11:$T$310,0)),"")</f>
        <v/>
      </c>
    </row>
    <row r="20" spans="1:10" ht="15" customHeight="1" x14ac:dyDescent="0.2">
      <c r="A20" s="15" t="str">
        <f>IFERROR(IF(INDEX('Прайс-лист'!$T$11:$T$310,MATCH(ROWS($A$16:A20),'Прайс-лист'!$T$11:$T$310,0))="","",ROWS($A$16:A20)),"")</f>
        <v/>
      </c>
      <c r="B20" s="15" t="str">
        <f>IFERROR(INDEX('Прайс-лист'!$A$11:$A$310,MATCH(ROWS($A$16:A20),'Прайс-лист'!$T$11:$T$310,0)),"")</f>
        <v/>
      </c>
      <c r="C20" s="15" t="str">
        <f>IFERROR(INDEX('Прайс-лист'!$B$11:$B$310,MATCH(ROWS($A$16:A20),'Прайс-лист'!$T$11:$T$310,0)),"")</f>
        <v/>
      </c>
      <c r="D20" s="15" t="str">
        <f>IFERROR(INDEX('Прайс-лист'!$C$11:$C$310,MATCH(ROWS($A$16:A20),'Прайс-лист'!$T$11:$T$310,0)),"")</f>
        <v/>
      </c>
      <c r="E20" s="15" t="str">
        <f>IFERROR(INDEX('Прайс-лист'!$E$11:$E$310,MATCH(ROWS($A$16:A20),'Прайс-лист'!$T$11:$T$310,0)),"")</f>
        <v/>
      </c>
      <c r="F20" s="15" t="str">
        <f>IFERROR(INDEX('Прайс-лист'!$F$11:$F$310,MATCH(ROWS($A$16:A20),'Прайс-лист'!$T$11:$T$310,0)),"")</f>
        <v/>
      </c>
      <c r="G20" s="16" t="str">
        <f>IFERROR(INDEX('Прайс-лист'!$R$11:$R$310,MATCH(ROWS($A$16:A20),'Прайс-лист'!$T$11:$T$310,0)),"")</f>
        <v/>
      </c>
      <c r="H20" s="15" t="str">
        <f>IFERROR(INDEX('Прайс-лист'!$P$11:$P$310,MATCH(ROWS($A$16:A20),'Прайс-лист'!$T$11:$T$310,0)),"")</f>
        <v/>
      </c>
      <c r="I20" s="16" t="str">
        <f>IFERROR(INDEX('Прайс-лист'!$S$11:$S$310,MATCH(ROWS($A$16:A20),'Прайс-лист'!$T$11:$T$310,0)),"")</f>
        <v/>
      </c>
      <c r="J20" s="15" t="str">
        <f>IFERROR(INDEX('Прайс-лист'!$Q$11:$Q$310,MATCH(ROWS($A$16:A20),'Прайс-лист'!$T$11:$T$310,0)),"")</f>
        <v/>
      </c>
    </row>
    <row r="21" spans="1:10" ht="15" customHeight="1" x14ac:dyDescent="0.2">
      <c r="A21" s="15" t="str">
        <f>IFERROR(IF(INDEX('Прайс-лист'!$T$11:$T$310,MATCH(ROWS($A$16:A21),'Прайс-лист'!$T$11:$T$310,0))="","",ROWS($A$16:A21)),"")</f>
        <v/>
      </c>
      <c r="B21" s="15" t="str">
        <f>IFERROR(INDEX('Прайс-лист'!$A$11:$A$310,MATCH(ROWS($A$16:A21),'Прайс-лист'!$T$11:$T$310,0)),"")</f>
        <v/>
      </c>
      <c r="C21" s="15" t="str">
        <f>IFERROR(INDEX('Прайс-лист'!$B$11:$B$310,MATCH(ROWS($A$16:A21),'Прайс-лист'!$T$11:$T$310,0)),"")</f>
        <v/>
      </c>
      <c r="D21" s="15" t="str">
        <f>IFERROR(INDEX('Прайс-лист'!$C$11:$C$310,MATCH(ROWS($A$16:A21),'Прайс-лист'!$T$11:$T$310,0)),"")</f>
        <v/>
      </c>
      <c r="E21" s="15" t="str">
        <f>IFERROR(INDEX('Прайс-лист'!$E$11:$E$310,MATCH(ROWS($A$16:A21),'Прайс-лист'!$T$11:$T$310,0)),"")</f>
        <v/>
      </c>
      <c r="F21" s="15" t="str">
        <f>IFERROR(INDEX('Прайс-лист'!$F$11:$F$310,MATCH(ROWS($A$16:A21),'Прайс-лист'!$T$11:$T$310,0)),"")</f>
        <v/>
      </c>
      <c r="G21" s="16" t="str">
        <f>IFERROR(INDEX('Прайс-лист'!$R$11:$R$310,MATCH(ROWS($A$16:A21),'Прайс-лист'!$T$11:$T$310,0)),"")</f>
        <v/>
      </c>
      <c r="H21" s="15" t="str">
        <f>IFERROR(INDEX('Прайс-лист'!$P$11:$P$310,MATCH(ROWS($A$16:A21),'Прайс-лист'!$T$11:$T$310,0)),"")</f>
        <v/>
      </c>
      <c r="I21" s="16" t="str">
        <f>IFERROR(INDEX('Прайс-лист'!$S$11:$S$310,MATCH(ROWS($A$16:A21),'Прайс-лист'!$T$11:$T$310,0)),"")</f>
        <v/>
      </c>
      <c r="J21" s="15" t="str">
        <f>IFERROR(INDEX('Прайс-лист'!$Q$11:$Q$310,MATCH(ROWS($A$16:A21),'Прайс-лист'!$T$11:$T$310,0)),"")</f>
        <v/>
      </c>
    </row>
    <row r="22" spans="1:10" ht="15" customHeight="1" x14ac:dyDescent="0.2">
      <c r="A22" s="15" t="str">
        <f>IFERROR(IF(INDEX('Прайс-лист'!$T$11:$T$310,MATCH(ROWS($A$16:A22),'Прайс-лист'!$T$11:$T$310,0))="","",ROWS($A$16:A22)),"")</f>
        <v/>
      </c>
      <c r="B22" s="15" t="str">
        <f>IFERROR(INDEX('Прайс-лист'!$A$11:$A$310,MATCH(ROWS($A$16:A22),'Прайс-лист'!$T$11:$T$310,0)),"")</f>
        <v/>
      </c>
      <c r="C22" s="15" t="str">
        <f>IFERROR(INDEX('Прайс-лист'!$B$11:$B$310,MATCH(ROWS($A$16:A22),'Прайс-лист'!$T$11:$T$310,0)),"")</f>
        <v/>
      </c>
      <c r="D22" s="15" t="str">
        <f>IFERROR(INDEX('Прайс-лист'!$C$11:$C$310,MATCH(ROWS($A$16:A22),'Прайс-лист'!$T$11:$T$310,0)),"")</f>
        <v/>
      </c>
      <c r="E22" s="15" t="str">
        <f>IFERROR(INDEX('Прайс-лист'!$E$11:$E$310,MATCH(ROWS($A$16:A22),'Прайс-лист'!$T$11:$T$310,0)),"")</f>
        <v/>
      </c>
      <c r="F22" s="15" t="str">
        <f>IFERROR(INDEX('Прайс-лист'!$F$11:$F$310,MATCH(ROWS($A$16:A22),'Прайс-лист'!$T$11:$T$310,0)),"")</f>
        <v/>
      </c>
      <c r="G22" s="16" t="str">
        <f>IFERROR(INDEX('Прайс-лист'!$R$11:$R$310,MATCH(ROWS($A$16:A22),'Прайс-лист'!$T$11:$T$310,0)),"")</f>
        <v/>
      </c>
      <c r="H22" s="15" t="str">
        <f>IFERROR(INDEX('Прайс-лист'!$P$11:$P$310,MATCH(ROWS($A$16:A22),'Прайс-лист'!$T$11:$T$310,0)),"")</f>
        <v/>
      </c>
      <c r="I22" s="16" t="str">
        <f>IFERROR(INDEX('Прайс-лист'!$S$11:$S$310,MATCH(ROWS($A$16:A22),'Прайс-лист'!$T$11:$T$310,0)),"")</f>
        <v/>
      </c>
      <c r="J22" s="15" t="str">
        <f>IFERROR(INDEX('Прайс-лист'!$Q$11:$Q$310,MATCH(ROWS($A$16:A22),'Прайс-лист'!$T$11:$T$310,0)),"")</f>
        <v/>
      </c>
    </row>
    <row r="23" spans="1:10" ht="15" customHeight="1" x14ac:dyDescent="0.2">
      <c r="A23" s="15" t="str">
        <f>IFERROR(IF(INDEX('Прайс-лист'!$T$11:$T$310,MATCH(ROWS($A$16:A23),'Прайс-лист'!$T$11:$T$310,0))="","",ROWS($A$16:A23)),"")</f>
        <v/>
      </c>
      <c r="B23" s="15" t="str">
        <f>IFERROR(INDEX('Прайс-лист'!$A$11:$A$310,MATCH(ROWS($A$16:A23),'Прайс-лист'!$T$11:$T$310,0)),"")</f>
        <v/>
      </c>
      <c r="C23" s="15" t="str">
        <f>IFERROR(INDEX('Прайс-лист'!$B$11:$B$310,MATCH(ROWS($A$16:A23),'Прайс-лист'!$T$11:$T$310,0)),"")</f>
        <v/>
      </c>
      <c r="D23" s="15" t="str">
        <f>IFERROR(INDEX('Прайс-лист'!$C$11:$C$310,MATCH(ROWS($A$16:A23),'Прайс-лист'!$T$11:$T$310,0)),"")</f>
        <v/>
      </c>
      <c r="E23" s="15" t="str">
        <f>IFERROR(INDEX('Прайс-лист'!$E$11:$E$310,MATCH(ROWS($A$16:A23),'Прайс-лист'!$T$11:$T$310,0)),"")</f>
        <v/>
      </c>
      <c r="F23" s="15" t="str">
        <f>IFERROR(INDEX('Прайс-лист'!$F$11:$F$310,MATCH(ROWS($A$16:A23),'Прайс-лист'!$T$11:$T$310,0)),"")</f>
        <v/>
      </c>
      <c r="G23" s="16" t="str">
        <f>IFERROR(INDEX('Прайс-лист'!$R$11:$R$310,MATCH(ROWS($A$16:A23),'Прайс-лист'!$T$11:$T$310,0)),"")</f>
        <v/>
      </c>
      <c r="H23" s="15" t="str">
        <f>IFERROR(INDEX('Прайс-лист'!$P$11:$P$310,MATCH(ROWS($A$16:A23),'Прайс-лист'!$T$11:$T$310,0)),"")</f>
        <v/>
      </c>
      <c r="I23" s="16" t="str">
        <f>IFERROR(INDEX('Прайс-лист'!$S$11:$S$310,MATCH(ROWS($A$16:A23),'Прайс-лист'!$T$11:$T$310,0)),"")</f>
        <v/>
      </c>
      <c r="J23" s="15" t="str">
        <f>IFERROR(INDEX('Прайс-лист'!$Q$11:$Q$310,MATCH(ROWS($A$16:A23),'Прайс-лист'!$T$11:$T$310,0)),"")</f>
        <v/>
      </c>
    </row>
    <row r="24" spans="1:10" ht="15" customHeight="1" x14ac:dyDescent="0.2">
      <c r="A24" s="15" t="str">
        <f>IFERROR(IF(INDEX('Прайс-лист'!$T$11:$T$310,MATCH(ROWS($A$16:A24),'Прайс-лист'!$T$11:$T$310,0))="","",ROWS($A$16:A24)),"")</f>
        <v/>
      </c>
      <c r="B24" s="15" t="str">
        <f>IFERROR(INDEX('Прайс-лист'!$A$11:$A$310,MATCH(ROWS($A$16:A24),'Прайс-лист'!$T$11:$T$310,0)),"")</f>
        <v/>
      </c>
      <c r="C24" s="15" t="str">
        <f>IFERROR(INDEX('Прайс-лист'!$B$11:$B$310,MATCH(ROWS($A$16:A24),'Прайс-лист'!$T$11:$T$310,0)),"")</f>
        <v/>
      </c>
      <c r="D24" s="15" t="str">
        <f>IFERROR(INDEX('Прайс-лист'!$C$11:$C$310,MATCH(ROWS($A$16:A24),'Прайс-лист'!$T$11:$T$310,0)),"")</f>
        <v/>
      </c>
      <c r="E24" s="15" t="str">
        <f>IFERROR(INDEX('Прайс-лист'!$E$11:$E$310,MATCH(ROWS($A$16:A24),'Прайс-лист'!$T$11:$T$310,0)),"")</f>
        <v/>
      </c>
      <c r="F24" s="15" t="str">
        <f>IFERROR(INDEX('Прайс-лист'!$F$11:$F$310,MATCH(ROWS($A$16:A24),'Прайс-лист'!$T$11:$T$310,0)),"")</f>
        <v/>
      </c>
      <c r="G24" s="16" t="str">
        <f>IFERROR(INDEX('Прайс-лист'!$R$11:$R$310,MATCH(ROWS($A$16:A24),'Прайс-лист'!$T$11:$T$310,0)),"")</f>
        <v/>
      </c>
      <c r="H24" s="15" t="str">
        <f>IFERROR(INDEX('Прайс-лист'!$P$11:$P$310,MATCH(ROWS($A$16:A24),'Прайс-лист'!$T$11:$T$310,0)),"")</f>
        <v/>
      </c>
      <c r="I24" s="16" t="str">
        <f>IFERROR(INDEX('Прайс-лист'!$S$11:$S$310,MATCH(ROWS($A$16:A24),'Прайс-лист'!$T$11:$T$310,0)),"")</f>
        <v/>
      </c>
      <c r="J24" s="15" t="str">
        <f>IFERROR(INDEX('Прайс-лист'!$Q$11:$Q$310,MATCH(ROWS($A$16:A24),'Прайс-лист'!$T$11:$T$310,0)),"")</f>
        <v/>
      </c>
    </row>
    <row r="25" spans="1:10" ht="15" customHeight="1" x14ac:dyDescent="0.2">
      <c r="A25" s="15" t="str">
        <f>IFERROR(IF(INDEX('Прайс-лист'!$T$11:$T$310,MATCH(ROWS($A$16:A25),'Прайс-лист'!$T$11:$T$310,0))="","",ROWS($A$16:A25)),"")</f>
        <v/>
      </c>
      <c r="B25" s="15" t="str">
        <f>IFERROR(INDEX('Прайс-лист'!$A$11:$A$310,MATCH(ROWS($A$16:A25),'Прайс-лист'!$T$11:$T$310,0)),"")</f>
        <v/>
      </c>
      <c r="C25" s="15" t="str">
        <f>IFERROR(INDEX('Прайс-лист'!$B$11:$B$310,MATCH(ROWS($A$16:A25),'Прайс-лист'!$T$11:$T$310,0)),"")</f>
        <v/>
      </c>
      <c r="D25" s="15" t="str">
        <f>IFERROR(INDEX('Прайс-лист'!$C$11:$C$310,MATCH(ROWS($A$16:A25),'Прайс-лист'!$T$11:$T$310,0)),"")</f>
        <v/>
      </c>
      <c r="E25" s="15" t="str">
        <f>IFERROR(INDEX('Прайс-лист'!$E$11:$E$310,MATCH(ROWS($A$16:A25),'Прайс-лист'!$T$11:$T$310,0)),"")</f>
        <v/>
      </c>
      <c r="F25" s="15" t="str">
        <f>IFERROR(INDEX('Прайс-лист'!$F$11:$F$310,MATCH(ROWS($A$16:A25),'Прайс-лист'!$T$11:$T$310,0)),"")</f>
        <v/>
      </c>
      <c r="G25" s="16" t="str">
        <f>IFERROR(INDEX('Прайс-лист'!$R$11:$R$310,MATCH(ROWS($A$16:A25),'Прайс-лист'!$T$11:$T$310,0)),"")</f>
        <v/>
      </c>
      <c r="H25" s="15" t="str">
        <f>IFERROR(INDEX('Прайс-лист'!$P$11:$P$310,MATCH(ROWS($A$16:A25),'Прайс-лист'!$T$11:$T$310,0)),"")</f>
        <v/>
      </c>
      <c r="I25" s="16" t="str">
        <f>IFERROR(INDEX('Прайс-лист'!$S$11:$S$310,MATCH(ROWS($A$16:A25),'Прайс-лист'!$T$11:$T$310,0)),"")</f>
        <v/>
      </c>
      <c r="J25" s="15" t="str">
        <f>IFERROR(INDEX('Прайс-лист'!$Q$11:$Q$310,MATCH(ROWS($A$16:A25),'Прайс-лист'!$T$11:$T$310,0)),"")</f>
        <v/>
      </c>
    </row>
    <row r="26" spans="1:10" ht="15" customHeight="1" x14ac:dyDescent="0.2">
      <c r="A26" s="15" t="str">
        <f>IFERROR(IF(INDEX('Прайс-лист'!$T$11:$T$310,MATCH(ROWS($A$16:A26),'Прайс-лист'!$T$11:$T$310,0))="","",ROWS($A$16:A26)),"")</f>
        <v/>
      </c>
      <c r="B26" s="15" t="str">
        <f>IFERROR(INDEX('Прайс-лист'!$A$11:$A$310,MATCH(ROWS($A$16:A26),'Прайс-лист'!$T$11:$T$310,0)),"")</f>
        <v/>
      </c>
      <c r="C26" s="15" t="str">
        <f>IFERROR(INDEX('Прайс-лист'!$B$11:$B$310,MATCH(ROWS($A$16:A26),'Прайс-лист'!$T$11:$T$310,0)),"")</f>
        <v/>
      </c>
      <c r="D26" s="15" t="str">
        <f>IFERROR(INDEX('Прайс-лист'!$C$11:$C$310,MATCH(ROWS($A$16:A26),'Прайс-лист'!$T$11:$T$310,0)),"")</f>
        <v/>
      </c>
      <c r="E26" s="15" t="str">
        <f>IFERROR(INDEX('Прайс-лист'!$E$11:$E$310,MATCH(ROWS($A$16:A26),'Прайс-лист'!$T$11:$T$310,0)),"")</f>
        <v/>
      </c>
      <c r="F26" s="15" t="str">
        <f>IFERROR(INDEX('Прайс-лист'!$F$11:$F$310,MATCH(ROWS($A$16:A26),'Прайс-лист'!$T$11:$T$310,0)),"")</f>
        <v/>
      </c>
      <c r="G26" s="16" t="str">
        <f>IFERROR(INDEX('Прайс-лист'!$R$11:$R$310,MATCH(ROWS($A$16:A26),'Прайс-лист'!$T$11:$T$310,0)),"")</f>
        <v/>
      </c>
      <c r="H26" s="15" t="str">
        <f>IFERROR(INDEX('Прайс-лист'!$P$11:$P$310,MATCH(ROWS($A$16:A26),'Прайс-лист'!$T$11:$T$310,0)),"")</f>
        <v/>
      </c>
      <c r="I26" s="16" t="str">
        <f>IFERROR(INDEX('Прайс-лист'!$S$11:$S$310,MATCH(ROWS($A$16:A26),'Прайс-лист'!$T$11:$T$310,0)),"")</f>
        <v/>
      </c>
      <c r="J26" s="15" t="str">
        <f>IFERROR(INDEX('Прайс-лист'!$Q$11:$Q$310,MATCH(ROWS($A$16:A26),'Прайс-лист'!$T$11:$T$310,0)),"")</f>
        <v/>
      </c>
    </row>
    <row r="27" spans="1:10" ht="15" customHeight="1" x14ac:dyDescent="0.2">
      <c r="A27" s="15" t="str">
        <f>IFERROR(IF(INDEX('Прайс-лист'!$T$11:$T$310,MATCH(ROWS($A$16:A27),'Прайс-лист'!$T$11:$T$310,0))="","",ROWS($A$16:A27)),"")</f>
        <v/>
      </c>
      <c r="B27" s="15" t="str">
        <f>IFERROR(INDEX('Прайс-лист'!$A$11:$A$310,MATCH(ROWS($A$16:A27),'Прайс-лист'!$T$11:$T$310,0)),"")</f>
        <v/>
      </c>
      <c r="C27" s="15" t="str">
        <f>IFERROR(INDEX('Прайс-лист'!$B$11:$B$310,MATCH(ROWS($A$16:A27),'Прайс-лист'!$T$11:$T$310,0)),"")</f>
        <v/>
      </c>
      <c r="D27" s="15" t="str">
        <f>IFERROR(INDEX('Прайс-лист'!$C$11:$C$310,MATCH(ROWS($A$16:A27),'Прайс-лист'!$T$11:$T$310,0)),"")</f>
        <v/>
      </c>
      <c r="E27" s="15" t="str">
        <f>IFERROR(INDEX('Прайс-лист'!$E$11:$E$310,MATCH(ROWS($A$16:A27),'Прайс-лист'!$T$11:$T$310,0)),"")</f>
        <v/>
      </c>
      <c r="F27" s="15" t="str">
        <f>IFERROR(INDEX('Прайс-лист'!$F$11:$F$310,MATCH(ROWS($A$16:A27),'Прайс-лист'!$T$11:$T$310,0)),"")</f>
        <v/>
      </c>
      <c r="G27" s="16" t="str">
        <f>IFERROR(INDEX('Прайс-лист'!$R$11:$R$310,MATCH(ROWS($A$16:A27),'Прайс-лист'!$T$11:$T$310,0)),"")</f>
        <v/>
      </c>
      <c r="H27" s="15" t="str">
        <f>IFERROR(INDEX('Прайс-лист'!$P$11:$P$310,MATCH(ROWS($A$16:A27),'Прайс-лист'!$T$11:$T$310,0)),"")</f>
        <v/>
      </c>
      <c r="I27" s="16" t="str">
        <f>IFERROR(INDEX('Прайс-лист'!$S$11:$S$310,MATCH(ROWS($A$16:A27),'Прайс-лист'!$T$11:$T$310,0)),"")</f>
        <v/>
      </c>
      <c r="J27" s="15" t="str">
        <f>IFERROR(INDEX('Прайс-лист'!$Q$11:$Q$310,MATCH(ROWS($A$16:A27),'Прайс-лист'!$T$11:$T$310,0)),"")</f>
        <v/>
      </c>
    </row>
    <row r="28" spans="1:10" ht="15" customHeight="1" x14ac:dyDescent="0.2">
      <c r="A28" s="15" t="str">
        <f>IFERROR(IF(INDEX('Прайс-лист'!$T$11:$T$310,MATCH(ROWS($A$16:A28),'Прайс-лист'!$T$11:$T$310,0))="","",ROWS($A$16:A28)),"")</f>
        <v/>
      </c>
      <c r="B28" s="15" t="str">
        <f>IFERROR(INDEX('Прайс-лист'!$A$11:$A$310,MATCH(ROWS($A$16:A28),'Прайс-лист'!$T$11:$T$310,0)),"")</f>
        <v/>
      </c>
      <c r="C28" s="15" t="str">
        <f>IFERROR(INDEX('Прайс-лист'!$B$11:$B$310,MATCH(ROWS($A$16:A28),'Прайс-лист'!$T$11:$T$310,0)),"")</f>
        <v/>
      </c>
      <c r="D28" s="15" t="str">
        <f>IFERROR(INDEX('Прайс-лист'!$C$11:$C$310,MATCH(ROWS($A$16:A28),'Прайс-лист'!$T$11:$T$310,0)),"")</f>
        <v/>
      </c>
      <c r="E28" s="15" t="str">
        <f>IFERROR(INDEX('Прайс-лист'!$E$11:$E$310,MATCH(ROWS($A$16:A28),'Прайс-лист'!$T$11:$T$310,0)),"")</f>
        <v/>
      </c>
      <c r="F28" s="15" t="str">
        <f>IFERROR(INDEX('Прайс-лист'!$F$11:$F$310,MATCH(ROWS($A$16:A28),'Прайс-лист'!$T$11:$T$310,0)),"")</f>
        <v/>
      </c>
      <c r="G28" s="16" t="str">
        <f>IFERROR(INDEX('Прайс-лист'!$R$11:$R$310,MATCH(ROWS($A$16:A28),'Прайс-лист'!$T$11:$T$310,0)),"")</f>
        <v/>
      </c>
      <c r="H28" s="15" t="str">
        <f>IFERROR(INDEX('Прайс-лист'!$P$11:$P$310,MATCH(ROWS($A$16:A28),'Прайс-лист'!$T$11:$T$310,0)),"")</f>
        <v/>
      </c>
      <c r="I28" s="16" t="str">
        <f>IFERROR(INDEX('Прайс-лист'!$S$11:$S$310,MATCH(ROWS($A$16:A28),'Прайс-лист'!$T$11:$T$310,0)),"")</f>
        <v/>
      </c>
      <c r="J28" s="15" t="str">
        <f>IFERROR(INDEX('Прайс-лист'!$Q$11:$Q$310,MATCH(ROWS($A$16:A28),'Прайс-лист'!$T$11:$T$310,0)),"")</f>
        <v/>
      </c>
    </row>
    <row r="29" spans="1:10" ht="15" customHeight="1" x14ac:dyDescent="0.2">
      <c r="A29" s="15" t="str">
        <f>IFERROR(IF(INDEX('Прайс-лист'!$T$11:$T$310,MATCH(ROWS($A$16:A29),'Прайс-лист'!$T$11:$T$310,0))="","",ROWS($A$16:A29)),"")</f>
        <v/>
      </c>
      <c r="B29" s="15" t="str">
        <f>IFERROR(INDEX('Прайс-лист'!$A$11:$A$310,MATCH(ROWS($A$16:A29),'Прайс-лист'!$T$11:$T$310,0)),"")</f>
        <v/>
      </c>
      <c r="C29" s="15" t="str">
        <f>IFERROR(INDEX('Прайс-лист'!$B$11:$B$310,MATCH(ROWS($A$16:A29),'Прайс-лист'!$T$11:$T$310,0)),"")</f>
        <v/>
      </c>
      <c r="D29" s="15" t="str">
        <f>IFERROR(INDEX('Прайс-лист'!$C$11:$C$310,MATCH(ROWS($A$16:A29),'Прайс-лист'!$T$11:$T$310,0)),"")</f>
        <v/>
      </c>
      <c r="E29" s="15" t="str">
        <f>IFERROR(INDEX('Прайс-лист'!$E$11:$E$310,MATCH(ROWS($A$16:A29),'Прайс-лист'!$T$11:$T$310,0)),"")</f>
        <v/>
      </c>
      <c r="F29" s="15" t="str">
        <f>IFERROR(INDEX('Прайс-лист'!$F$11:$F$310,MATCH(ROWS($A$16:A29),'Прайс-лист'!$T$11:$T$310,0)),"")</f>
        <v/>
      </c>
      <c r="G29" s="16" t="str">
        <f>IFERROR(INDEX('Прайс-лист'!$R$11:$R$310,MATCH(ROWS($A$16:A29),'Прайс-лист'!$T$11:$T$310,0)),"")</f>
        <v/>
      </c>
      <c r="H29" s="15" t="str">
        <f>IFERROR(INDEX('Прайс-лист'!$P$11:$P$310,MATCH(ROWS($A$16:A29),'Прайс-лист'!$T$11:$T$310,0)),"")</f>
        <v/>
      </c>
      <c r="I29" s="16" t="str">
        <f>IFERROR(INDEX('Прайс-лист'!$S$11:$S$310,MATCH(ROWS($A$16:A29),'Прайс-лист'!$T$11:$T$310,0)),"")</f>
        <v/>
      </c>
      <c r="J29" s="15" t="str">
        <f>IFERROR(INDEX('Прайс-лист'!$Q$11:$Q$310,MATCH(ROWS($A$16:A29),'Прайс-лист'!$T$11:$T$310,0)),"")</f>
        <v/>
      </c>
    </row>
    <row r="30" spans="1:10" ht="15" customHeight="1" x14ac:dyDescent="0.2">
      <c r="A30" s="15" t="str">
        <f>IFERROR(IF(INDEX('Прайс-лист'!$T$11:$T$310,MATCH(ROWS($A$16:A30),'Прайс-лист'!$T$11:$T$310,0))="","",ROWS($A$16:A30)),"")</f>
        <v/>
      </c>
      <c r="B30" s="15" t="str">
        <f>IFERROR(INDEX('Прайс-лист'!$A$11:$A$310,MATCH(ROWS($A$16:A30),'Прайс-лист'!$T$11:$T$310,0)),"")</f>
        <v/>
      </c>
      <c r="C30" s="15" t="str">
        <f>IFERROR(INDEX('Прайс-лист'!$B$11:$B$310,MATCH(ROWS($A$16:A30),'Прайс-лист'!$T$11:$T$310,0)),"")</f>
        <v/>
      </c>
      <c r="D30" s="15" t="str">
        <f>IFERROR(INDEX('Прайс-лист'!$C$11:$C$310,MATCH(ROWS($A$16:A30),'Прайс-лист'!$T$11:$T$310,0)),"")</f>
        <v/>
      </c>
      <c r="E30" s="15" t="str">
        <f>IFERROR(INDEX('Прайс-лист'!$E$11:$E$310,MATCH(ROWS($A$16:A30),'Прайс-лист'!$T$11:$T$310,0)),"")</f>
        <v/>
      </c>
      <c r="F30" s="15" t="str">
        <f>IFERROR(INDEX('Прайс-лист'!$F$11:$F$310,MATCH(ROWS($A$16:A30),'Прайс-лист'!$T$11:$T$310,0)),"")</f>
        <v/>
      </c>
      <c r="G30" s="16" t="str">
        <f>IFERROR(INDEX('Прайс-лист'!$R$11:$R$310,MATCH(ROWS($A$16:A30),'Прайс-лист'!$T$11:$T$310,0)),"")</f>
        <v/>
      </c>
      <c r="H30" s="15" t="str">
        <f>IFERROR(INDEX('Прайс-лист'!$P$11:$P$310,MATCH(ROWS($A$16:A30),'Прайс-лист'!$T$11:$T$310,0)),"")</f>
        <v/>
      </c>
      <c r="I30" s="16" t="str">
        <f>IFERROR(INDEX('Прайс-лист'!$S$11:$S$310,MATCH(ROWS($A$16:A30),'Прайс-лист'!$T$11:$T$310,0)),"")</f>
        <v/>
      </c>
      <c r="J30" s="15" t="str">
        <f>IFERROR(INDEX('Прайс-лист'!$Q$11:$Q$310,MATCH(ROWS($A$16:A30),'Прайс-лист'!$T$11:$T$310,0)),"")</f>
        <v/>
      </c>
    </row>
    <row r="31" spans="1:10" ht="15" customHeight="1" x14ac:dyDescent="0.2">
      <c r="A31" s="15" t="str">
        <f>IFERROR(IF(INDEX('Прайс-лист'!$T$11:$T$310,MATCH(ROWS($A$16:A31),'Прайс-лист'!$T$11:$T$310,0))="","",ROWS($A$16:A31)),"")</f>
        <v/>
      </c>
      <c r="B31" s="15" t="str">
        <f>IFERROR(INDEX('Прайс-лист'!$A$11:$A$310,MATCH(ROWS($A$16:A31),'Прайс-лист'!$T$11:$T$310,0)),"")</f>
        <v/>
      </c>
      <c r="C31" s="15" t="str">
        <f>IFERROR(INDEX('Прайс-лист'!$B$11:$B$310,MATCH(ROWS($A$16:A31),'Прайс-лист'!$T$11:$T$310,0)),"")</f>
        <v/>
      </c>
      <c r="D31" s="15" t="str">
        <f>IFERROR(INDEX('Прайс-лист'!$C$11:$C$310,MATCH(ROWS($A$16:A31),'Прайс-лист'!$T$11:$T$310,0)),"")</f>
        <v/>
      </c>
      <c r="E31" s="15" t="str">
        <f>IFERROR(INDEX('Прайс-лист'!$E$11:$E$310,MATCH(ROWS($A$16:A31),'Прайс-лист'!$T$11:$T$310,0)),"")</f>
        <v/>
      </c>
      <c r="F31" s="15" t="str">
        <f>IFERROR(INDEX('Прайс-лист'!$F$11:$F$310,MATCH(ROWS($A$16:A31),'Прайс-лист'!$T$11:$T$310,0)),"")</f>
        <v/>
      </c>
      <c r="G31" s="16" t="str">
        <f>IFERROR(INDEX('Прайс-лист'!$R$11:$R$310,MATCH(ROWS($A$16:A31),'Прайс-лист'!$T$11:$T$310,0)),"")</f>
        <v/>
      </c>
      <c r="H31" s="15" t="str">
        <f>IFERROR(INDEX('Прайс-лист'!$P$11:$P$310,MATCH(ROWS($A$16:A31),'Прайс-лист'!$T$11:$T$310,0)),"")</f>
        <v/>
      </c>
      <c r="I31" s="16" t="str">
        <f>IFERROR(INDEX('Прайс-лист'!$S$11:$S$310,MATCH(ROWS($A$16:A31),'Прайс-лист'!$T$11:$T$310,0)),"")</f>
        <v/>
      </c>
      <c r="J31" s="15" t="str">
        <f>IFERROR(INDEX('Прайс-лист'!$Q$11:$Q$310,MATCH(ROWS($A$16:A31),'Прайс-лист'!$T$11:$T$310,0)),"")</f>
        <v/>
      </c>
    </row>
    <row r="32" spans="1:10" ht="15" customHeight="1" x14ac:dyDescent="0.2">
      <c r="A32" s="15" t="str">
        <f>IFERROR(IF(INDEX('Прайс-лист'!$T$11:$T$310,MATCH(ROWS($A$16:A32),'Прайс-лист'!$T$11:$T$310,0))="","",ROWS($A$16:A32)),"")</f>
        <v/>
      </c>
      <c r="B32" s="15" t="str">
        <f>IFERROR(INDEX('Прайс-лист'!$A$11:$A$310,MATCH(ROWS($A$16:A32),'Прайс-лист'!$T$11:$T$310,0)),"")</f>
        <v/>
      </c>
      <c r="C32" s="15" t="str">
        <f>IFERROR(INDEX('Прайс-лист'!$B$11:$B$310,MATCH(ROWS($A$16:A32),'Прайс-лист'!$T$11:$T$310,0)),"")</f>
        <v/>
      </c>
      <c r="D32" s="15" t="str">
        <f>IFERROR(INDEX('Прайс-лист'!$C$11:$C$310,MATCH(ROWS($A$16:A32),'Прайс-лист'!$T$11:$T$310,0)),"")</f>
        <v/>
      </c>
      <c r="E32" s="15" t="str">
        <f>IFERROR(INDEX('Прайс-лист'!$E$11:$E$310,MATCH(ROWS($A$16:A32),'Прайс-лист'!$T$11:$T$310,0)),"")</f>
        <v/>
      </c>
      <c r="F32" s="15" t="str">
        <f>IFERROR(INDEX('Прайс-лист'!$F$11:$F$310,MATCH(ROWS($A$16:A32),'Прайс-лист'!$T$11:$T$310,0)),"")</f>
        <v/>
      </c>
      <c r="G32" s="16" t="str">
        <f>IFERROR(INDEX('Прайс-лист'!$R$11:$R$310,MATCH(ROWS($A$16:A32),'Прайс-лист'!$T$11:$T$310,0)),"")</f>
        <v/>
      </c>
      <c r="H32" s="15" t="str">
        <f>IFERROR(INDEX('Прайс-лист'!$P$11:$P$310,MATCH(ROWS($A$16:A32),'Прайс-лист'!$T$11:$T$310,0)),"")</f>
        <v/>
      </c>
      <c r="I32" s="16" t="str">
        <f>IFERROR(INDEX('Прайс-лист'!$S$11:$S$310,MATCH(ROWS($A$16:A32),'Прайс-лист'!$T$11:$T$310,0)),"")</f>
        <v/>
      </c>
      <c r="J32" s="15" t="str">
        <f>IFERROR(INDEX('Прайс-лист'!$Q$11:$Q$310,MATCH(ROWS($A$16:A32),'Прайс-лист'!$T$11:$T$310,0)),"")</f>
        <v/>
      </c>
    </row>
    <row r="33" spans="1:10" ht="15" customHeight="1" x14ac:dyDescent="0.2">
      <c r="A33" s="15" t="str">
        <f>IFERROR(IF(INDEX('Прайс-лист'!$T$11:$T$310,MATCH(ROWS($A$16:A33),'Прайс-лист'!$T$11:$T$310,0))="","",ROWS($A$16:A33)),"")</f>
        <v/>
      </c>
      <c r="B33" s="15" t="str">
        <f>IFERROR(INDEX('Прайс-лист'!$A$11:$A$310,MATCH(ROWS($A$16:A33),'Прайс-лист'!$T$11:$T$310,0)),"")</f>
        <v/>
      </c>
      <c r="C33" s="15" t="str">
        <f>IFERROR(INDEX('Прайс-лист'!$B$11:$B$310,MATCH(ROWS($A$16:A33),'Прайс-лист'!$T$11:$T$310,0)),"")</f>
        <v/>
      </c>
      <c r="D33" s="15" t="str">
        <f>IFERROR(INDEX('Прайс-лист'!$C$11:$C$310,MATCH(ROWS($A$16:A33),'Прайс-лист'!$T$11:$T$310,0)),"")</f>
        <v/>
      </c>
      <c r="E33" s="15" t="str">
        <f>IFERROR(INDEX('Прайс-лист'!$E$11:$E$310,MATCH(ROWS($A$16:A33),'Прайс-лист'!$T$11:$T$310,0)),"")</f>
        <v/>
      </c>
      <c r="F33" s="15" t="str">
        <f>IFERROR(INDEX('Прайс-лист'!$F$11:$F$310,MATCH(ROWS($A$16:A33),'Прайс-лист'!$T$11:$T$310,0)),"")</f>
        <v/>
      </c>
      <c r="G33" s="16" t="str">
        <f>IFERROR(INDEX('Прайс-лист'!$R$11:$R$310,MATCH(ROWS($A$16:A33),'Прайс-лист'!$T$11:$T$310,0)),"")</f>
        <v/>
      </c>
      <c r="H33" s="15" t="str">
        <f>IFERROR(INDEX('Прайс-лист'!$P$11:$P$310,MATCH(ROWS($A$16:A33),'Прайс-лист'!$T$11:$T$310,0)),"")</f>
        <v/>
      </c>
      <c r="I33" s="16" t="str">
        <f>IFERROR(INDEX('Прайс-лист'!$S$11:$S$310,MATCH(ROWS($A$16:A33),'Прайс-лист'!$T$11:$T$310,0)),"")</f>
        <v/>
      </c>
      <c r="J33" s="15" t="str">
        <f>IFERROR(INDEX('Прайс-лист'!$Q$11:$Q$310,MATCH(ROWS($A$16:A33),'Прайс-лист'!$T$11:$T$310,0)),"")</f>
        <v/>
      </c>
    </row>
    <row r="34" spans="1:10" ht="15" customHeight="1" x14ac:dyDescent="0.2">
      <c r="A34" s="15" t="str">
        <f>IFERROR(IF(INDEX('Прайс-лист'!$T$11:$T$310,MATCH(ROWS($A$16:A34),'Прайс-лист'!$T$11:$T$310,0))="","",ROWS($A$16:A34)),"")</f>
        <v/>
      </c>
      <c r="B34" s="15" t="str">
        <f>IFERROR(INDEX('Прайс-лист'!$A$11:$A$310,MATCH(ROWS($A$16:A34),'Прайс-лист'!$T$11:$T$310,0)),"")</f>
        <v/>
      </c>
      <c r="C34" s="15" t="str">
        <f>IFERROR(INDEX('Прайс-лист'!$B$11:$B$310,MATCH(ROWS($A$16:A34),'Прайс-лист'!$T$11:$T$310,0)),"")</f>
        <v/>
      </c>
      <c r="D34" s="15" t="str">
        <f>IFERROR(INDEX('Прайс-лист'!$C$11:$C$310,MATCH(ROWS($A$16:A34),'Прайс-лист'!$T$11:$T$310,0)),"")</f>
        <v/>
      </c>
      <c r="E34" s="15" t="str">
        <f>IFERROR(INDEX('Прайс-лист'!$E$11:$E$310,MATCH(ROWS($A$16:A34),'Прайс-лист'!$T$11:$T$310,0)),"")</f>
        <v/>
      </c>
      <c r="F34" s="15" t="str">
        <f>IFERROR(INDEX('Прайс-лист'!$F$11:$F$310,MATCH(ROWS($A$16:A34),'Прайс-лист'!$T$11:$T$310,0)),"")</f>
        <v/>
      </c>
      <c r="G34" s="16" t="str">
        <f>IFERROR(INDEX('Прайс-лист'!$R$11:$R$310,MATCH(ROWS($A$16:A34),'Прайс-лист'!$T$11:$T$310,0)),"")</f>
        <v/>
      </c>
      <c r="H34" s="15" t="str">
        <f>IFERROR(INDEX('Прайс-лист'!$P$11:$P$310,MATCH(ROWS($A$16:A34),'Прайс-лист'!$T$11:$T$310,0)),"")</f>
        <v/>
      </c>
      <c r="I34" s="16" t="str">
        <f>IFERROR(INDEX('Прайс-лист'!$S$11:$S$310,MATCH(ROWS($A$16:A34),'Прайс-лист'!$T$11:$T$310,0)),"")</f>
        <v/>
      </c>
      <c r="J34" s="15" t="str">
        <f>IFERROR(INDEX('Прайс-лист'!$Q$11:$Q$310,MATCH(ROWS($A$16:A34),'Прайс-лист'!$T$11:$T$310,0)),"")</f>
        <v/>
      </c>
    </row>
    <row r="35" spans="1:10" ht="15" customHeight="1" x14ac:dyDescent="0.2">
      <c r="A35" s="15" t="str">
        <f>IFERROR(IF(INDEX('Прайс-лист'!$T$11:$T$310,MATCH(ROWS($A$16:A35),'Прайс-лист'!$T$11:$T$310,0))="","",ROWS($A$16:A35)),"")</f>
        <v/>
      </c>
      <c r="B35" s="15" t="str">
        <f>IFERROR(INDEX('Прайс-лист'!$A$11:$A$310,MATCH(ROWS($A$16:A35),'Прайс-лист'!$T$11:$T$310,0)),"")</f>
        <v/>
      </c>
      <c r="C35" s="15" t="str">
        <f>IFERROR(INDEX('Прайс-лист'!$B$11:$B$310,MATCH(ROWS($A$16:A35),'Прайс-лист'!$T$11:$T$310,0)),"")</f>
        <v/>
      </c>
      <c r="D35" s="15" t="str">
        <f>IFERROR(INDEX('Прайс-лист'!$C$11:$C$310,MATCH(ROWS($A$16:A35),'Прайс-лист'!$T$11:$T$310,0)),"")</f>
        <v/>
      </c>
      <c r="E35" s="15" t="str">
        <f>IFERROR(INDEX('Прайс-лист'!$E$11:$E$310,MATCH(ROWS($A$16:A35),'Прайс-лист'!$T$11:$T$310,0)),"")</f>
        <v/>
      </c>
      <c r="F35" s="15" t="str">
        <f>IFERROR(INDEX('Прайс-лист'!$F$11:$F$310,MATCH(ROWS($A$16:A35),'Прайс-лист'!$T$11:$T$310,0)),"")</f>
        <v/>
      </c>
      <c r="G35" s="16" t="str">
        <f>IFERROR(INDEX('Прайс-лист'!$R$11:$R$310,MATCH(ROWS($A$16:A35),'Прайс-лист'!$T$11:$T$310,0)),"")</f>
        <v/>
      </c>
      <c r="H35" s="15" t="str">
        <f>IFERROR(INDEX('Прайс-лист'!$P$11:$P$310,MATCH(ROWS($A$16:A35),'Прайс-лист'!$T$11:$T$310,0)),"")</f>
        <v/>
      </c>
      <c r="I35" s="16" t="str">
        <f>IFERROR(INDEX('Прайс-лист'!$S$11:$S$310,MATCH(ROWS($A$16:A35),'Прайс-лист'!$T$11:$T$310,0)),"")</f>
        <v/>
      </c>
      <c r="J35" s="15" t="str">
        <f>IFERROR(INDEX('Прайс-лист'!$Q$11:$Q$310,MATCH(ROWS($A$16:A35),'Прайс-лист'!$T$11:$T$310,0)),"")</f>
        <v/>
      </c>
    </row>
    <row r="36" spans="1:10" ht="15" customHeight="1" x14ac:dyDescent="0.2">
      <c r="A36" s="15" t="str">
        <f>IFERROR(IF(INDEX('Прайс-лист'!$T$11:$T$310,MATCH(ROWS($A$16:A36),'Прайс-лист'!$T$11:$T$310,0))="","",ROWS($A$16:A36)),"")</f>
        <v/>
      </c>
      <c r="B36" s="15" t="str">
        <f>IFERROR(INDEX('Прайс-лист'!$A$11:$A$310,MATCH(ROWS($A$16:A36),'Прайс-лист'!$T$11:$T$310,0)),"")</f>
        <v/>
      </c>
      <c r="C36" s="15" t="str">
        <f>IFERROR(INDEX('Прайс-лист'!$B$11:$B$310,MATCH(ROWS($A$16:A36),'Прайс-лист'!$T$11:$T$310,0)),"")</f>
        <v/>
      </c>
      <c r="D36" s="15" t="str">
        <f>IFERROR(INDEX('Прайс-лист'!$C$11:$C$310,MATCH(ROWS($A$16:A36),'Прайс-лист'!$T$11:$T$310,0)),"")</f>
        <v/>
      </c>
      <c r="E36" s="15" t="str">
        <f>IFERROR(INDEX('Прайс-лист'!$E$11:$E$310,MATCH(ROWS($A$16:A36),'Прайс-лист'!$T$11:$T$310,0)),"")</f>
        <v/>
      </c>
      <c r="F36" s="15" t="str">
        <f>IFERROR(INDEX('Прайс-лист'!$F$11:$F$310,MATCH(ROWS($A$16:A36),'Прайс-лист'!$T$11:$T$310,0)),"")</f>
        <v/>
      </c>
      <c r="G36" s="16" t="str">
        <f>IFERROR(INDEX('Прайс-лист'!$R$11:$R$310,MATCH(ROWS($A$16:A36),'Прайс-лист'!$T$11:$T$310,0)),"")</f>
        <v/>
      </c>
      <c r="H36" s="15" t="str">
        <f>IFERROR(INDEX('Прайс-лист'!$P$11:$P$310,MATCH(ROWS($A$16:A36),'Прайс-лист'!$T$11:$T$310,0)),"")</f>
        <v/>
      </c>
      <c r="I36" s="16" t="str">
        <f>IFERROR(INDEX('Прайс-лист'!$S$11:$S$310,MATCH(ROWS($A$16:A36),'Прайс-лист'!$T$11:$T$310,0)),"")</f>
        <v/>
      </c>
      <c r="J36" s="15" t="str">
        <f>IFERROR(INDEX('Прайс-лист'!$Q$11:$Q$310,MATCH(ROWS($A$16:A36),'Прайс-лист'!$T$11:$T$310,0)),"")</f>
        <v/>
      </c>
    </row>
    <row r="37" spans="1:10" ht="15" customHeight="1" x14ac:dyDescent="0.2">
      <c r="A37" s="15" t="str">
        <f>IFERROR(IF(INDEX('Прайс-лист'!$T$11:$T$310,MATCH(ROWS($A$16:A37),'Прайс-лист'!$T$11:$T$310,0))="","",ROWS($A$16:A37)),"")</f>
        <v/>
      </c>
      <c r="B37" s="15" t="str">
        <f>IFERROR(INDEX('Прайс-лист'!$A$11:$A$310,MATCH(ROWS($A$16:A37),'Прайс-лист'!$T$11:$T$310,0)),"")</f>
        <v/>
      </c>
      <c r="C37" s="15" t="str">
        <f>IFERROR(INDEX('Прайс-лист'!$B$11:$B$310,MATCH(ROWS($A$16:A37),'Прайс-лист'!$T$11:$T$310,0)),"")</f>
        <v/>
      </c>
      <c r="D37" s="15" t="str">
        <f>IFERROR(INDEX('Прайс-лист'!$C$11:$C$310,MATCH(ROWS($A$16:A37),'Прайс-лист'!$T$11:$T$310,0)),"")</f>
        <v/>
      </c>
      <c r="E37" s="15" t="str">
        <f>IFERROR(INDEX('Прайс-лист'!$E$11:$E$310,MATCH(ROWS($A$16:A37),'Прайс-лист'!$T$11:$T$310,0)),"")</f>
        <v/>
      </c>
      <c r="F37" s="15" t="str">
        <f>IFERROR(INDEX('Прайс-лист'!$F$11:$F$310,MATCH(ROWS($A$16:A37),'Прайс-лист'!$T$11:$T$310,0)),"")</f>
        <v/>
      </c>
      <c r="G37" s="16" t="str">
        <f>IFERROR(INDEX('Прайс-лист'!$R$11:$R$310,MATCH(ROWS($A$16:A37),'Прайс-лист'!$T$11:$T$310,0)),"")</f>
        <v/>
      </c>
      <c r="H37" s="15" t="str">
        <f>IFERROR(INDEX('Прайс-лист'!$P$11:$P$310,MATCH(ROWS($A$16:A37),'Прайс-лист'!$T$11:$T$310,0)),"")</f>
        <v/>
      </c>
      <c r="I37" s="16" t="str">
        <f>IFERROR(INDEX('Прайс-лист'!$S$11:$S$310,MATCH(ROWS($A$16:A37),'Прайс-лист'!$T$11:$T$310,0)),"")</f>
        <v/>
      </c>
      <c r="J37" s="15" t="str">
        <f>IFERROR(INDEX('Прайс-лист'!$Q$11:$Q$310,MATCH(ROWS($A$16:A37),'Прайс-лист'!$T$11:$T$310,0)),"")</f>
        <v/>
      </c>
    </row>
    <row r="38" spans="1:10" ht="15" customHeight="1" x14ac:dyDescent="0.2">
      <c r="A38" s="15" t="str">
        <f>IFERROR(IF(INDEX('Прайс-лист'!$T$11:$T$310,MATCH(ROWS($A$16:A38),'Прайс-лист'!$T$11:$T$310,0))="","",ROWS($A$16:A38)),"")</f>
        <v/>
      </c>
      <c r="B38" s="15" t="str">
        <f>IFERROR(INDEX('Прайс-лист'!$A$11:$A$310,MATCH(ROWS($A$16:A38),'Прайс-лист'!$T$11:$T$310,0)),"")</f>
        <v/>
      </c>
      <c r="C38" s="15" t="str">
        <f>IFERROR(INDEX('Прайс-лист'!$B$11:$B$310,MATCH(ROWS($A$16:A38),'Прайс-лист'!$T$11:$T$310,0)),"")</f>
        <v/>
      </c>
      <c r="D38" s="15" t="str">
        <f>IFERROR(INDEX('Прайс-лист'!$C$11:$C$310,MATCH(ROWS($A$16:A38),'Прайс-лист'!$T$11:$T$310,0)),"")</f>
        <v/>
      </c>
      <c r="E38" s="15" t="str">
        <f>IFERROR(INDEX('Прайс-лист'!$E$11:$E$310,MATCH(ROWS($A$16:A38),'Прайс-лист'!$T$11:$T$310,0)),"")</f>
        <v/>
      </c>
      <c r="F38" s="15" t="str">
        <f>IFERROR(INDEX('Прайс-лист'!$F$11:$F$310,MATCH(ROWS($A$16:A38),'Прайс-лист'!$T$11:$T$310,0)),"")</f>
        <v/>
      </c>
      <c r="G38" s="16" t="str">
        <f>IFERROR(INDEX('Прайс-лист'!$R$11:$R$310,MATCH(ROWS($A$16:A38),'Прайс-лист'!$T$11:$T$310,0)),"")</f>
        <v/>
      </c>
      <c r="H38" s="15" t="str">
        <f>IFERROR(INDEX('Прайс-лист'!$P$11:$P$310,MATCH(ROWS($A$16:A38),'Прайс-лист'!$T$11:$T$310,0)),"")</f>
        <v/>
      </c>
      <c r="I38" s="16" t="str">
        <f>IFERROR(INDEX('Прайс-лист'!$S$11:$S$310,MATCH(ROWS($A$16:A38),'Прайс-лист'!$T$11:$T$310,0)),"")</f>
        <v/>
      </c>
      <c r="J38" s="15" t="str">
        <f>IFERROR(INDEX('Прайс-лист'!$Q$11:$Q$310,MATCH(ROWS($A$16:A38),'Прайс-лист'!$T$11:$T$310,0)),"")</f>
        <v/>
      </c>
    </row>
    <row r="39" spans="1:10" ht="15" customHeight="1" x14ac:dyDescent="0.2">
      <c r="A39" s="15" t="str">
        <f>IFERROR(IF(INDEX('Прайс-лист'!$T$11:$T$310,MATCH(ROWS($A$16:A39),'Прайс-лист'!$T$11:$T$310,0))="","",ROWS($A$16:A39)),"")</f>
        <v/>
      </c>
      <c r="B39" s="15" t="str">
        <f>IFERROR(INDEX('Прайс-лист'!$A$11:$A$310,MATCH(ROWS($A$16:A39),'Прайс-лист'!$T$11:$T$310,0)),"")</f>
        <v/>
      </c>
      <c r="C39" s="15" t="str">
        <f>IFERROR(INDEX('Прайс-лист'!$B$11:$B$310,MATCH(ROWS($A$16:A39),'Прайс-лист'!$T$11:$T$310,0)),"")</f>
        <v/>
      </c>
      <c r="D39" s="15" t="str">
        <f>IFERROR(INDEX('Прайс-лист'!$C$11:$C$310,MATCH(ROWS($A$16:A39),'Прайс-лист'!$T$11:$T$310,0)),"")</f>
        <v/>
      </c>
      <c r="E39" s="15" t="str">
        <f>IFERROR(INDEX('Прайс-лист'!$E$11:$E$310,MATCH(ROWS($A$16:A39),'Прайс-лист'!$T$11:$T$310,0)),"")</f>
        <v/>
      </c>
      <c r="F39" s="15" t="str">
        <f>IFERROR(INDEX('Прайс-лист'!$F$11:$F$310,MATCH(ROWS($A$16:A39),'Прайс-лист'!$T$11:$T$310,0)),"")</f>
        <v/>
      </c>
      <c r="G39" s="16" t="str">
        <f>IFERROR(INDEX('Прайс-лист'!$R$11:$R$310,MATCH(ROWS($A$16:A39),'Прайс-лист'!$T$11:$T$310,0)),"")</f>
        <v/>
      </c>
      <c r="H39" s="15" t="str">
        <f>IFERROR(INDEX('Прайс-лист'!$P$11:$P$310,MATCH(ROWS($A$16:A39),'Прайс-лист'!$T$11:$T$310,0)),"")</f>
        <v/>
      </c>
      <c r="I39" s="16" t="str">
        <f>IFERROR(INDEX('Прайс-лист'!$S$11:$S$310,MATCH(ROWS($A$16:A39),'Прайс-лист'!$T$11:$T$310,0)),"")</f>
        <v/>
      </c>
      <c r="J39" s="15" t="str">
        <f>IFERROR(INDEX('Прайс-лист'!$Q$11:$Q$310,MATCH(ROWS($A$16:A39),'Прайс-лист'!$T$11:$T$310,0)),"")</f>
        <v/>
      </c>
    </row>
    <row r="40" spans="1:10" ht="15" customHeight="1" x14ac:dyDescent="0.2">
      <c r="A40" s="15" t="str">
        <f>IFERROR(IF(INDEX('Прайс-лист'!$T$11:$T$310,MATCH(ROWS($A$16:A40),'Прайс-лист'!$T$11:$T$310,0))="","",ROWS($A$16:A40)),"")</f>
        <v/>
      </c>
      <c r="B40" s="15" t="str">
        <f>IFERROR(INDEX('Прайс-лист'!$A$11:$A$310,MATCH(ROWS($A$16:A40),'Прайс-лист'!$T$11:$T$310,0)),"")</f>
        <v/>
      </c>
      <c r="C40" s="15" t="str">
        <f>IFERROR(INDEX('Прайс-лист'!$B$11:$B$310,MATCH(ROWS($A$16:A40),'Прайс-лист'!$T$11:$T$310,0)),"")</f>
        <v/>
      </c>
      <c r="D40" s="15" t="str">
        <f>IFERROR(INDEX('Прайс-лист'!$C$11:$C$310,MATCH(ROWS($A$16:A40),'Прайс-лист'!$T$11:$T$310,0)),"")</f>
        <v/>
      </c>
      <c r="E40" s="15" t="str">
        <f>IFERROR(INDEX('Прайс-лист'!$E$11:$E$310,MATCH(ROWS($A$16:A40),'Прайс-лист'!$T$11:$T$310,0)),"")</f>
        <v/>
      </c>
      <c r="F40" s="15" t="str">
        <f>IFERROR(INDEX('Прайс-лист'!$F$11:$F$310,MATCH(ROWS($A$16:A40),'Прайс-лист'!$T$11:$T$310,0)),"")</f>
        <v/>
      </c>
      <c r="G40" s="16" t="str">
        <f>IFERROR(INDEX('Прайс-лист'!$R$11:$R$310,MATCH(ROWS($A$16:A40),'Прайс-лист'!$T$11:$T$310,0)),"")</f>
        <v/>
      </c>
      <c r="H40" s="15" t="str">
        <f>IFERROR(INDEX('Прайс-лист'!$P$11:$P$310,MATCH(ROWS($A$16:A40),'Прайс-лист'!$T$11:$T$310,0)),"")</f>
        <v/>
      </c>
      <c r="I40" s="16" t="str">
        <f>IFERROR(INDEX('Прайс-лист'!$S$11:$S$310,MATCH(ROWS($A$16:A40),'Прайс-лист'!$T$11:$T$310,0)),"")</f>
        <v/>
      </c>
      <c r="J40" s="15" t="str">
        <f>IFERROR(INDEX('Прайс-лист'!$Q$11:$Q$310,MATCH(ROWS($A$16:A40),'Прайс-лист'!$T$11:$T$310,0)),"")</f>
        <v/>
      </c>
    </row>
    <row r="41" spans="1:10" ht="15" customHeight="1" x14ac:dyDescent="0.2">
      <c r="A41" s="15" t="str">
        <f>IFERROR(IF(INDEX('Прайс-лист'!$T$11:$T$310,MATCH(ROWS($A$16:A41),'Прайс-лист'!$T$11:$T$310,0))="","",ROWS($A$16:A41)),"")</f>
        <v/>
      </c>
      <c r="B41" s="15" t="str">
        <f>IFERROR(INDEX('Прайс-лист'!$A$11:$A$310,MATCH(ROWS($A$16:A41),'Прайс-лист'!$T$11:$T$310,0)),"")</f>
        <v/>
      </c>
      <c r="C41" s="15" t="str">
        <f>IFERROR(INDEX('Прайс-лист'!$B$11:$B$310,MATCH(ROWS($A$16:A41),'Прайс-лист'!$T$11:$T$310,0)),"")</f>
        <v/>
      </c>
      <c r="D41" s="15" t="str">
        <f>IFERROR(INDEX('Прайс-лист'!$C$11:$C$310,MATCH(ROWS($A$16:A41),'Прайс-лист'!$T$11:$T$310,0)),"")</f>
        <v/>
      </c>
      <c r="E41" s="15" t="str">
        <f>IFERROR(INDEX('Прайс-лист'!$E$11:$E$310,MATCH(ROWS($A$16:A41),'Прайс-лист'!$T$11:$T$310,0)),"")</f>
        <v/>
      </c>
      <c r="F41" s="15" t="str">
        <f>IFERROR(INDEX('Прайс-лист'!$F$11:$F$310,MATCH(ROWS($A$16:A41),'Прайс-лист'!$T$11:$T$310,0)),"")</f>
        <v/>
      </c>
      <c r="G41" s="16" t="str">
        <f>IFERROR(INDEX('Прайс-лист'!$R$11:$R$310,MATCH(ROWS($A$16:A41),'Прайс-лист'!$T$11:$T$310,0)),"")</f>
        <v/>
      </c>
      <c r="H41" s="15" t="str">
        <f>IFERROR(INDEX('Прайс-лист'!$P$11:$P$310,MATCH(ROWS($A$16:A41),'Прайс-лист'!$T$11:$T$310,0)),"")</f>
        <v/>
      </c>
      <c r="I41" s="16" t="str">
        <f>IFERROR(INDEX('Прайс-лист'!$S$11:$S$310,MATCH(ROWS($A$16:A41),'Прайс-лист'!$T$11:$T$310,0)),"")</f>
        <v/>
      </c>
      <c r="J41" s="15" t="str">
        <f>IFERROR(INDEX('Прайс-лист'!$Q$11:$Q$310,MATCH(ROWS($A$16:A41),'Прайс-лист'!$T$11:$T$310,0)),"")</f>
        <v/>
      </c>
    </row>
    <row r="42" spans="1:10" ht="15" customHeight="1" x14ac:dyDescent="0.2">
      <c r="A42" s="15" t="str">
        <f>IFERROR(IF(INDEX('Прайс-лист'!$T$11:$T$310,MATCH(ROWS($A$16:A42),'Прайс-лист'!$T$11:$T$310,0))="","",ROWS($A$16:A42)),"")</f>
        <v/>
      </c>
      <c r="B42" s="15" t="str">
        <f>IFERROR(INDEX('Прайс-лист'!$A$11:$A$310,MATCH(ROWS($A$16:A42),'Прайс-лист'!$T$11:$T$310,0)),"")</f>
        <v/>
      </c>
      <c r="C42" s="15" t="str">
        <f>IFERROR(INDEX('Прайс-лист'!$B$11:$B$310,MATCH(ROWS($A$16:A42),'Прайс-лист'!$T$11:$T$310,0)),"")</f>
        <v/>
      </c>
      <c r="D42" s="15" t="str">
        <f>IFERROR(INDEX('Прайс-лист'!$C$11:$C$310,MATCH(ROWS($A$16:A42),'Прайс-лист'!$T$11:$T$310,0)),"")</f>
        <v/>
      </c>
      <c r="E42" s="15" t="str">
        <f>IFERROR(INDEX('Прайс-лист'!$E$11:$E$310,MATCH(ROWS($A$16:A42),'Прайс-лист'!$T$11:$T$310,0)),"")</f>
        <v/>
      </c>
      <c r="F42" s="15" t="str">
        <f>IFERROR(INDEX('Прайс-лист'!$F$11:$F$310,MATCH(ROWS($A$16:A42),'Прайс-лист'!$T$11:$T$310,0)),"")</f>
        <v/>
      </c>
      <c r="G42" s="16" t="str">
        <f>IFERROR(INDEX('Прайс-лист'!$R$11:$R$310,MATCH(ROWS($A$16:A42),'Прайс-лист'!$T$11:$T$310,0)),"")</f>
        <v/>
      </c>
      <c r="H42" s="15" t="str">
        <f>IFERROR(INDEX('Прайс-лист'!$P$11:$P$310,MATCH(ROWS($A$16:A42),'Прайс-лист'!$T$11:$T$310,0)),"")</f>
        <v/>
      </c>
      <c r="I42" s="16" t="str">
        <f>IFERROR(INDEX('Прайс-лист'!$S$11:$S$310,MATCH(ROWS($A$16:A42),'Прайс-лист'!$T$11:$T$310,0)),"")</f>
        <v/>
      </c>
      <c r="J42" s="15" t="str">
        <f>IFERROR(INDEX('Прайс-лист'!$Q$11:$Q$310,MATCH(ROWS($A$16:A42),'Прайс-лист'!$T$11:$T$310,0)),"")</f>
        <v/>
      </c>
    </row>
    <row r="43" spans="1:10" ht="15" customHeight="1" x14ac:dyDescent="0.2">
      <c r="A43" s="15" t="str">
        <f>IFERROR(IF(INDEX('Прайс-лист'!$T$11:$T$310,MATCH(ROWS($A$16:A43),'Прайс-лист'!$T$11:$T$310,0))="","",ROWS($A$16:A43)),"")</f>
        <v/>
      </c>
      <c r="B43" s="15" t="str">
        <f>IFERROR(INDEX('Прайс-лист'!$A$11:$A$310,MATCH(ROWS($A$16:A43),'Прайс-лист'!$T$11:$T$310,0)),"")</f>
        <v/>
      </c>
      <c r="C43" s="15" t="str">
        <f>IFERROR(INDEX('Прайс-лист'!$B$11:$B$310,MATCH(ROWS($A$16:A43),'Прайс-лист'!$T$11:$T$310,0)),"")</f>
        <v/>
      </c>
      <c r="D43" s="15" t="str">
        <f>IFERROR(INDEX('Прайс-лист'!$C$11:$C$310,MATCH(ROWS($A$16:A43),'Прайс-лист'!$T$11:$T$310,0)),"")</f>
        <v/>
      </c>
      <c r="E43" s="15" t="str">
        <f>IFERROR(INDEX('Прайс-лист'!$E$11:$E$310,MATCH(ROWS($A$16:A43),'Прайс-лист'!$T$11:$T$310,0)),"")</f>
        <v/>
      </c>
      <c r="F43" s="15" t="str">
        <f>IFERROR(INDEX('Прайс-лист'!$F$11:$F$310,MATCH(ROWS($A$16:A43),'Прайс-лист'!$T$11:$T$310,0)),"")</f>
        <v/>
      </c>
      <c r="G43" s="16" t="str">
        <f>IFERROR(INDEX('Прайс-лист'!$R$11:$R$310,MATCH(ROWS($A$16:A43),'Прайс-лист'!$T$11:$T$310,0)),"")</f>
        <v/>
      </c>
      <c r="H43" s="15" t="str">
        <f>IFERROR(INDEX('Прайс-лист'!$P$11:$P$310,MATCH(ROWS($A$16:A43),'Прайс-лист'!$T$11:$T$310,0)),"")</f>
        <v/>
      </c>
      <c r="I43" s="16" t="str">
        <f>IFERROR(INDEX('Прайс-лист'!$S$11:$S$310,MATCH(ROWS($A$16:A43),'Прайс-лист'!$T$11:$T$310,0)),"")</f>
        <v/>
      </c>
      <c r="J43" s="15" t="str">
        <f>IFERROR(INDEX('Прайс-лист'!$Q$11:$Q$310,MATCH(ROWS($A$16:A43),'Прайс-лист'!$T$11:$T$310,0)),"")</f>
        <v/>
      </c>
    </row>
    <row r="44" spans="1:10" ht="15" customHeight="1" x14ac:dyDescent="0.2">
      <c r="A44" s="15" t="str">
        <f>IFERROR(IF(INDEX('Прайс-лист'!$T$11:$T$310,MATCH(ROWS($A$16:A44),'Прайс-лист'!$T$11:$T$310,0))="","",ROWS($A$16:A44)),"")</f>
        <v/>
      </c>
      <c r="B44" s="15" t="str">
        <f>IFERROR(INDEX('Прайс-лист'!$A$11:$A$310,MATCH(ROWS($A$16:A44),'Прайс-лист'!$T$11:$T$310,0)),"")</f>
        <v/>
      </c>
      <c r="C44" s="15" t="str">
        <f>IFERROR(INDEX('Прайс-лист'!$B$11:$B$310,MATCH(ROWS($A$16:A44),'Прайс-лист'!$T$11:$T$310,0)),"")</f>
        <v/>
      </c>
      <c r="D44" s="15" t="str">
        <f>IFERROR(INDEX('Прайс-лист'!$C$11:$C$310,MATCH(ROWS($A$16:A44),'Прайс-лист'!$T$11:$T$310,0)),"")</f>
        <v/>
      </c>
      <c r="E44" s="15" t="str">
        <f>IFERROR(INDEX('Прайс-лист'!$E$11:$E$310,MATCH(ROWS($A$16:A44),'Прайс-лист'!$T$11:$T$310,0)),"")</f>
        <v/>
      </c>
      <c r="F44" s="15" t="str">
        <f>IFERROR(INDEX('Прайс-лист'!$F$11:$F$310,MATCH(ROWS($A$16:A44),'Прайс-лист'!$T$11:$T$310,0)),"")</f>
        <v/>
      </c>
      <c r="G44" s="16" t="str">
        <f>IFERROR(INDEX('Прайс-лист'!$R$11:$R$310,MATCH(ROWS($A$16:A44),'Прайс-лист'!$T$11:$T$310,0)),"")</f>
        <v/>
      </c>
      <c r="H44" s="15" t="str">
        <f>IFERROR(INDEX('Прайс-лист'!$P$11:$P$310,MATCH(ROWS($A$16:A44),'Прайс-лист'!$T$11:$T$310,0)),"")</f>
        <v/>
      </c>
      <c r="I44" s="16" t="str">
        <f>IFERROR(INDEX('Прайс-лист'!$S$11:$S$310,MATCH(ROWS($A$16:A44),'Прайс-лист'!$T$11:$T$310,0)),"")</f>
        <v/>
      </c>
      <c r="J44" s="15" t="str">
        <f>IFERROR(INDEX('Прайс-лист'!$Q$11:$Q$310,MATCH(ROWS($A$16:A44),'Прайс-лист'!$T$11:$T$310,0)),"")</f>
        <v/>
      </c>
    </row>
    <row r="45" spans="1:10" ht="15" customHeight="1" x14ac:dyDescent="0.2">
      <c r="A45" s="15" t="str">
        <f>IFERROR(IF(INDEX('Прайс-лист'!$T$11:$T$310,MATCH(ROWS($A$16:A45),'Прайс-лист'!$T$11:$T$310,0))="","",ROWS($A$16:A45)),"")</f>
        <v/>
      </c>
      <c r="B45" s="15" t="str">
        <f>IFERROR(INDEX('Прайс-лист'!$A$11:$A$310,MATCH(ROWS($A$16:A45),'Прайс-лист'!$T$11:$T$310,0)),"")</f>
        <v/>
      </c>
      <c r="C45" s="15" t="str">
        <f>IFERROR(INDEX('Прайс-лист'!$B$11:$B$310,MATCH(ROWS($A$16:A45),'Прайс-лист'!$T$11:$T$310,0)),"")</f>
        <v/>
      </c>
      <c r="D45" s="15" t="str">
        <f>IFERROR(INDEX('Прайс-лист'!$C$11:$C$310,MATCH(ROWS($A$16:A45),'Прайс-лист'!$T$11:$T$310,0)),"")</f>
        <v/>
      </c>
      <c r="E45" s="15" t="str">
        <f>IFERROR(INDEX('Прайс-лист'!$E$11:$E$310,MATCH(ROWS($A$16:A45),'Прайс-лист'!$T$11:$T$310,0)),"")</f>
        <v/>
      </c>
      <c r="F45" s="15" t="str">
        <f>IFERROR(INDEX('Прайс-лист'!$F$11:$F$310,MATCH(ROWS($A$16:A45),'Прайс-лист'!$T$11:$T$310,0)),"")</f>
        <v/>
      </c>
      <c r="G45" s="16" t="str">
        <f>IFERROR(INDEX('Прайс-лист'!$R$11:$R$310,MATCH(ROWS($A$16:A45),'Прайс-лист'!$T$11:$T$310,0)),"")</f>
        <v/>
      </c>
      <c r="H45" s="15" t="str">
        <f>IFERROR(INDEX('Прайс-лист'!$P$11:$P$310,MATCH(ROWS($A$16:A45),'Прайс-лист'!$T$11:$T$310,0)),"")</f>
        <v/>
      </c>
      <c r="I45" s="16" t="str">
        <f>IFERROR(INDEX('Прайс-лист'!$S$11:$S$310,MATCH(ROWS($A$16:A45),'Прайс-лист'!$T$11:$T$310,0)),"")</f>
        <v/>
      </c>
      <c r="J45" s="15" t="str">
        <f>IFERROR(INDEX('Прайс-лист'!$Q$11:$Q$310,MATCH(ROWS($A$16:A45),'Прайс-лист'!$T$11:$T$310,0)),"")</f>
        <v/>
      </c>
    </row>
    <row r="46" spans="1:10" ht="15" customHeight="1" x14ac:dyDescent="0.2">
      <c r="A46" s="15" t="str">
        <f>IFERROR(IF(INDEX('Прайс-лист'!$T$11:$T$310,MATCH(ROWS($A$16:A46),'Прайс-лист'!$T$11:$T$310,0))="","",ROWS($A$16:A46)),"")</f>
        <v/>
      </c>
      <c r="B46" s="15" t="str">
        <f>IFERROR(INDEX('Прайс-лист'!$A$11:$A$310,MATCH(ROWS($A$16:A46),'Прайс-лист'!$T$11:$T$310,0)),"")</f>
        <v/>
      </c>
      <c r="C46" s="15" t="str">
        <f>IFERROR(INDEX('Прайс-лист'!$B$11:$B$310,MATCH(ROWS($A$16:A46),'Прайс-лист'!$T$11:$T$310,0)),"")</f>
        <v/>
      </c>
      <c r="D46" s="15" t="str">
        <f>IFERROR(INDEX('Прайс-лист'!$C$11:$C$310,MATCH(ROWS($A$16:A46),'Прайс-лист'!$T$11:$T$310,0)),"")</f>
        <v/>
      </c>
      <c r="E46" s="15" t="str">
        <f>IFERROR(INDEX('Прайс-лист'!$E$11:$E$310,MATCH(ROWS($A$16:A46),'Прайс-лист'!$T$11:$T$310,0)),"")</f>
        <v/>
      </c>
      <c r="F46" s="15" t="str">
        <f>IFERROR(INDEX('Прайс-лист'!$F$11:$F$310,MATCH(ROWS($A$16:A46),'Прайс-лист'!$T$11:$T$310,0)),"")</f>
        <v/>
      </c>
      <c r="G46" s="16" t="str">
        <f>IFERROR(INDEX('Прайс-лист'!$R$11:$R$310,MATCH(ROWS($A$16:A46),'Прайс-лист'!$T$11:$T$310,0)),"")</f>
        <v/>
      </c>
      <c r="H46" s="15" t="str">
        <f>IFERROR(INDEX('Прайс-лист'!$P$11:$P$310,MATCH(ROWS($A$16:A46),'Прайс-лист'!$T$11:$T$310,0)),"")</f>
        <v/>
      </c>
      <c r="I46" s="16" t="str">
        <f>IFERROR(INDEX('Прайс-лист'!$S$11:$S$310,MATCH(ROWS($A$16:A46),'Прайс-лист'!$T$11:$T$310,0)),"")</f>
        <v/>
      </c>
      <c r="J46" s="15" t="str">
        <f>IFERROR(INDEX('Прайс-лист'!$Q$11:$Q$310,MATCH(ROWS($A$16:A46),'Прайс-лист'!$T$11:$T$310,0)),"")</f>
        <v/>
      </c>
    </row>
    <row r="47" spans="1:10" ht="15" customHeight="1" x14ac:dyDescent="0.2">
      <c r="A47" s="15" t="str">
        <f>IFERROR(IF(INDEX('Прайс-лист'!$T$11:$T$310,MATCH(ROWS($A$16:A47),'Прайс-лист'!$T$11:$T$310,0))="","",ROWS($A$16:A47)),"")</f>
        <v/>
      </c>
      <c r="B47" s="15" t="str">
        <f>IFERROR(INDEX('Прайс-лист'!$A$11:$A$310,MATCH(ROWS($A$16:A47),'Прайс-лист'!$T$11:$T$310,0)),"")</f>
        <v/>
      </c>
      <c r="C47" s="15" t="str">
        <f>IFERROR(INDEX('Прайс-лист'!$B$11:$B$310,MATCH(ROWS($A$16:A47),'Прайс-лист'!$T$11:$T$310,0)),"")</f>
        <v/>
      </c>
      <c r="D47" s="15" t="str">
        <f>IFERROR(INDEX('Прайс-лист'!$C$11:$C$310,MATCH(ROWS($A$16:A47),'Прайс-лист'!$T$11:$T$310,0)),"")</f>
        <v/>
      </c>
      <c r="E47" s="15" t="str">
        <f>IFERROR(INDEX('Прайс-лист'!$E$11:$E$310,MATCH(ROWS($A$16:A47),'Прайс-лист'!$T$11:$T$310,0)),"")</f>
        <v/>
      </c>
      <c r="F47" s="15" t="str">
        <f>IFERROR(INDEX('Прайс-лист'!$F$11:$F$310,MATCH(ROWS($A$16:A47),'Прайс-лист'!$T$11:$T$310,0)),"")</f>
        <v/>
      </c>
      <c r="G47" s="16" t="str">
        <f>IFERROR(INDEX('Прайс-лист'!$R$11:$R$310,MATCH(ROWS($A$16:A47),'Прайс-лист'!$T$11:$T$310,0)),"")</f>
        <v/>
      </c>
      <c r="H47" s="15" t="str">
        <f>IFERROR(INDEX('Прайс-лист'!$P$11:$P$310,MATCH(ROWS($A$16:A47),'Прайс-лист'!$T$11:$T$310,0)),"")</f>
        <v/>
      </c>
      <c r="I47" s="16" t="str">
        <f>IFERROR(INDEX('Прайс-лист'!$S$11:$S$310,MATCH(ROWS($A$16:A47),'Прайс-лист'!$T$11:$T$310,0)),"")</f>
        <v/>
      </c>
      <c r="J47" s="15" t="str">
        <f>IFERROR(INDEX('Прайс-лист'!$Q$11:$Q$310,MATCH(ROWS($A$16:A47),'Прайс-лист'!$T$11:$T$310,0)),"")</f>
        <v/>
      </c>
    </row>
    <row r="48" spans="1:10" ht="15" customHeight="1" x14ac:dyDescent="0.2">
      <c r="A48" s="15" t="str">
        <f>IFERROR(IF(INDEX('Прайс-лист'!$T$11:$T$310,MATCH(ROWS($A$16:A48),'Прайс-лист'!$T$11:$T$310,0))="","",ROWS($A$16:A48)),"")</f>
        <v/>
      </c>
      <c r="B48" s="15" t="str">
        <f>IFERROR(INDEX('Прайс-лист'!$A$11:$A$310,MATCH(ROWS($A$16:A48),'Прайс-лист'!$T$11:$T$310,0)),"")</f>
        <v/>
      </c>
      <c r="C48" s="15" t="str">
        <f>IFERROR(INDEX('Прайс-лист'!$B$11:$B$310,MATCH(ROWS($A$16:A48),'Прайс-лист'!$T$11:$T$310,0)),"")</f>
        <v/>
      </c>
      <c r="D48" s="15" t="str">
        <f>IFERROR(INDEX('Прайс-лист'!$C$11:$C$310,MATCH(ROWS($A$16:A48),'Прайс-лист'!$T$11:$T$310,0)),"")</f>
        <v/>
      </c>
      <c r="E48" s="15" t="str">
        <f>IFERROR(INDEX('Прайс-лист'!$E$11:$E$310,MATCH(ROWS($A$16:A48),'Прайс-лист'!$T$11:$T$310,0)),"")</f>
        <v/>
      </c>
      <c r="F48" s="15" t="str">
        <f>IFERROR(INDEX('Прайс-лист'!$F$11:$F$310,MATCH(ROWS($A$16:A48),'Прайс-лист'!$T$11:$T$310,0)),"")</f>
        <v/>
      </c>
      <c r="G48" s="16" t="str">
        <f>IFERROR(INDEX('Прайс-лист'!$R$11:$R$310,MATCH(ROWS($A$16:A48),'Прайс-лист'!$T$11:$T$310,0)),"")</f>
        <v/>
      </c>
      <c r="H48" s="15" t="str">
        <f>IFERROR(INDEX('Прайс-лист'!$P$11:$P$310,MATCH(ROWS($A$16:A48),'Прайс-лист'!$T$11:$T$310,0)),"")</f>
        <v/>
      </c>
      <c r="I48" s="16" t="str">
        <f>IFERROR(INDEX('Прайс-лист'!$S$11:$S$310,MATCH(ROWS($A$16:A48),'Прайс-лист'!$T$11:$T$310,0)),"")</f>
        <v/>
      </c>
      <c r="J48" s="15" t="str">
        <f>IFERROR(INDEX('Прайс-лист'!$Q$11:$Q$310,MATCH(ROWS($A$16:A48),'Прайс-лист'!$T$11:$T$310,0)),"")</f>
        <v/>
      </c>
    </row>
    <row r="49" spans="1:10" ht="15" customHeight="1" x14ac:dyDescent="0.2">
      <c r="A49" s="15" t="str">
        <f>IFERROR(IF(INDEX('Прайс-лист'!$T$11:$T$310,MATCH(ROWS($A$16:A49),'Прайс-лист'!$T$11:$T$310,0))="","",ROWS($A$16:A49)),"")</f>
        <v/>
      </c>
      <c r="B49" s="15" t="str">
        <f>IFERROR(INDEX('Прайс-лист'!$A$11:$A$310,MATCH(ROWS($A$16:A49),'Прайс-лист'!$T$11:$T$310,0)),"")</f>
        <v/>
      </c>
      <c r="C49" s="15" t="str">
        <f>IFERROR(INDEX('Прайс-лист'!$B$11:$B$310,MATCH(ROWS($A$16:A49),'Прайс-лист'!$T$11:$T$310,0)),"")</f>
        <v/>
      </c>
      <c r="D49" s="15" t="str">
        <f>IFERROR(INDEX('Прайс-лист'!$C$11:$C$310,MATCH(ROWS($A$16:A49),'Прайс-лист'!$T$11:$T$310,0)),"")</f>
        <v/>
      </c>
      <c r="E49" s="15" t="str">
        <f>IFERROR(INDEX('Прайс-лист'!$E$11:$E$310,MATCH(ROWS($A$16:A49),'Прайс-лист'!$T$11:$T$310,0)),"")</f>
        <v/>
      </c>
      <c r="F49" s="15" t="str">
        <f>IFERROR(INDEX('Прайс-лист'!$F$11:$F$310,MATCH(ROWS($A$16:A49),'Прайс-лист'!$T$11:$T$310,0)),"")</f>
        <v/>
      </c>
      <c r="G49" s="16" t="str">
        <f>IFERROR(INDEX('Прайс-лист'!$R$11:$R$310,MATCH(ROWS($A$16:A49),'Прайс-лист'!$T$11:$T$310,0)),"")</f>
        <v/>
      </c>
      <c r="H49" s="15" t="str">
        <f>IFERROR(INDEX('Прайс-лист'!$P$11:$P$310,MATCH(ROWS($A$16:A49),'Прайс-лист'!$T$11:$T$310,0)),"")</f>
        <v/>
      </c>
      <c r="I49" s="16" t="str">
        <f>IFERROR(INDEX('Прайс-лист'!$S$11:$S$310,MATCH(ROWS($A$16:A49),'Прайс-лист'!$T$11:$T$310,0)),"")</f>
        <v/>
      </c>
      <c r="J49" s="15" t="str">
        <f>IFERROR(INDEX('Прайс-лист'!$Q$11:$Q$310,MATCH(ROWS($A$16:A49),'Прайс-лист'!$T$11:$T$310,0)),"")</f>
        <v/>
      </c>
    </row>
    <row r="50" spans="1:10" ht="15" customHeight="1" x14ac:dyDescent="0.2">
      <c r="A50" s="15" t="str">
        <f>IFERROR(IF(INDEX('Прайс-лист'!$T$11:$T$310,MATCH(ROWS($A$16:A50),'Прайс-лист'!$T$11:$T$310,0))="","",ROWS($A$16:A50)),"")</f>
        <v/>
      </c>
      <c r="B50" s="15" t="str">
        <f>IFERROR(INDEX('Прайс-лист'!$A$11:$A$310,MATCH(ROWS($A$16:A50),'Прайс-лист'!$T$11:$T$310,0)),"")</f>
        <v/>
      </c>
      <c r="C50" s="15" t="str">
        <f>IFERROR(INDEX('Прайс-лист'!$B$11:$B$310,MATCH(ROWS($A$16:A50),'Прайс-лист'!$T$11:$T$310,0)),"")</f>
        <v/>
      </c>
      <c r="D50" s="15" t="str">
        <f>IFERROR(INDEX('Прайс-лист'!$C$11:$C$310,MATCH(ROWS($A$16:A50),'Прайс-лист'!$T$11:$T$310,0)),"")</f>
        <v/>
      </c>
      <c r="E50" s="15" t="str">
        <f>IFERROR(INDEX('Прайс-лист'!$E$11:$E$310,MATCH(ROWS($A$16:A50),'Прайс-лист'!$T$11:$T$310,0)),"")</f>
        <v/>
      </c>
      <c r="F50" s="15" t="str">
        <f>IFERROR(INDEX('Прайс-лист'!$F$11:$F$310,MATCH(ROWS($A$16:A50),'Прайс-лист'!$T$11:$T$310,0)),"")</f>
        <v/>
      </c>
      <c r="G50" s="16" t="str">
        <f>IFERROR(INDEX('Прайс-лист'!$R$11:$R$310,MATCH(ROWS($A$16:A50),'Прайс-лист'!$T$11:$T$310,0)),"")</f>
        <v/>
      </c>
      <c r="H50" s="15" t="str">
        <f>IFERROR(INDEX('Прайс-лист'!$P$11:$P$310,MATCH(ROWS($A$16:A50),'Прайс-лист'!$T$11:$T$310,0)),"")</f>
        <v/>
      </c>
      <c r="I50" s="16" t="str">
        <f>IFERROR(INDEX('Прайс-лист'!$S$11:$S$310,MATCH(ROWS($A$16:A50),'Прайс-лист'!$T$11:$T$310,0)),"")</f>
        <v/>
      </c>
      <c r="J50" s="15" t="str">
        <f>IFERROR(INDEX('Прайс-лист'!$Q$11:$Q$310,MATCH(ROWS($A$16:A50),'Прайс-лист'!$T$11:$T$310,0)),"")</f>
        <v/>
      </c>
    </row>
    <row r="51" spans="1:10" ht="15" customHeight="1" x14ac:dyDescent="0.2">
      <c r="A51" s="15" t="str">
        <f>IFERROR(IF(INDEX('Прайс-лист'!$T$11:$T$310,MATCH(ROWS($A$16:A51),'Прайс-лист'!$T$11:$T$310,0))="","",ROWS($A$16:A51)),"")</f>
        <v/>
      </c>
      <c r="B51" s="15" t="str">
        <f>IFERROR(INDEX('Прайс-лист'!$A$11:$A$310,MATCH(ROWS($A$16:A51),'Прайс-лист'!$T$11:$T$310,0)),"")</f>
        <v/>
      </c>
      <c r="C51" s="15" t="str">
        <f>IFERROR(INDEX('Прайс-лист'!$B$11:$B$310,MATCH(ROWS($A$16:A51),'Прайс-лист'!$T$11:$T$310,0)),"")</f>
        <v/>
      </c>
      <c r="D51" s="15" t="str">
        <f>IFERROR(INDEX('Прайс-лист'!$C$11:$C$310,MATCH(ROWS($A$16:A51),'Прайс-лист'!$T$11:$T$310,0)),"")</f>
        <v/>
      </c>
      <c r="E51" s="15" t="str">
        <f>IFERROR(INDEX('Прайс-лист'!$E$11:$E$310,MATCH(ROWS($A$16:A51),'Прайс-лист'!$T$11:$T$310,0)),"")</f>
        <v/>
      </c>
      <c r="F51" s="15" t="str">
        <f>IFERROR(INDEX('Прайс-лист'!$F$11:$F$310,MATCH(ROWS($A$16:A51),'Прайс-лист'!$T$11:$T$310,0)),"")</f>
        <v/>
      </c>
      <c r="G51" s="16" t="str">
        <f>IFERROR(INDEX('Прайс-лист'!$R$11:$R$310,MATCH(ROWS($A$16:A51),'Прайс-лист'!$T$11:$T$310,0)),"")</f>
        <v/>
      </c>
      <c r="H51" s="15" t="str">
        <f>IFERROR(INDEX('Прайс-лист'!$P$11:$P$310,MATCH(ROWS($A$16:A51),'Прайс-лист'!$T$11:$T$310,0)),"")</f>
        <v/>
      </c>
      <c r="I51" s="16" t="str">
        <f>IFERROR(INDEX('Прайс-лист'!$S$11:$S$310,MATCH(ROWS($A$16:A51),'Прайс-лист'!$T$11:$T$310,0)),"")</f>
        <v/>
      </c>
      <c r="J51" s="15" t="str">
        <f>IFERROR(INDEX('Прайс-лист'!$Q$11:$Q$310,MATCH(ROWS($A$16:A51),'Прайс-лист'!$T$11:$T$310,0)),"")</f>
        <v/>
      </c>
    </row>
    <row r="52" spans="1:10" ht="15" customHeight="1" x14ac:dyDescent="0.2">
      <c r="A52" s="15" t="str">
        <f>IFERROR(IF(INDEX('Прайс-лист'!$T$11:$T$310,MATCH(ROWS($A$16:A52),'Прайс-лист'!$T$11:$T$310,0))="","",ROWS($A$16:A52)),"")</f>
        <v/>
      </c>
      <c r="B52" s="15" t="str">
        <f>IFERROR(INDEX('Прайс-лист'!$A$11:$A$310,MATCH(ROWS($A$16:A52),'Прайс-лист'!$T$11:$T$310,0)),"")</f>
        <v/>
      </c>
      <c r="C52" s="15" t="str">
        <f>IFERROR(INDEX('Прайс-лист'!$B$11:$B$310,MATCH(ROWS($A$16:A52),'Прайс-лист'!$T$11:$T$310,0)),"")</f>
        <v/>
      </c>
      <c r="D52" s="15" t="str">
        <f>IFERROR(INDEX('Прайс-лист'!$C$11:$C$310,MATCH(ROWS($A$16:A52),'Прайс-лист'!$T$11:$T$310,0)),"")</f>
        <v/>
      </c>
      <c r="E52" s="15" t="str">
        <f>IFERROR(INDEX('Прайс-лист'!$E$11:$E$310,MATCH(ROWS($A$16:A52),'Прайс-лист'!$T$11:$T$310,0)),"")</f>
        <v/>
      </c>
      <c r="F52" s="15" t="str">
        <f>IFERROR(INDEX('Прайс-лист'!$F$11:$F$310,MATCH(ROWS($A$16:A52),'Прайс-лист'!$T$11:$T$310,0)),"")</f>
        <v/>
      </c>
      <c r="G52" s="16" t="str">
        <f>IFERROR(INDEX('Прайс-лист'!$R$11:$R$310,MATCH(ROWS($A$16:A52),'Прайс-лист'!$T$11:$T$310,0)),"")</f>
        <v/>
      </c>
      <c r="H52" s="15" t="str">
        <f>IFERROR(INDEX('Прайс-лист'!$P$11:$P$310,MATCH(ROWS($A$16:A52),'Прайс-лист'!$T$11:$T$310,0)),"")</f>
        <v/>
      </c>
      <c r="I52" s="16" t="str">
        <f>IFERROR(INDEX('Прайс-лист'!$S$11:$S$310,MATCH(ROWS($A$16:A52),'Прайс-лист'!$T$11:$T$310,0)),"")</f>
        <v/>
      </c>
      <c r="J52" s="15" t="str">
        <f>IFERROR(INDEX('Прайс-лист'!$Q$11:$Q$310,MATCH(ROWS($A$16:A52),'Прайс-лист'!$T$11:$T$310,0)),"")</f>
        <v/>
      </c>
    </row>
    <row r="53" spans="1:10" ht="15" customHeight="1" x14ac:dyDescent="0.2">
      <c r="A53" s="15" t="str">
        <f>IFERROR(IF(INDEX('Прайс-лист'!$T$11:$T$310,MATCH(ROWS($A$16:A53),'Прайс-лист'!$T$11:$T$310,0))="","",ROWS($A$16:A53)),"")</f>
        <v/>
      </c>
      <c r="B53" s="15" t="str">
        <f>IFERROR(INDEX('Прайс-лист'!$A$11:$A$310,MATCH(ROWS($A$16:A53),'Прайс-лист'!$T$11:$T$310,0)),"")</f>
        <v/>
      </c>
      <c r="C53" s="15" t="str">
        <f>IFERROR(INDEX('Прайс-лист'!$B$11:$B$310,MATCH(ROWS($A$16:A53),'Прайс-лист'!$T$11:$T$310,0)),"")</f>
        <v/>
      </c>
      <c r="D53" s="15" t="str">
        <f>IFERROR(INDEX('Прайс-лист'!$C$11:$C$310,MATCH(ROWS($A$16:A53),'Прайс-лист'!$T$11:$T$310,0)),"")</f>
        <v/>
      </c>
      <c r="E53" s="15" t="str">
        <f>IFERROR(INDEX('Прайс-лист'!$E$11:$E$310,MATCH(ROWS($A$16:A53),'Прайс-лист'!$T$11:$T$310,0)),"")</f>
        <v/>
      </c>
      <c r="F53" s="15" t="str">
        <f>IFERROR(INDEX('Прайс-лист'!$F$11:$F$310,MATCH(ROWS($A$16:A53),'Прайс-лист'!$T$11:$T$310,0)),"")</f>
        <v/>
      </c>
      <c r="G53" s="16" t="str">
        <f>IFERROR(INDEX('Прайс-лист'!$R$11:$R$310,MATCH(ROWS($A$16:A53),'Прайс-лист'!$T$11:$T$310,0)),"")</f>
        <v/>
      </c>
      <c r="H53" s="15" t="str">
        <f>IFERROR(INDEX('Прайс-лист'!$P$11:$P$310,MATCH(ROWS($A$16:A53),'Прайс-лист'!$T$11:$T$310,0)),"")</f>
        <v/>
      </c>
      <c r="I53" s="16" t="str">
        <f>IFERROR(INDEX('Прайс-лист'!$S$11:$S$310,MATCH(ROWS($A$16:A53),'Прайс-лист'!$T$11:$T$310,0)),"")</f>
        <v/>
      </c>
      <c r="J53" s="15" t="str">
        <f>IFERROR(INDEX('Прайс-лист'!$Q$11:$Q$310,MATCH(ROWS($A$16:A53),'Прайс-лист'!$T$11:$T$310,0)),"")</f>
        <v/>
      </c>
    </row>
    <row r="54" spans="1:10" ht="15" customHeight="1" x14ac:dyDescent="0.2">
      <c r="A54" s="15" t="str">
        <f>IFERROR(IF(INDEX('Прайс-лист'!$T$11:$T$310,MATCH(ROWS($A$16:A54),'Прайс-лист'!$T$11:$T$310,0))="","",ROWS($A$16:A54)),"")</f>
        <v/>
      </c>
      <c r="B54" s="15" t="str">
        <f>IFERROR(INDEX('Прайс-лист'!$A$11:$A$310,MATCH(ROWS($A$16:A54),'Прайс-лист'!$T$11:$T$310,0)),"")</f>
        <v/>
      </c>
      <c r="C54" s="15" t="str">
        <f>IFERROR(INDEX('Прайс-лист'!$B$11:$B$310,MATCH(ROWS($A$16:A54),'Прайс-лист'!$T$11:$T$310,0)),"")</f>
        <v/>
      </c>
      <c r="D54" s="15" t="str">
        <f>IFERROR(INDEX('Прайс-лист'!$C$11:$C$310,MATCH(ROWS($A$16:A54),'Прайс-лист'!$T$11:$T$310,0)),"")</f>
        <v/>
      </c>
      <c r="E54" s="15" t="str">
        <f>IFERROR(INDEX('Прайс-лист'!$E$11:$E$310,MATCH(ROWS($A$16:A54),'Прайс-лист'!$T$11:$T$310,0)),"")</f>
        <v/>
      </c>
      <c r="F54" s="15" t="str">
        <f>IFERROR(INDEX('Прайс-лист'!$F$11:$F$310,MATCH(ROWS($A$16:A54),'Прайс-лист'!$T$11:$T$310,0)),"")</f>
        <v/>
      </c>
      <c r="G54" s="16" t="str">
        <f>IFERROR(INDEX('Прайс-лист'!$R$11:$R$310,MATCH(ROWS($A$16:A54),'Прайс-лист'!$T$11:$T$310,0)),"")</f>
        <v/>
      </c>
      <c r="H54" s="15" t="str">
        <f>IFERROR(INDEX('Прайс-лист'!$P$11:$P$310,MATCH(ROWS($A$16:A54),'Прайс-лист'!$T$11:$T$310,0)),"")</f>
        <v/>
      </c>
      <c r="I54" s="16" t="str">
        <f>IFERROR(INDEX('Прайс-лист'!$S$11:$S$310,MATCH(ROWS($A$16:A54),'Прайс-лист'!$T$11:$T$310,0)),"")</f>
        <v/>
      </c>
      <c r="J54" s="15" t="str">
        <f>IFERROR(INDEX('Прайс-лист'!$Q$11:$Q$310,MATCH(ROWS($A$16:A54),'Прайс-лист'!$T$11:$T$310,0)),"")</f>
        <v/>
      </c>
    </row>
    <row r="55" spans="1:10" ht="15" customHeight="1" x14ac:dyDescent="0.2">
      <c r="A55" s="15" t="str">
        <f>IFERROR(IF(INDEX('Прайс-лист'!$T$11:$T$310,MATCH(ROWS($A$16:A55),'Прайс-лист'!$T$11:$T$310,0))="","",ROWS($A$16:A55)),"")</f>
        <v/>
      </c>
      <c r="B55" s="15" t="str">
        <f>IFERROR(INDEX('Прайс-лист'!$A$11:$A$310,MATCH(ROWS($A$16:A55),'Прайс-лист'!$T$11:$T$310,0)),"")</f>
        <v/>
      </c>
      <c r="C55" s="15" t="str">
        <f>IFERROR(INDEX('Прайс-лист'!$B$11:$B$310,MATCH(ROWS($A$16:A55),'Прайс-лист'!$T$11:$T$310,0)),"")</f>
        <v/>
      </c>
      <c r="D55" s="15" t="str">
        <f>IFERROR(INDEX('Прайс-лист'!$C$11:$C$310,MATCH(ROWS($A$16:A55),'Прайс-лист'!$T$11:$T$310,0)),"")</f>
        <v/>
      </c>
      <c r="E55" s="15" t="str">
        <f>IFERROR(INDEX('Прайс-лист'!$E$11:$E$310,MATCH(ROWS($A$16:A55),'Прайс-лист'!$T$11:$T$310,0)),"")</f>
        <v/>
      </c>
      <c r="F55" s="15" t="str">
        <f>IFERROR(INDEX('Прайс-лист'!$F$11:$F$310,MATCH(ROWS($A$16:A55),'Прайс-лист'!$T$11:$T$310,0)),"")</f>
        <v/>
      </c>
      <c r="G55" s="16" t="str">
        <f>IFERROR(INDEX('Прайс-лист'!$R$11:$R$310,MATCH(ROWS($A$16:A55),'Прайс-лист'!$T$11:$T$310,0)),"")</f>
        <v/>
      </c>
      <c r="H55" s="15" t="str">
        <f>IFERROR(INDEX('Прайс-лист'!$P$11:$P$310,MATCH(ROWS($A$16:A55),'Прайс-лист'!$T$11:$T$310,0)),"")</f>
        <v/>
      </c>
      <c r="I55" s="16" t="str">
        <f>IFERROR(INDEX('Прайс-лист'!$S$11:$S$310,MATCH(ROWS($A$16:A55),'Прайс-лист'!$T$11:$T$310,0)),"")</f>
        <v/>
      </c>
      <c r="J55" s="15" t="str">
        <f>IFERROR(INDEX('Прайс-лист'!$Q$11:$Q$310,MATCH(ROWS($A$16:A55),'Прайс-лист'!$T$11:$T$310,0)),"")</f>
        <v/>
      </c>
    </row>
    <row r="56" spans="1:10" ht="15" customHeight="1" x14ac:dyDescent="0.2">
      <c r="A56" s="15" t="str">
        <f>IFERROR(IF(INDEX('Прайс-лист'!$T$11:$T$310,MATCH(ROWS($A$16:A56),'Прайс-лист'!$T$11:$T$310,0))="","",ROWS($A$16:A56)),"")</f>
        <v/>
      </c>
      <c r="B56" s="15" t="str">
        <f>IFERROR(INDEX('Прайс-лист'!$A$11:$A$310,MATCH(ROWS($A$16:A56),'Прайс-лист'!$T$11:$T$310,0)),"")</f>
        <v/>
      </c>
      <c r="C56" s="15" t="str">
        <f>IFERROR(INDEX('Прайс-лист'!$B$11:$B$310,MATCH(ROWS($A$16:A56),'Прайс-лист'!$T$11:$T$310,0)),"")</f>
        <v/>
      </c>
      <c r="D56" s="15" t="str">
        <f>IFERROR(INDEX('Прайс-лист'!$C$11:$C$310,MATCH(ROWS($A$16:A56),'Прайс-лист'!$T$11:$T$310,0)),"")</f>
        <v/>
      </c>
      <c r="E56" s="15" t="str">
        <f>IFERROR(INDEX('Прайс-лист'!$E$11:$E$310,MATCH(ROWS($A$16:A56),'Прайс-лист'!$T$11:$T$310,0)),"")</f>
        <v/>
      </c>
      <c r="F56" s="15" t="str">
        <f>IFERROR(INDEX('Прайс-лист'!$F$11:$F$310,MATCH(ROWS($A$16:A56),'Прайс-лист'!$T$11:$T$310,0)),"")</f>
        <v/>
      </c>
      <c r="G56" s="16" t="str">
        <f>IFERROR(INDEX('Прайс-лист'!$R$11:$R$310,MATCH(ROWS($A$16:A56),'Прайс-лист'!$T$11:$T$310,0)),"")</f>
        <v/>
      </c>
      <c r="H56" s="15" t="str">
        <f>IFERROR(INDEX('Прайс-лист'!$P$11:$P$310,MATCH(ROWS($A$16:A56),'Прайс-лист'!$T$11:$T$310,0)),"")</f>
        <v/>
      </c>
      <c r="I56" s="16" t="str">
        <f>IFERROR(INDEX('Прайс-лист'!$S$11:$S$310,MATCH(ROWS($A$16:A56),'Прайс-лист'!$T$11:$T$310,0)),"")</f>
        <v/>
      </c>
      <c r="J56" s="15" t="str">
        <f>IFERROR(INDEX('Прайс-лист'!$Q$11:$Q$310,MATCH(ROWS($A$16:A56),'Прайс-лист'!$T$11:$T$310,0)),"")</f>
        <v/>
      </c>
    </row>
    <row r="57" spans="1:10" ht="15" customHeight="1" x14ac:dyDescent="0.2">
      <c r="A57" s="15" t="str">
        <f>IFERROR(IF(INDEX('Прайс-лист'!$T$11:$T$310,MATCH(ROWS($A$16:A57),'Прайс-лист'!$T$11:$T$310,0))="","",ROWS($A$16:A57)),"")</f>
        <v/>
      </c>
      <c r="B57" s="15" t="str">
        <f>IFERROR(INDEX('Прайс-лист'!$A$11:$A$310,MATCH(ROWS($A$16:A57),'Прайс-лист'!$T$11:$T$310,0)),"")</f>
        <v/>
      </c>
      <c r="C57" s="15" t="str">
        <f>IFERROR(INDEX('Прайс-лист'!$B$11:$B$310,MATCH(ROWS($A$16:A57),'Прайс-лист'!$T$11:$T$310,0)),"")</f>
        <v/>
      </c>
      <c r="D57" s="15" t="str">
        <f>IFERROR(INDEX('Прайс-лист'!$C$11:$C$310,MATCH(ROWS($A$16:A57),'Прайс-лист'!$T$11:$T$310,0)),"")</f>
        <v/>
      </c>
      <c r="E57" s="15" t="str">
        <f>IFERROR(INDEX('Прайс-лист'!$E$11:$E$310,MATCH(ROWS($A$16:A57),'Прайс-лист'!$T$11:$T$310,0)),"")</f>
        <v/>
      </c>
      <c r="F57" s="15" t="str">
        <f>IFERROR(INDEX('Прайс-лист'!$F$11:$F$310,MATCH(ROWS($A$16:A57),'Прайс-лист'!$T$11:$T$310,0)),"")</f>
        <v/>
      </c>
      <c r="G57" s="16" t="str">
        <f>IFERROR(INDEX('Прайс-лист'!$R$11:$R$310,MATCH(ROWS($A$16:A57),'Прайс-лист'!$T$11:$T$310,0)),"")</f>
        <v/>
      </c>
      <c r="H57" s="15" t="str">
        <f>IFERROR(INDEX('Прайс-лист'!$P$11:$P$310,MATCH(ROWS($A$16:A57),'Прайс-лист'!$T$11:$T$310,0)),"")</f>
        <v/>
      </c>
      <c r="I57" s="16" t="str">
        <f>IFERROR(INDEX('Прайс-лист'!$S$11:$S$310,MATCH(ROWS($A$16:A57),'Прайс-лист'!$T$11:$T$310,0)),"")</f>
        <v/>
      </c>
      <c r="J57" s="15" t="str">
        <f>IFERROR(INDEX('Прайс-лист'!$Q$11:$Q$310,MATCH(ROWS($A$16:A57),'Прайс-лист'!$T$11:$T$310,0)),"")</f>
        <v/>
      </c>
    </row>
    <row r="58" spans="1:10" ht="15" customHeight="1" x14ac:dyDescent="0.2">
      <c r="A58" s="15" t="str">
        <f>IFERROR(IF(INDEX('Прайс-лист'!$T$11:$T$310,MATCH(ROWS($A$16:A58),'Прайс-лист'!$T$11:$T$310,0))="","",ROWS($A$16:A58)),"")</f>
        <v/>
      </c>
      <c r="B58" s="15" t="str">
        <f>IFERROR(INDEX('Прайс-лист'!$A$11:$A$310,MATCH(ROWS($A$16:A58),'Прайс-лист'!$T$11:$T$310,0)),"")</f>
        <v/>
      </c>
      <c r="C58" s="15" t="str">
        <f>IFERROR(INDEX('Прайс-лист'!$B$11:$B$310,MATCH(ROWS($A$16:A58),'Прайс-лист'!$T$11:$T$310,0)),"")</f>
        <v/>
      </c>
      <c r="D58" s="15" t="str">
        <f>IFERROR(INDEX('Прайс-лист'!$C$11:$C$310,MATCH(ROWS($A$16:A58),'Прайс-лист'!$T$11:$T$310,0)),"")</f>
        <v/>
      </c>
      <c r="E58" s="15" t="str">
        <f>IFERROR(INDEX('Прайс-лист'!$E$11:$E$310,MATCH(ROWS($A$16:A58),'Прайс-лист'!$T$11:$T$310,0)),"")</f>
        <v/>
      </c>
      <c r="F58" s="15" t="str">
        <f>IFERROR(INDEX('Прайс-лист'!$F$11:$F$310,MATCH(ROWS($A$16:A58),'Прайс-лист'!$T$11:$T$310,0)),"")</f>
        <v/>
      </c>
      <c r="G58" s="16" t="str">
        <f>IFERROR(INDEX('Прайс-лист'!$R$11:$R$310,MATCH(ROWS($A$16:A58),'Прайс-лист'!$T$11:$T$310,0)),"")</f>
        <v/>
      </c>
      <c r="H58" s="15" t="str">
        <f>IFERROR(INDEX('Прайс-лист'!$P$11:$P$310,MATCH(ROWS($A$16:A58),'Прайс-лист'!$T$11:$T$310,0)),"")</f>
        <v/>
      </c>
      <c r="I58" s="16" t="str">
        <f>IFERROR(INDEX('Прайс-лист'!$S$11:$S$310,MATCH(ROWS($A$16:A58),'Прайс-лист'!$T$11:$T$310,0)),"")</f>
        <v/>
      </c>
      <c r="J58" s="15" t="str">
        <f>IFERROR(INDEX('Прайс-лист'!$Q$11:$Q$310,MATCH(ROWS($A$16:A58),'Прайс-лист'!$T$11:$T$310,0)),"")</f>
        <v/>
      </c>
    </row>
    <row r="59" spans="1:10" ht="15" customHeight="1" x14ac:dyDescent="0.2">
      <c r="A59" s="15" t="str">
        <f>IFERROR(IF(INDEX('Прайс-лист'!$T$11:$T$310,MATCH(ROWS($A$16:A59),'Прайс-лист'!$T$11:$T$310,0))="","",ROWS($A$16:A59)),"")</f>
        <v/>
      </c>
      <c r="B59" s="15" t="str">
        <f>IFERROR(INDEX('Прайс-лист'!$A$11:$A$310,MATCH(ROWS($A$16:A59),'Прайс-лист'!$T$11:$T$310,0)),"")</f>
        <v/>
      </c>
      <c r="C59" s="15" t="str">
        <f>IFERROR(INDEX('Прайс-лист'!$B$11:$B$310,MATCH(ROWS($A$16:A59),'Прайс-лист'!$T$11:$T$310,0)),"")</f>
        <v/>
      </c>
      <c r="D59" s="15" t="str">
        <f>IFERROR(INDEX('Прайс-лист'!$C$11:$C$310,MATCH(ROWS($A$16:A59),'Прайс-лист'!$T$11:$T$310,0)),"")</f>
        <v/>
      </c>
      <c r="E59" s="15" t="str">
        <f>IFERROR(INDEX('Прайс-лист'!$E$11:$E$310,MATCH(ROWS($A$16:A59),'Прайс-лист'!$T$11:$T$310,0)),"")</f>
        <v/>
      </c>
      <c r="F59" s="15" t="str">
        <f>IFERROR(INDEX('Прайс-лист'!$F$11:$F$310,MATCH(ROWS($A$16:A59),'Прайс-лист'!$T$11:$T$310,0)),"")</f>
        <v/>
      </c>
      <c r="G59" s="16" t="str">
        <f>IFERROR(INDEX('Прайс-лист'!$R$11:$R$310,MATCH(ROWS($A$16:A59),'Прайс-лист'!$T$11:$T$310,0)),"")</f>
        <v/>
      </c>
      <c r="H59" s="15" t="str">
        <f>IFERROR(INDEX('Прайс-лист'!$P$11:$P$310,MATCH(ROWS($A$16:A59),'Прайс-лист'!$T$11:$T$310,0)),"")</f>
        <v/>
      </c>
      <c r="I59" s="16" t="str">
        <f>IFERROR(INDEX('Прайс-лист'!$S$11:$S$310,MATCH(ROWS($A$16:A59),'Прайс-лист'!$T$11:$T$310,0)),"")</f>
        <v/>
      </c>
      <c r="J59" s="15" t="str">
        <f>IFERROR(INDEX('Прайс-лист'!$Q$11:$Q$310,MATCH(ROWS($A$16:A59),'Прайс-лист'!$T$11:$T$310,0)),"")</f>
        <v/>
      </c>
    </row>
    <row r="60" spans="1:10" ht="15" customHeight="1" x14ac:dyDescent="0.2">
      <c r="A60" s="15" t="str">
        <f>IFERROR(IF(INDEX('Прайс-лист'!$T$11:$T$310,MATCH(ROWS($A$16:A60),'Прайс-лист'!$T$11:$T$310,0))="","",ROWS($A$16:A60)),"")</f>
        <v/>
      </c>
      <c r="B60" s="15" t="str">
        <f>IFERROR(INDEX('Прайс-лист'!$A$11:$A$310,MATCH(ROWS($A$16:A60),'Прайс-лист'!$T$11:$T$310,0)),"")</f>
        <v/>
      </c>
      <c r="C60" s="15" t="str">
        <f>IFERROR(INDEX('Прайс-лист'!$B$11:$B$310,MATCH(ROWS($A$16:A60),'Прайс-лист'!$T$11:$T$310,0)),"")</f>
        <v/>
      </c>
      <c r="D60" s="15" t="str">
        <f>IFERROR(INDEX('Прайс-лист'!$C$11:$C$310,MATCH(ROWS($A$16:A60),'Прайс-лист'!$T$11:$T$310,0)),"")</f>
        <v/>
      </c>
      <c r="E60" s="15" t="str">
        <f>IFERROR(INDEX('Прайс-лист'!$E$11:$E$310,MATCH(ROWS($A$16:A60),'Прайс-лист'!$T$11:$T$310,0)),"")</f>
        <v/>
      </c>
      <c r="F60" s="15" t="str">
        <f>IFERROR(INDEX('Прайс-лист'!$F$11:$F$310,MATCH(ROWS($A$16:A60),'Прайс-лист'!$T$11:$T$310,0)),"")</f>
        <v/>
      </c>
      <c r="G60" s="16" t="str">
        <f>IFERROR(INDEX('Прайс-лист'!$R$11:$R$310,MATCH(ROWS($A$16:A60),'Прайс-лист'!$T$11:$T$310,0)),"")</f>
        <v/>
      </c>
      <c r="H60" s="15" t="str">
        <f>IFERROR(INDEX('Прайс-лист'!$P$11:$P$310,MATCH(ROWS($A$16:A60),'Прайс-лист'!$T$11:$T$310,0)),"")</f>
        <v/>
      </c>
      <c r="I60" s="16" t="str">
        <f>IFERROR(INDEX('Прайс-лист'!$S$11:$S$310,MATCH(ROWS($A$16:A60),'Прайс-лист'!$T$11:$T$310,0)),"")</f>
        <v/>
      </c>
      <c r="J60" s="15" t="str">
        <f>IFERROR(INDEX('Прайс-лист'!$Q$11:$Q$310,MATCH(ROWS($A$16:A60),'Прайс-лист'!$T$11:$T$310,0)),"")</f>
        <v/>
      </c>
    </row>
    <row r="61" spans="1:10" ht="15" customHeight="1" x14ac:dyDescent="0.2">
      <c r="A61" s="15" t="str">
        <f>IFERROR(IF(INDEX('Прайс-лист'!$T$11:$T$310,MATCH(ROWS($A$16:A61),'Прайс-лист'!$T$11:$T$310,0))="","",ROWS($A$16:A61)),"")</f>
        <v/>
      </c>
      <c r="B61" s="15" t="str">
        <f>IFERROR(INDEX('Прайс-лист'!$A$11:$A$310,MATCH(ROWS($A$16:A61),'Прайс-лист'!$T$11:$T$310,0)),"")</f>
        <v/>
      </c>
      <c r="C61" s="15" t="str">
        <f>IFERROR(INDEX('Прайс-лист'!$B$11:$B$310,MATCH(ROWS($A$16:A61),'Прайс-лист'!$T$11:$T$310,0)),"")</f>
        <v/>
      </c>
      <c r="D61" s="15" t="str">
        <f>IFERROR(INDEX('Прайс-лист'!$C$11:$C$310,MATCH(ROWS($A$16:A61),'Прайс-лист'!$T$11:$T$310,0)),"")</f>
        <v/>
      </c>
      <c r="E61" s="15" t="str">
        <f>IFERROR(INDEX('Прайс-лист'!$E$11:$E$310,MATCH(ROWS($A$16:A61),'Прайс-лист'!$T$11:$T$310,0)),"")</f>
        <v/>
      </c>
      <c r="F61" s="15" t="str">
        <f>IFERROR(INDEX('Прайс-лист'!$F$11:$F$310,MATCH(ROWS($A$16:A61),'Прайс-лист'!$T$11:$T$310,0)),"")</f>
        <v/>
      </c>
      <c r="G61" s="16" t="str">
        <f>IFERROR(INDEX('Прайс-лист'!$R$11:$R$310,MATCH(ROWS($A$16:A61),'Прайс-лист'!$T$11:$T$310,0)),"")</f>
        <v/>
      </c>
      <c r="H61" s="15" t="str">
        <f>IFERROR(INDEX('Прайс-лист'!$P$11:$P$310,MATCH(ROWS($A$16:A61),'Прайс-лист'!$T$11:$T$310,0)),"")</f>
        <v/>
      </c>
      <c r="I61" s="16" t="str">
        <f>IFERROR(INDEX('Прайс-лист'!$S$11:$S$310,MATCH(ROWS($A$16:A61),'Прайс-лист'!$T$11:$T$310,0)),"")</f>
        <v/>
      </c>
      <c r="J61" s="15" t="str">
        <f>IFERROR(INDEX('Прайс-лист'!$Q$11:$Q$310,MATCH(ROWS($A$16:A61),'Прайс-лист'!$T$11:$T$310,0)),"")</f>
        <v/>
      </c>
    </row>
    <row r="62" spans="1:10" ht="15" customHeight="1" x14ac:dyDescent="0.2">
      <c r="A62" s="15" t="str">
        <f>IFERROR(IF(INDEX('Прайс-лист'!$T$11:$T$310,MATCH(ROWS($A$16:A62),'Прайс-лист'!$T$11:$T$310,0))="","",ROWS($A$16:A62)),"")</f>
        <v/>
      </c>
      <c r="B62" s="15" t="str">
        <f>IFERROR(INDEX('Прайс-лист'!$A$11:$A$310,MATCH(ROWS($A$16:A62),'Прайс-лист'!$T$11:$T$310,0)),"")</f>
        <v/>
      </c>
      <c r="C62" s="15" t="str">
        <f>IFERROR(INDEX('Прайс-лист'!$B$11:$B$310,MATCH(ROWS($A$16:A62),'Прайс-лист'!$T$11:$T$310,0)),"")</f>
        <v/>
      </c>
      <c r="D62" s="15" t="str">
        <f>IFERROR(INDEX('Прайс-лист'!$C$11:$C$310,MATCH(ROWS($A$16:A62),'Прайс-лист'!$T$11:$T$310,0)),"")</f>
        <v/>
      </c>
      <c r="E62" s="15" t="str">
        <f>IFERROR(INDEX('Прайс-лист'!$E$11:$E$310,MATCH(ROWS($A$16:A62),'Прайс-лист'!$T$11:$T$310,0)),"")</f>
        <v/>
      </c>
      <c r="F62" s="15" t="str">
        <f>IFERROR(INDEX('Прайс-лист'!$F$11:$F$310,MATCH(ROWS($A$16:A62),'Прайс-лист'!$T$11:$T$310,0)),"")</f>
        <v/>
      </c>
      <c r="G62" s="16" t="str">
        <f>IFERROR(INDEX('Прайс-лист'!$R$11:$R$310,MATCH(ROWS($A$16:A62),'Прайс-лист'!$T$11:$T$310,0)),"")</f>
        <v/>
      </c>
      <c r="H62" s="15" t="str">
        <f>IFERROR(INDEX('Прайс-лист'!$P$11:$P$310,MATCH(ROWS($A$16:A62),'Прайс-лист'!$T$11:$T$310,0)),"")</f>
        <v/>
      </c>
      <c r="I62" s="16" t="str">
        <f>IFERROR(INDEX('Прайс-лист'!$S$11:$S$310,MATCH(ROWS($A$16:A62),'Прайс-лист'!$T$11:$T$310,0)),"")</f>
        <v/>
      </c>
      <c r="J62" s="15" t="str">
        <f>IFERROR(INDEX('Прайс-лист'!$Q$11:$Q$310,MATCH(ROWS($A$16:A62),'Прайс-лист'!$T$11:$T$310,0)),"")</f>
        <v/>
      </c>
    </row>
    <row r="63" spans="1:10" ht="15" customHeight="1" x14ac:dyDescent="0.2">
      <c r="A63" s="15" t="str">
        <f>IFERROR(IF(INDEX('Прайс-лист'!$T$11:$T$310,MATCH(ROWS($A$16:A63),'Прайс-лист'!$T$11:$T$310,0))="","",ROWS($A$16:A63)),"")</f>
        <v/>
      </c>
      <c r="B63" s="15" t="str">
        <f>IFERROR(INDEX('Прайс-лист'!$A$11:$A$310,MATCH(ROWS($A$16:A63),'Прайс-лист'!$T$11:$T$310,0)),"")</f>
        <v/>
      </c>
      <c r="C63" s="15" t="str">
        <f>IFERROR(INDEX('Прайс-лист'!$B$11:$B$310,MATCH(ROWS($A$16:A63),'Прайс-лист'!$T$11:$T$310,0)),"")</f>
        <v/>
      </c>
      <c r="D63" s="15" t="str">
        <f>IFERROR(INDEX('Прайс-лист'!$C$11:$C$310,MATCH(ROWS($A$16:A63),'Прайс-лист'!$T$11:$T$310,0)),"")</f>
        <v/>
      </c>
      <c r="E63" s="15" t="str">
        <f>IFERROR(INDEX('Прайс-лист'!$E$11:$E$310,MATCH(ROWS($A$16:A63),'Прайс-лист'!$T$11:$T$310,0)),"")</f>
        <v/>
      </c>
      <c r="F63" s="15" t="str">
        <f>IFERROR(INDEX('Прайс-лист'!$F$11:$F$310,MATCH(ROWS($A$16:A63),'Прайс-лист'!$T$11:$T$310,0)),"")</f>
        <v/>
      </c>
      <c r="G63" s="16" t="str">
        <f>IFERROR(INDEX('Прайс-лист'!$R$11:$R$310,MATCH(ROWS($A$16:A63),'Прайс-лист'!$T$11:$T$310,0)),"")</f>
        <v/>
      </c>
      <c r="H63" s="15" t="str">
        <f>IFERROR(INDEX('Прайс-лист'!$P$11:$P$310,MATCH(ROWS($A$16:A63),'Прайс-лист'!$T$11:$T$310,0)),"")</f>
        <v/>
      </c>
      <c r="I63" s="16" t="str">
        <f>IFERROR(INDEX('Прайс-лист'!$S$11:$S$310,MATCH(ROWS($A$16:A63),'Прайс-лист'!$T$11:$T$310,0)),"")</f>
        <v/>
      </c>
      <c r="J63" s="15" t="str">
        <f>IFERROR(INDEX('Прайс-лист'!$Q$11:$Q$310,MATCH(ROWS($A$16:A63),'Прайс-лист'!$T$11:$T$310,0)),"")</f>
        <v/>
      </c>
    </row>
    <row r="64" spans="1:10" ht="15" customHeight="1" x14ac:dyDescent="0.2">
      <c r="A64" s="15" t="str">
        <f>IFERROR(IF(INDEX('Прайс-лист'!$T$11:$T$310,MATCH(ROWS($A$16:A64),'Прайс-лист'!$T$11:$T$310,0))="","",ROWS($A$16:A64)),"")</f>
        <v/>
      </c>
      <c r="B64" s="15" t="str">
        <f>IFERROR(INDEX('Прайс-лист'!$A$11:$A$310,MATCH(ROWS($A$16:A64),'Прайс-лист'!$T$11:$T$310,0)),"")</f>
        <v/>
      </c>
      <c r="C64" s="15" t="str">
        <f>IFERROR(INDEX('Прайс-лист'!$B$11:$B$310,MATCH(ROWS($A$16:A64),'Прайс-лист'!$T$11:$T$310,0)),"")</f>
        <v/>
      </c>
      <c r="D64" s="15" t="str">
        <f>IFERROR(INDEX('Прайс-лист'!$C$11:$C$310,MATCH(ROWS($A$16:A64),'Прайс-лист'!$T$11:$T$310,0)),"")</f>
        <v/>
      </c>
      <c r="E64" s="15" t="str">
        <f>IFERROR(INDEX('Прайс-лист'!$E$11:$E$310,MATCH(ROWS($A$16:A64),'Прайс-лист'!$T$11:$T$310,0)),"")</f>
        <v/>
      </c>
      <c r="F64" s="15" t="str">
        <f>IFERROR(INDEX('Прайс-лист'!$F$11:$F$310,MATCH(ROWS($A$16:A64),'Прайс-лист'!$T$11:$T$310,0)),"")</f>
        <v/>
      </c>
      <c r="G64" s="16" t="str">
        <f>IFERROR(INDEX('Прайс-лист'!$R$11:$R$310,MATCH(ROWS($A$16:A64),'Прайс-лист'!$T$11:$T$310,0)),"")</f>
        <v/>
      </c>
      <c r="H64" s="15" t="str">
        <f>IFERROR(INDEX('Прайс-лист'!$P$11:$P$310,MATCH(ROWS($A$16:A64),'Прайс-лист'!$T$11:$T$310,0)),"")</f>
        <v/>
      </c>
      <c r="I64" s="16" t="str">
        <f>IFERROR(INDEX('Прайс-лист'!$S$11:$S$310,MATCH(ROWS($A$16:A64),'Прайс-лист'!$T$11:$T$310,0)),"")</f>
        <v/>
      </c>
      <c r="J64" s="15" t="str">
        <f>IFERROR(INDEX('Прайс-лист'!$Q$11:$Q$310,MATCH(ROWS($A$16:A64),'Прайс-лист'!$T$11:$T$310,0)),"")</f>
        <v/>
      </c>
    </row>
    <row r="65" spans="1:10" ht="15" customHeight="1" x14ac:dyDescent="0.2">
      <c r="A65" s="15" t="str">
        <f>IFERROR(IF(INDEX('Прайс-лист'!$T$11:$T$310,MATCH(ROWS($A$16:A65),'Прайс-лист'!$T$11:$T$310,0))="","",ROWS($A$16:A65)),"")</f>
        <v/>
      </c>
      <c r="B65" s="15" t="str">
        <f>IFERROR(INDEX('Прайс-лист'!$A$11:$A$310,MATCH(ROWS($A$16:A65),'Прайс-лист'!$T$11:$T$310,0)),"")</f>
        <v/>
      </c>
      <c r="C65" s="15" t="str">
        <f>IFERROR(INDEX('Прайс-лист'!$B$11:$B$310,MATCH(ROWS($A$16:A65),'Прайс-лист'!$T$11:$T$310,0)),"")</f>
        <v/>
      </c>
      <c r="D65" s="15" t="str">
        <f>IFERROR(INDEX('Прайс-лист'!$C$11:$C$310,MATCH(ROWS($A$16:A65),'Прайс-лист'!$T$11:$T$310,0)),"")</f>
        <v/>
      </c>
      <c r="E65" s="15" t="str">
        <f>IFERROR(INDEX('Прайс-лист'!$E$11:$E$310,MATCH(ROWS($A$16:A65),'Прайс-лист'!$T$11:$T$310,0)),"")</f>
        <v/>
      </c>
      <c r="F65" s="15" t="str">
        <f>IFERROR(INDEX('Прайс-лист'!$F$11:$F$310,MATCH(ROWS($A$16:A65),'Прайс-лист'!$T$11:$T$310,0)),"")</f>
        <v/>
      </c>
      <c r="G65" s="16" t="str">
        <f>IFERROR(INDEX('Прайс-лист'!$R$11:$R$310,MATCH(ROWS($A$16:A65),'Прайс-лист'!$T$11:$T$310,0)),"")</f>
        <v/>
      </c>
      <c r="H65" s="15" t="str">
        <f>IFERROR(INDEX('Прайс-лист'!$P$11:$P$310,MATCH(ROWS($A$16:A65),'Прайс-лист'!$T$11:$T$310,0)),"")</f>
        <v/>
      </c>
      <c r="I65" s="16" t="str">
        <f>IFERROR(INDEX('Прайс-лист'!$S$11:$S$310,MATCH(ROWS($A$16:A65),'Прайс-лист'!$T$11:$T$310,0)),"")</f>
        <v/>
      </c>
      <c r="J65" s="15" t="str">
        <f>IFERROR(INDEX('Прайс-лист'!$Q$11:$Q$310,MATCH(ROWS($A$16:A65),'Прайс-лист'!$T$11:$T$310,0)),"")</f>
        <v/>
      </c>
    </row>
    <row r="66" spans="1:10" ht="15" customHeight="1" x14ac:dyDescent="0.2">
      <c r="A66" s="15" t="str">
        <f>IFERROR(IF(INDEX('Прайс-лист'!$T$11:$T$310,MATCH(ROWS($A$16:A66),'Прайс-лист'!$T$11:$T$310,0))="","",ROWS($A$16:A66)),"")</f>
        <v/>
      </c>
      <c r="B66" s="15" t="str">
        <f>IFERROR(INDEX('Прайс-лист'!$A$11:$A$310,MATCH(ROWS($A$16:A66),'Прайс-лист'!$T$11:$T$310,0)),"")</f>
        <v/>
      </c>
      <c r="C66" s="15" t="str">
        <f>IFERROR(INDEX('Прайс-лист'!$B$11:$B$310,MATCH(ROWS($A$16:A66),'Прайс-лист'!$T$11:$T$310,0)),"")</f>
        <v/>
      </c>
      <c r="D66" s="15" t="str">
        <f>IFERROR(INDEX('Прайс-лист'!$C$11:$C$310,MATCH(ROWS($A$16:A66),'Прайс-лист'!$T$11:$T$310,0)),"")</f>
        <v/>
      </c>
      <c r="E66" s="15" t="str">
        <f>IFERROR(INDEX('Прайс-лист'!$E$11:$E$310,MATCH(ROWS($A$16:A66),'Прайс-лист'!$T$11:$T$310,0)),"")</f>
        <v/>
      </c>
      <c r="F66" s="15" t="str">
        <f>IFERROR(INDEX('Прайс-лист'!$F$11:$F$310,MATCH(ROWS($A$16:A66),'Прайс-лист'!$T$11:$T$310,0)),"")</f>
        <v/>
      </c>
      <c r="G66" s="16" t="str">
        <f>IFERROR(INDEX('Прайс-лист'!$R$11:$R$310,MATCH(ROWS($A$16:A66),'Прайс-лист'!$T$11:$T$310,0)),"")</f>
        <v/>
      </c>
      <c r="H66" s="15" t="str">
        <f>IFERROR(INDEX('Прайс-лист'!$P$11:$P$310,MATCH(ROWS($A$16:A66),'Прайс-лист'!$T$11:$T$310,0)),"")</f>
        <v/>
      </c>
      <c r="I66" s="16" t="str">
        <f>IFERROR(INDEX('Прайс-лист'!$S$11:$S$310,MATCH(ROWS($A$16:A66),'Прайс-лист'!$T$11:$T$310,0)),"")</f>
        <v/>
      </c>
      <c r="J66" s="15" t="str">
        <f>IFERROR(INDEX('Прайс-лист'!$Q$11:$Q$310,MATCH(ROWS($A$16:A66),'Прайс-лист'!$T$11:$T$310,0)),"")</f>
        <v/>
      </c>
    </row>
    <row r="67" spans="1:10" ht="15" customHeight="1" x14ac:dyDescent="0.2">
      <c r="A67" s="15" t="str">
        <f>IFERROR(IF(INDEX('Прайс-лист'!$T$11:$T$310,MATCH(ROWS($A$16:A67),'Прайс-лист'!$T$11:$T$310,0))="","",ROWS($A$16:A67)),"")</f>
        <v/>
      </c>
      <c r="B67" s="15" t="str">
        <f>IFERROR(INDEX('Прайс-лист'!$A$11:$A$310,MATCH(ROWS($A$16:A67),'Прайс-лист'!$T$11:$T$310,0)),"")</f>
        <v/>
      </c>
      <c r="C67" s="15" t="str">
        <f>IFERROR(INDEX('Прайс-лист'!$B$11:$B$310,MATCH(ROWS($A$16:A67),'Прайс-лист'!$T$11:$T$310,0)),"")</f>
        <v/>
      </c>
      <c r="D67" s="15" t="str">
        <f>IFERROR(INDEX('Прайс-лист'!$C$11:$C$310,MATCH(ROWS($A$16:A67),'Прайс-лист'!$T$11:$T$310,0)),"")</f>
        <v/>
      </c>
      <c r="E67" s="15" t="str">
        <f>IFERROR(INDEX('Прайс-лист'!$E$11:$E$310,MATCH(ROWS($A$16:A67),'Прайс-лист'!$T$11:$T$310,0)),"")</f>
        <v/>
      </c>
      <c r="F67" s="15" t="str">
        <f>IFERROR(INDEX('Прайс-лист'!$F$11:$F$310,MATCH(ROWS($A$16:A67),'Прайс-лист'!$T$11:$T$310,0)),"")</f>
        <v/>
      </c>
      <c r="G67" s="16" t="str">
        <f>IFERROR(INDEX('Прайс-лист'!$R$11:$R$310,MATCH(ROWS($A$16:A67),'Прайс-лист'!$T$11:$T$310,0)),"")</f>
        <v/>
      </c>
      <c r="H67" s="15" t="str">
        <f>IFERROR(INDEX('Прайс-лист'!$P$11:$P$310,MATCH(ROWS($A$16:A67),'Прайс-лист'!$T$11:$T$310,0)),"")</f>
        <v/>
      </c>
      <c r="I67" s="16" t="str">
        <f>IFERROR(INDEX('Прайс-лист'!$S$11:$S$310,MATCH(ROWS($A$16:A67),'Прайс-лист'!$T$11:$T$310,0)),"")</f>
        <v/>
      </c>
      <c r="J67" s="15" t="str">
        <f>IFERROR(INDEX('Прайс-лист'!$Q$11:$Q$310,MATCH(ROWS($A$16:A67),'Прайс-лист'!$T$11:$T$310,0)),"")</f>
        <v/>
      </c>
    </row>
    <row r="68" spans="1:10" ht="15" customHeight="1" x14ac:dyDescent="0.2">
      <c r="A68" s="15" t="str">
        <f>IFERROR(IF(INDEX('Прайс-лист'!$T$11:$T$310,MATCH(ROWS($A$16:A68),'Прайс-лист'!$T$11:$T$310,0))="","",ROWS($A$16:A68)),"")</f>
        <v/>
      </c>
      <c r="B68" s="15" t="str">
        <f>IFERROR(INDEX('Прайс-лист'!$A$11:$A$310,MATCH(ROWS($A$16:A68),'Прайс-лист'!$T$11:$T$310,0)),"")</f>
        <v/>
      </c>
      <c r="C68" s="15" t="str">
        <f>IFERROR(INDEX('Прайс-лист'!$B$11:$B$310,MATCH(ROWS($A$16:A68),'Прайс-лист'!$T$11:$T$310,0)),"")</f>
        <v/>
      </c>
      <c r="D68" s="15" t="str">
        <f>IFERROR(INDEX('Прайс-лист'!$C$11:$C$310,MATCH(ROWS($A$16:A68),'Прайс-лист'!$T$11:$T$310,0)),"")</f>
        <v/>
      </c>
      <c r="E68" s="15" t="str">
        <f>IFERROR(INDEX('Прайс-лист'!$E$11:$E$310,MATCH(ROWS($A$16:A68),'Прайс-лист'!$T$11:$T$310,0)),"")</f>
        <v/>
      </c>
      <c r="F68" s="15" t="str">
        <f>IFERROR(INDEX('Прайс-лист'!$F$11:$F$310,MATCH(ROWS($A$16:A68),'Прайс-лист'!$T$11:$T$310,0)),"")</f>
        <v/>
      </c>
      <c r="G68" s="16" t="str">
        <f>IFERROR(INDEX('Прайс-лист'!$R$11:$R$310,MATCH(ROWS($A$16:A68),'Прайс-лист'!$T$11:$T$310,0)),"")</f>
        <v/>
      </c>
      <c r="H68" s="15" t="str">
        <f>IFERROR(INDEX('Прайс-лист'!$P$11:$P$310,MATCH(ROWS($A$16:A68),'Прайс-лист'!$T$11:$T$310,0)),"")</f>
        <v/>
      </c>
      <c r="I68" s="16" t="str">
        <f>IFERROR(INDEX('Прайс-лист'!$S$11:$S$310,MATCH(ROWS($A$16:A68),'Прайс-лист'!$T$11:$T$310,0)),"")</f>
        <v/>
      </c>
      <c r="J68" s="15" t="str">
        <f>IFERROR(INDEX('Прайс-лист'!$Q$11:$Q$310,MATCH(ROWS($A$16:A68),'Прайс-лист'!$T$11:$T$310,0)),"")</f>
        <v/>
      </c>
    </row>
    <row r="69" spans="1:10" ht="15" customHeight="1" x14ac:dyDescent="0.2">
      <c r="A69" s="15" t="str">
        <f>IFERROR(IF(INDEX('Прайс-лист'!$T$11:$T$310,MATCH(ROWS($A$16:A69),'Прайс-лист'!$T$11:$T$310,0))="","",ROWS($A$16:A69)),"")</f>
        <v/>
      </c>
      <c r="B69" s="15" t="str">
        <f>IFERROR(INDEX('Прайс-лист'!$A$11:$A$310,MATCH(ROWS($A$16:A69),'Прайс-лист'!$T$11:$T$310,0)),"")</f>
        <v/>
      </c>
      <c r="C69" s="15" t="str">
        <f>IFERROR(INDEX('Прайс-лист'!$B$11:$B$310,MATCH(ROWS($A$16:A69),'Прайс-лист'!$T$11:$T$310,0)),"")</f>
        <v/>
      </c>
      <c r="D69" s="15" t="str">
        <f>IFERROR(INDEX('Прайс-лист'!$C$11:$C$310,MATCH(ROWS($A$16:A69),'Прайс-лист'!$T$11:$T$310,0)),"")</f>
        <v/>
      </c>
      <c r="E69" s="15" t="str">
        <f>IFERROR(INDEX('Прайс-лист'!$E$11:$E$310,MATCH(ROWS($A$16:A69),'Прайс-лист'!$T$11:$T$310,0)),"")</f>
        <v/>
      </c>
      <c r="F69" s="15" t="str">
        <f>IFERROR(INDEX('Прайс-лист'!$F$11:$F$310,MATCH(ROWS($A$16:A69),'Прайс-лист'!$T$11:$T$310,0)),"")</f>
        <v/>
      </c>
      <c r="G69" s="16" t="str">
        <f>IFERROR(INDEX('Прайс-лист'!$R$11:$R$310,MATCH(ROWS($A$16:A69),'Прайс-лист'!$T$11:$T$310,0)),"")</f>
        <v/>
      </c>
      <c r="H69" s="15" t="str">
        <f>IFERROR(INDEX('Прайс-лист'!$P$11:$P$310,MATCH(ROWS($A$16:A69),'Прайс-лист'!$T$11:$T$310,0)),"")</f>
        <v/>
      </c>
      <c r="I69" s="16" t="str">
        <f>IFERROR(INDEX('Прайс-лист'!$S$11:$S$310,MATCH(ROWS($A$16:A69),'Прайс-лист'!$T$11:$T$310,0)),"")</f>
        <v/>
      </c>
      <c r="J69" s="15" t="str">
        <f>IFERROR(INDEX('Прайс-лист'!$Q$11:$Q$310,MATCH(ROWS($A$16:A69),'Прайс-лист'!$T$11:$T$310,0)),"")</f>
        <v/>
      </c>
    </row>
    <row r="70" spans="1:10" ht="15" customHeight="1" x14ac:dyDescent="0.2">
      <c r="A70" s="15" t="str">
        <f>IFERROR(IF(INDEX('Прайс-лист'!$T$11:$T$310,MATCH(ROWS($A$16:A70),'Прайс-лист'!$T$11:$T$310,0))="","",ROWS($A$16:A70)),"")</f>
        <v/>
      </c>
      <c r="B70" s="15" t="str">
        <f>IFERROR(INDEX('Прайс-лист'!$A$11:$A$310,MATCH(ROWS($A$16:A70),'Прайс-лист'!$T$11:$T$310,0)),"")</f>
        <v/>
      </c>
      <c r="C70" s="15" t="str">
        <f>IFERROR(INDEX('Прайс-лист'!$B$11:$B$310,MATCH(ROWS($A$16:A70),'Прайс-лист'!$T$11:$T$310,0)),"")</f>
        <v/>
      </c>
      <c r="D70" s="15" t="str">
        <f>IFERROR(INDEX('Прайс-лист'!$C$11:$C$310,MATCH(ROWS($A$16:A70),'Прайс-лист'!$T$11:$T$310,0)),"")</f>
        <v/>
      </c>
      <c r="E70" s="15" t="str">
        <f>IFERROR(INDEX('Прайс-лист'!$E$11:$E$310,MATCH(ROWS($A$16:A70),'Прайс-лист'!$T$11:$T$310,0)),"")</f>
        <v/>
      </c>
      <c r="F70" s="15" t="str">
        <f>IFERROR(INDEX('Прайс-лист'!$F$11:$F$310,MATCH(ROWS($A$16:A70),'Прайс-лист'!$T$11:$T$310,0)),"")</f>
        <v/>
      </c>
      <c r="G70" s="16" t="str">
        <f>IFERROR(INDEX('Прайс-лист'!$R$11:$R$310,MATCH(ROWS($A$16:A70),'Прайс-лист'!$T$11:$T$310,0)),"")</f>
        <v/>
      </c>
      <c r="H70" s="15" t="str">
        <f>IFERROR(INDEX('Прайс-лист'!$P$11:$P$310,MATCH(ROWS($A$16:A70),'Прайс-лист'!$T$11:$T$310,0)),"")</f>
        <v/>
      </c>
      <c r="I70" s="16" t="str">
        <f>IFERROR(INDEX('Прайс-лист'!$S$11:$S$310,MATCH(ROWS($A$16:A70),'Прайс-лист'!$T$11:$T$310,0)),"")</f>
        <v/>
      </c>
      <c r="J70" s="15" t="str">
        <f>IFERROR(INDEX('Прайс-лист'!$Q$11:$Q$310,MATCH(ROWS($A$16:A70),'Прайс-лист'!$T$11:$T$310,0)),"")</f>
        <v/>
      </c>
    </row>
    <row r="71" spans="1:10" ht="15" customHeight="1" x14ac:dyDescent="0.2">
      <c r="A71" s="15" t="str">
        <f>IFERROR(IF(INDEX('Прайс-лист'!$T$11:$T$310,MATCH(ROWS($A$16:A71),'Прайс-лист'!$T$11:$T$310,0))="","",ROWS($A$16:A71)),"")</f>
        <v/>
      </c>
      <c r="B71" s="15" t="str">
        <f>IFERROR(INDEX('Прайс-лист'!$A$11:$A$310,MATCH(ROWS($A$16:A71),'Прайс-лист'!$T$11:$T$310,0)),"")</f>
        <v/>
      </c>
      <c r="C71" s="15" t="str">
        <f>IFERROR(INDEX('Прайс-лист'!$B$11:$B$310,MATCH(ROWS($A$16:A71),'Прайс-лист'!$T$11:$T$310,0)),"")</f>
        <v/>
      </c>
      <c r="D71" s="15" t="str">
        <f>IFERROR(INDEX('Прайс-лист'!$C$11:$C$310,MATCH(ROWS($A$16:A71),'Прайс-лист'!$T$11:$T$310,0)),"")</f>
        <v/>
      </c>
      <c r="E71" s="15" t="str">
        <f>IFERROR(INDEX('Прайс-лист'!$E$11:$E$310,MATCH(ROWS($A$16:A71),'Прайс-лист'!$T$11:$T$310,0)),"")</f>
        <v/>
      </c>
      <c r="F71" s="15" t="str">
        <f>IFERROR(INDEX('Прайс-лист'!$F$11:$F$310,MATCH(ROWS($A$16:A71),'Прайс-лист'!$T$11:$T$310,0)),"")</f>
        <v/>
      </c>
      <c r="G71" s="16" t="str">
        <f>IFERROR(INDEX('Прайс-лист'!$R$11:$R$310,MATCH(ROWS($A$16:A71),'Прайс-лист'!$T$11:$T$310,0)),"")</f>
        <v/>
      </c>
      <c r="H71" s="15" t="str">
        <f>IFERROR(INDEX('Прайс-лист'!$P$11:$P$310,MATCH(ROWS($A$16:A71),'Прайс-лист'!$T$11:$T$310,0)),"")</f>
        <v/>
      </c>
      <c r="I71" s="16" t="str">
        <f>IFERROR(INDEX('Прайс-лист'!$S$11:$S$310,MATCH(ROWS($A$16:A71),'Прайс-лист'!$T$11:$T$310,0)),"")</f>
        <v/>
      </c>
      <c r="J71" s="15" t="str">
        <f>IFERROR(INDEX('Прайс-лист'!$Q$11:$Q$310,MATCH(ROWS($A$16:A71),'Прайс-лист'!$T$11:$T$310,0)),"")</f>
        <v/>
      </c>
    </row>
    <row r="72" spans="1:10" ht="15" customHeight="1" x14ac:dyDescent="0.2">
      <c r="A72" s="15" t="str">
        <f>IFERROR(IF(INDEX('Прайс-лист'!$T$11:$T$310,MATCH(ROWS($A$16:A72),'Прайс-лист'!$T$11:$T$310,0))="","",ROWS($A$16:A72)),"")</f>
        <v/>
      </c>
      <c r="B72" s="15" t="str">
        <f>IFERROR(INDEX('Прайс-лист'!$A$11:$A$310,MATCH(ROWS($A$16:A72),'Прайс-лист'!$T$11:$T$310,0)),"")</f>
        <v/>
      </c>
      <c r="C72" s="15" t="str">
        <f>IFERROR(INDEX('Прайс-лист'!$B$11:$B$310,MATCH(ROWS($A$16:A72),'Прайс-лист'!$T$11:$T$310,0)),"")</f>
        <v/>
      </c>
      <c r="D72" s="15" t="str">
        <f>IFERROR(INDEX('Прайс-лист'!$C$11:$C$310,MATCH(ROWS($A$16:A72),'Прайс-лист'!$T$11:$T$310,0)),"")</f>
        <v/>
      </c>
      <c r="E72" s="15" t="str">
        <f>IFERROR(INDEX('Прайс-лист'!$E$11:$E$310,MATCH(ROWS($A$16:A72),'Прайс-лист'!$T$11:$T$310,0)),"")</f>
        <v/>
      </c>
      <c r="F72" s="15" t="str">
        <f>IFERROR(INDEX('Прайс-лист'!$F$11:$F$310,MATCH(ROWS($A$16:A72),'Прайс-лист'!$T$11:$T$310,0)),"")</f>
        <v/>
      </c>
      <c r="G72" s="16" t="str">
        <f>IFERROR(INDEX('Прайс-лист'!$R$11:$R$310,MATCH(ROWS($A$16:A72),'Прайс-лист'!$T$11:$T$310,0)),"")</f>
        <v/>
      </c>
      <c r="H72" s="15" t="str">
        <f>IFERROR(INDEX('Прайс-лист'!$P$11:$P$310,MATCH(ROWS($A$16:A72),'Прайс-лист'!$T$11:$T$310,0)),"")</f>
        <v/>
      </c>
      <c r="I72" s="16" t="str">
        <f>IFERROR(INDEX('Прайс-лист'!$S$11:$S$310,MATCH(ROWS($A$16:A72),'Прайс-лист'!$T$11:$T$310,0)),"")</f>
        <v/>
      </c>
      <c r="J72" s="15" t="str">
        <f>IFERROR(INDEX('Прайс-лист'!$Q$11:$Q$310,MATCH(ROWS($A$16:A72),'Прайс-лист'!$T$11:$T$310,0)),"")</f>
        <v/>
      </c>
    </row>
    <row r="73" spans="1:10" ht="15" customHeight="1" x14ac:dyDescent="0.2">
      <c r="A73" s="15" t="str">
        <f>IFERROR(IF(INDEX('Прайс-лист'!$T$11:$T$310,MATCH(ROWS($A$16:A73),'Прайс-лист'!$T$11:$T$310,0))="","",ROWS($A$16:A73)),"")</f>
        <v/>
      </c>
      <c r="B73" s="15" t="str">
        <f>IFERROR(INDEX('Прайс-лист'!$A$11:$A$310,MATCH(ROWS($A$16:A73),'Прайс-лист'!$T$11:$T$310,0)),"")</f>
        <v/>
      </c>
      <c r="C73" s="15" t="str">
        <f>IFERROR(INDEX('Прайс-лист'!$B$11:$B$310,MATCH(ROWS($A$16:A73),'Прайс-лист'!$T$11:$T$310,0)),"")</f>
        <v/>
      </c>
      <c r="D73" s="15" t="str">
        <f>IFERROR(INDEX('Прайс-лист'!$C$11:$C$310,MATCH(ROWS($A$16:A73),'Прайс-лист'!$T$11:$T$310,0)),"")</f>
        <v/>
      </c>
      <c r="E73" s="15" t="str">
        <f>IFERROR(INDEX('Прайс-лист'!$E$11:$E$310,MATCH(ROWS($A$16:A73),'Прайс-лист'!$T$11:$T$310,0)),"")</f>
        <v/>
      </c>
      <c r="F73" s="15" t="str">
        <f>IFERROR(INDEX('Прайс-лист'!$F$11:$F$310,MATCH(ROWS($A$16:A73),'Прайс-лист'!$T$11:$T$310,0)),"")</f>
        <v/>
      </c>
      <c r="G73" s="16" t="str">
        <f>IFERROR(INDEX('Прайс-лист'!$R$11:$R$310,MATCH(ROWS($A$16:A73),'Прайс-лист'!$T$11:$T$310,0)),"")</f>
        <v/>
      </c>
      <c r="H73" s="15" t="str">
        <f>IFERROR(INDEX('Прайс-лист'!$P$11:$P$310,MATCH(ROWS($A$16:A73),'Прайс-лист'!$T$11:$T$310,0)),"")</f>
        <v/>
      </c>
      <c r="I73" s="16" t="str">
        <f>IFERROR(INDEX('Прайс-лист'!$S$11:$S$310,MATCH(ROWS($A$16:A73),'Прайс-лист'!$T$11:$T$310,0)),"")</f>
        <v/>
      </c>
      <c r="J73" s="15" t="str">
        <f>IFERROR(INDEX('Прайс-лист'!$Q$11:$Q$310,MATCH(ROWS($A$16:A73),'Прайс-лист'!$T$11:$T$310,0)),"")</f>
        <v/>
      </c>
    </row>
    <row r="74" spans="1:10" ht="15" customHeight="1" x14ac:dyDescent="0.2">
      <c r="A74" s="15" t="str">
        <f>IFERROR(IF(INDEX('Прайс-лист'!$T$11:$T$310,MATCH(ROWS($A$16:A74),'Прайс-лист'!$T$11:$T$310,0))="","",ROWS($A$16:A74)),"")</f>
        <v/>
      </c>
      <c r="B74" s="15" t="str">
        <f>IFERROR(INDEX('Прайс-лист'!$A$11:$A$310,MATCH(ROWS($A$16:A74),'Прайс-лист'!$T$11:$T$310,0)),"")</f>
        <v/>
      </c>
      <c r="C74" s="15" t="str">
        <f>IFERROR(INDEX('Прайс-лист'!$B$11:$B$310,MATCH(ROWS($A$16:A74),'Прайс-лист'!$T$11:$T$310,0)),"")</f>
        <v/>
      </c>
      <c r="D74" s="15" t="str">
        <f>IFERROR(INDEX('Прайс-лист'!$C$11:$C$310,MATCH(ROWS($A$16:A74),'Прайс-лист'!$T$11:$T$310,0)),"")</f>
        <v/>
      </c>
      <c r="E74" s="15" t="str">
        <f>IFERROR(INDEX('Прайс-лист'!$E$11:$E$310,MATCH(ROWS($A$16:A74),'Прайс-лист'!$T$11:$T$310,0)),"")</f>
        <v/>
      </c>
      <c r="F74" s="15" t="str">
        <f>IFERROR(INDEX('Прайс-лист'!$F$11:$F$310,MATCH(ROWS($A$16:A74),'Прайс-лист'!$T$11:$T$310,0)),"")</f>
        <v/>
      </c>
      <c r="G74" s="16" t="str">
        <f>IFERROR(INDEX('Прайс-лист'!$R$11:$R$310,MATCH(ROWS($A$16:A74),'Прайс-лист'!$T$11:$T$310,0)),"")</f>
        <v/>
      </c>
      <c r="H74" s="15" t="str">
        <f>IFERROR(INDEX('Прайс-лист'!$P$11:$P$310,MATCH(ROWS($A$16:A74),'Прайс-лист'!$T$11:$T$310,0)),"")</f>
        <v/>
      </c>
      <c r="I74" s="16" t="str">
        <f>IFERROR(INDEX('Прайс-лист'!$S$11:$S$310,MATCH(ROWS($A$16:A74),'Прайс-лист'!$T$11:$T$310,0)),"")</f>
        <v/>
      </c>
      <c r="J74" s="15" t="str">
        <f>IFERROR(INDEX('Прайс-лист'!$Q$11:$Q$310,MATCH(ROWS($A$16:A74),'Прайс-лист'!$T$11:$T$310,0)),"")</f>
        <v/>
      </c>
    </row>
    <row r="75" spans="1:10" ht="15" customHeight="1" x14ac:dyDescent="0.2">
      <c r="A75" s="15" t="str">
        <f>IFERROR(IF(INDEX('Прайс-лист'!$T$11:$T$310,MATCH(ROWS($A$16:A75),'Прайс-лист'!$T$11:$T$310,0))="","",ROWS($A$16:A75)),"")</f>
        <v/>
      </c>
      <c r="B75" s="15" t="str">
        <f>IFERROR(INDEX('Прайс-лист'!$A$11:$A$310,MATCH(ROWS($A$16:A75),'Прайс-лист'!$T$11:$T$310,0)),"")</f>
        <v/>
      </c>
      <c r="C75" s="15" t="str">
        <f>IFERROR(INDEX('Прайс-лист'!$B$11:$B$310,MATCH(ROWS($A$16:A75),'Прайс-лист'!$T$11:$T$310,0)),"")</f>
        <v/>
      </c>
      <c r="D75" s="15" t="str">
        <f>IFERROR(INDEX('Прайс-лист'!$C$11:$C$310,MATCH(ROWS($A$16:A75),'Прайс-лист'!$T$11:$T$310,0)),"")</f>
        <v/>
      </c>
      <c r="E75" s="15" t="str">
        <f>IFERROR(INDEX('Прайс-лист'!$E$11:$E$310,MATCH(ROWS($A$16:A75),'Прайс-лист'!$T$11:$T$310,0)),"")</f>
        <v/>
      </c>
      <c r="F75" s="15" t="str">
        <f>IFERROR(INDEX('Прайс-лист'!$F$11:$F$310,MATCH(ROWS($A$16:A75),'Прайс-лист'!$T$11:$T$310,0)),"")</f>
        <v/>
      </c>
      <c r="G75" s="16" t="str">
        <f>IFERROR(INDEX('Прайс-лист'!$R$11:$R$310,MATCH(ROWS($A$16:A75),'Прайс-лист'!$T$11:$T$310,0)),"")</f>
        <v/>
      </c>
      <c r="H75" s="15" t="str">
        <f>IFERROR(INDEX('Прайс-лист'!$P$11:$P$310,MATCH(ROWS($A$16:A75),'Прайс-лист'!$T$11:$T$310,0)),"")</f>
        <v/>
      </c>
      <c r="I75" s="16" t="str">
        <f>IFERROR(INDEX('Прайс-лист'!$S$11:$S$310,MATCH(ROWS($A$16:A75),'Прайс-лист'!$T$11:$T$310,0)),"")</f>
        <v/>
      </c>
      <c r="J75" s="15" t="str">
        <f>IFERROR(INDEX('Прайс-лист'!$Q$11:$Q$310,MATCH(ROWS($A$16:A75),'Прайс-лист'!$T$11:$T$310,0)),"")</f>
        <v/>
      </c>
    </row>
    <row r="76" spans="1:10" ht="15" customHeight="1" x14ac:dyDescent="0.2">
      <c r="A76" s="15" t="str">
        <f>IFERROR(IF(INDEX('Прайс-лист'!$T$11:$T$310,MATCH(ROWS($A$16:A76),'Прайс-лист'!$T$11:$T$310,0))="","",ROWS($A$16:A76)),"")</f>
        <v/>
      </c>
      <c r="B76" s="15" t="str">
        <f>IFERROR(INDEX('Прайс-лист'!$A$11:$A$310,MATCH(ROWS($A$16:A76),'Прайс-лист'!$T$11:$T$310,0)),"")</f>
        <v/>
      </c>
      <c r="C76" s="15" t="str">
        <f>IFERROR(INDEX('Прайс-лист'!$B$11:$B$310,MATCH(ROWS($A$16:A76),'Прайс-лист'!$T$11:$T$310,0)),"")</f>
        <v/>
      </c>
      <c r="D76" s="15" t="str">
        <f>IFERROR(INDEX('Прайс-лист'!$C$11:$C$310,MATCH(ROWS($A$16:A76),'Прайс-лист'!$T$11:$T$310,0)),"")</f>
        <v/>
      </c>
      <c r="E76" s="15" t="str">
        <f>IFERROR(INDEX('Прайс-лист'!$E$11:$E$310,MATCH(ROWS($A$16:A76),'Прайс-лист'!$T$11:$T$310,0)),"")</f>
        <v/>
      </c>
      <c r="F76" s="15" t="str">
        <f>IFERROR(INDEX('Прайс-лист'!$F$11:$F$310,MATCH(ROWS($A$16:A76),'Прайс-лист'!$T$11:$T$310,0)),"")</f>
        <v/>
      </c>
      <c r="G76" s="16" t="str">
        <f>IFERROR(INDEX('Прайс-лист'!$R$11:$R$310,MATCH(ROWS($A$16:A76),'Прайс-лист'!$T$11:$T$310,0)),"")</f>
        <v/>
      </c>
      <c r="H76" s="15" t="str">
        <f>IFERROR(INDEX('Прайс-лист'!$P$11:$P$310,MATCH(ROWS($A$16:A76),'Прайс-лист'!$T$11:$T$310,0)),"")</f>
        <v/>
      </c>
      <c r="I76" s="16" t="str">
        <f>IFERROR(INDEX('Прайс-лист'!$S$11:$S$310,MATCH(ROWS($A$16:A76),'Прайс-лист'!$T$11:$T$310,0)),"")</f>
        <v/>
      </c>
      <c r="J76" s="15" t="str">
        <f>IFERROR(INDEX('Прайс-лист'!$Q$11:$Q$310,MATCH(ROWS($A$16:A76),'Прайс-лист'!$T$11:$T$310,0)),"")</f>
        <v/>
      </c>
    </row>
    <row r="77" spans="1:10" ht="15" customHeight="1" x14ac:dyDescent="0.2">
      <c r="A77" s="15" t="str">
        <f>IFERROR(IF(INDEX('Прайс-лист'!$T$11:$T$310,MATCH(ROWS($A$16:A77),'Прайс-лист'!$T$11:$T$310,0))="","",ROWS($A$16:A77)),"")</f>
        <v/>
      </c>
      <c r="B77" s="15" t="str">
        <f>IFERROR(INDEX('Прайс-лист'!$A$11:$A$310,MATCH(ROWS($A$16:A77),'Прайс-лист'!$T$11:$T$310,0)),"")</f>
        <v/>
      </c>
      <c r="C77" s="15" t="str">
        <f>IFERROR(INDEX('Прайс-лист'!$B$11:$B$310,MATCH(ROWS($A$16:A77),'Прайс-лист'!$T$11:$T$310,0)),"")</f>
        <v/>
      </c>
      <c r="D77" s="15" t="str">
        <f>IFERROR(INDEX('Прайс-лист'!$C$11:$C$310,MATCH(ROWS($A$16:A77),'Прайс-лист'!$T$11:$T$310,0)),"")</f>
        <v/>
      </c>
      <c r="E77" s="15" t="str">
        <f>IFERROR(INDEX('Прайс-лист'!$E$11:$E$310,MATCH(ROWS($A$16:A77),'Прайс-лист'!$T$11:$T$310,0)),"")</f>
        <v/>
      </c>
      <c r="F77" s="15" t="str">
        <f>IFERROR(INDEX('Прайс-лист'!$F$11:$F$310,MATCH(ROWS($A$16:A77),'Прайс-лист'!$T$11:$T$310,0)),"")</f>
        <v/>
      </c>
      <c r="G77" s="16" t="str">
        <f>IFERROR(INDEX('Прайс-лист'!$R$11:$R$310,MATCH(ROWS($A$16:A77),'Прайс-лист'!$T$11:$T$310,0)),"")</f>
        <v/>
      </c>
      <c r="H77" s="15" t="str">
        <f>IFERROR(INDEX('Прайс-лист'!$P$11:$P$310,MATCH(ROWS($A$16:A77),'Прайс-лист'!$T$11:$T$310,0)),"")</f>
        <v/>
      </c>
      <c r="I77" s="16" t="str">
        <f>IFERROR(INDEX('Прайс-лист'!$S$11:$S$310,MATCH(ROWS($A$16:A77),'Прайс-лист'!$T$11:$T$310,0)),"")</f>
        <v/>
      </c>
      <c r="J77" s="15" t="str">
        <f>IFERROR(INDEX('Прайс-лист'!$Q$11:$Q$310,MATCH(ROWS($A$16:A77),'Прайс-лист'!$T$11:$T$310,0)),"")</f>
        <v/>
      </c>
    </row>
    <row r="78" spans="1:10" ht="15" customHeight="1" x14ac:dyDescent="0.2">
      <c r="A78" s="15" t="str">
        <f>IFERROR(IF(INDEX('Прайс-лист'!$T$11:$T$310,MATCH(ROWS($A$16:A78),'Прайс-лист'!$T$11:$T$310,0))="","",ROWS($A$16:A78)),"")</f>
        <v/>
      </c>
      <c r="B78" s="15" t="str">
        <f>IFERROR(INDEX('Прайс-лист'!$A$11:$A$310,MATCH(ROWS($A$16:A78),'Прайс-лист'!$T$11:$T$310,0)),"")</f>
        <v/>
      </c>
      <c r="C78" s="15" t="str">
        <f>IFERROR(INDEX('Прайс-лист'!$B$11:$B$310,MATCH(ROWS($A$16:A78),'Прайс-лист'!$T$11:$T$310,0)),"")</f>
        <v/>
      </c>
      <c r="D78" s="15" t="str">
        <f>IFERROR(INDEX('Прайс-лист'!$C$11:$C$310,MATCH(ROWS($A$16:A78),'Прайс-лист'!$T$11:$T$310,0)),"")</f>
        <v/>
      </c>
      <c r="E78" s="15" t="str">
        <f>IFERROR(INDEX('Прайс-лист'!$E$11:$E$310,MATCH(ROWS($A$16:A78),'Прайс-лист'!$T$11:$T$310,0)),"")</f>
        <v/>
      </c>
      <c r="F78" s="15" t="str">
        <f>IFERROR(INDEX('Прайс-лист'!$F$11:$F$310,MATCH(ROWS($A$16:A78),'Прайс-лист'!$T$11:$T$310,0)),"")</f>
        <v/>
      </c>
      <c r="G78" s="16" t="str">
        <f>IFERROR(INDEX('Прайс-лист'!$R$11:$R$310,MATCH(ROWS($A$16:A78),'Прайс-лист'!$T$11:$T$310,0)),"")</f>
        <v/>
      </c>
      <c r="H78" s="15" t="str">
        <f>IFERROR(INDEX('Прайс-лист'!$P$11:$P$310,MATCH(ROWS($A$16:A78),'Прайс-лист'!$T$11:$T$310,0)),"")</f>
        <v/>
      </c>
      <c r="I78" s="16" t="str">
        <f>IFERROR(INDEX('Прайс-лист'!$S$11:$S$310,MATCH(ROWS($A$16:A78),'Прайс-лист'!$T$11:$T$310,0)),"")</f>
        <v/>
      </c>
      <c r="J78" s="15" t="str">
        <f>IFERROR(INDEX('Прайс-лист'!$Q$11:$Q$310,MATCH(ROWS($A$16:A78),'Прайс-лист'!$T$11:$T$310,0)),"")</f>
        <v/>
      </c>
    </row>
    <row r="79" spans="1:10" ht="15" customHeight="1" x14ac:dyDescent="0.2">
      <c r="A79" s="15" t="str">
        <f>IFERROR(IF(INDEX('Прайс-лист'!$T$11:$T$310,MATCH(ROWS($A$16:A79),'Прайс-лист'!$T$11:$T$310,0))="","",ROWS($A$16:A79)),"")</f>
        <v/>
      </c>
      <c r="B79" s="15" t="str">
        <f>IFERROR(INDEX('Прайс-лист'!$A$11:$A$310,MATCH(ROWS($A$16:A79),'Прайс-лист'!$T$11:$T$310,0)),"")</f>
        <v/>
      </c>
      <c r="C79" s="15" t="str">
        <f>IFERROR(INDEX('Прайс-лист'!$B$11:$B$310,MATCH(ROWS($A$16:A79),'Прайс-лист'!$T$11:$T$310,0)),"")</f>
        <v/>
      </c>
      <c r="D79" s="15" t="str">
        <f>IFERROR(INDEX('Прайс-лист'!$C$11:$C$310,MATCH(ROWS($A$16:A79),'Прайс-лист'!$T$11:$T$310,0)),"")</f>
        <v/>
      </c>
      <c r="E79" s="15" t="str">
        <f>IFERROR(INDEX('Прайс-лист'!$E$11:$E$310,MATCH(ROWS($A$16:A79),'Прайс-лист'!$T$11:$T$310,0)),"")</f>
        <v/>
      </c>
      <c r="F79" s="15" t="str">
        <f>IFERROR(INDEX('Прайс-лист'!$F$11:$F$310,MATCH(ROWS($A$16:A79),'Прайс-лист'!$T$11:$T$310,0)),"")</f>
        <v/>
      </c>
      <c r="G79" s="16" t="str">
        <f>IFERROR(INDEX('Прайс-лист'!$R$11:$R$310,MATCH(ROWS($A$16:A79),'Прайс-лист'!$T$11:$T$310,0)),"")</f>
        <v/>
      </c>
      <c r="H79" s="15" t="str">
        <f>IFERROR(INDEX('Прайс-лист'!$P$11:$P$310,MATCH(ROWS($A$16:A79),'Прайс-лист'!$T$11:$T$310,0)),"")</f>
        <v/>
      </c>
      <c r="I79" s="16" t="str">
        <f>IFERROR(INDEX('Прайс-лист'!$S$11:$S$310,MATCH(ROWS($A$16:A79),'Прайс-лист'!$T$11:$T$310,0)),"")</f>
        <v/>
      </c>
      <c r="J79" s="15" t="str">
        <f>IFERROR(INDEX('Прайс-лист'!$Q$11:$Q$310,MATCH(ROWS($A$16:A79),'Прайс-лист'!$T$11:$T$310,0)),"")</f>
        <v/>
      </c>
    </row>
    <row r="80" spans="1:10" ht="15" customHeight="1" x14ac:dyDescent="0.2">
      <c r="A80" s="15" t="str">
        <f>IFERROR(IF(INDEX('Прайс-лист'!$T$11:$T$310,MATCH(ROWS($A$16:A80),'Прайс-лист'!$T$11:$T$310,0))="","",ROWS($A$16:A80)),"")</f>
        <v/>
      </c>
      <c r="B80" s="15" t="str">
        <f>IFERROR(INDEX('Прайс-лист'!$A$11:$A$310,MATCH(ROWS($A$16:A80),'Прайс-лист'!$T$11:$T$310,0)),"")</f>
        <v/>
      </c>
      <c r="C80" s="15" t="str">
        <f>IFERROR(INDEX('Прайс-лист'!$B$11:$B$310,MATCH(ROWS($A$16:A80),'Прайс-лист'!$T$11:$T$310,0)),"")</f>
        <v/>
      </c>
      <c r="D80" s="15" t="str">
        <f>IFERROR(INDEX('Прайс-лист'!$C$11:$C$310,MATCH(ROWS($A$16:A80),'Прайс-лист'!$T$11:$T$310,0)),"")</f>
        <v/>
      </c>
      <c r="E80" s="15" t="str">
        <f>IFERROR(INDEX('Прайс-лист'!$E$11:$E$310,MATCH(ROWS($A$16:A80),'Прайс-лист'!$T$11:$T$310,0)),"")</f>
        <v/>
      </c>
      <c r="F80" s="15" t="str">
        <f>IFERROR(INDEX('Прайс-лист'!$F$11:$F$310,MATCH(ROWS($A$16:A80),'Прайс-лист'!$T$11:$T$310,0)),"")</f>
        <v/>
      </c>
      <c r="G80" s="16" t="str">
        <f>IFERROR(INDEX('Прайс-лист'!$R$11:$R$310,MATCH(ROWS($A$16:A80),'Прайс-лист'!$T$11:$T$310,0)),"")</f>
        <v/>
      </c>
      <c r="H80" s="15" t="str">
        <f>IFERROR(INDEX('Прайс-лист'!$P$11:$P$310,MATCH(ROWS($A$16:A80),'Прайс-лист'!$T$11:$T$310,0)),"")</f>
        <v/>
      </c>
      <c r="I80" s="16" t="str">
        <f>IFERROR(INDEX('Прайс-лист'!$S$11:$S$310,MATCH(ROWS($A$16:A80),'Прайс-лист'!$T$11:$T$310,0)),"")</f>
        <v/>
      </c>
      <c r="J80" s="15" t="str">
        <f>IFERROR(INDEX('Прайс-лист'!$Q$11:$Q$310,MATCH(ROWS($A$16:A80),'Прайс-лист'!$T$11:$T$310,0)),"")</f>
        <v/>
      </c>
    </row>
    <row r="81" spans="1:10" ht="15" customHeight="1" x14ac:dyDescent="0.2">
      <c r="A81" s="15" t="str">
        <f>IFERROR(IF(INDEX('Прайс-лист'!$T$11:$T$310,MATCH(ROWS($A$16:A81),'Прайс-лист'!$T$11:$T$310,0))="","",ROWS($A$16:A81)),"")</f>
        <v/>
      </c>
      <c r="B81" s="15" t="str">
        <f>IFERROR(INDEX('Прайс-лист'!$A$11:$A$310,MATCH(ROWS($A$16:A81),'Прайс-лист'!$T$11:$T$310,0)),"")</f>
        <v/>
      </c>
      <c r="C81" s="15" t="str">
        <f>IFERROR(INDEX('Прайс-лист'!$B$11:$B$310,MATCH(ROWS($A$16:A81),'Прайс-лист'!$T$11:$T$310,0)),"")</f>
        <v/>
      </c>
      <c r="D81" s="15" t="str">
        <f>IFERROR(INDEX('Прайс-лист'!$C$11:$C$310,MATCH(ROWS($A$16:A81),'Прайс-лист'!$T$11:$T$310,0)),"")</f>
        <v/>
      </c>
      <c r="E81" s="15" t="str">
        <f>IFERROR(INDEX('Прайс-лист'!$E$11:$E$310,MATCH(ROWS($A$16:A81),'Прайс-лист'!$T$11:$T$310,0)),"")</f>
        <v/>
      </c>
      <c r="F81" s="15" t="str">
        <f>IFERROR(INDEX('Прайс-лист'!$F$11:$F$310,MATCH(ROWS($A$16:A81),'Прайс-лист'!$T$11:$T$310,0)),"")</f>
        <v/>
      </c>
      <c r="G81" s="16" t="str">
        <f>IFERROR(INDEX('Прайс-лист'!$R$11:$R$310,MATCH(ROWS($A$16:A81),'Прайс-лист'!$T$11:$T$310,0)),"")</f>
        <v/>
      </c>
      <c r="H81" s="15" t="str">
        <f>IFERROR(INDEX('Прайс-лист'!$P$11:$P$310,MATCH(ROWS($A$16:A81),'Прайс-лист'!$T$11:$T$310,0)),"")</f>
        <v/>
      </c>
      <c r="I81" s="16" t="str">
        <f>IFERROR(INDEX('Прайс-лист'!$S$11:$S$310,MATCH(ROWS($A$16:A81),'Прайс-лист'!$T$11:$T$310,0)),"")</f>
        <v/>
      </c>
      <c r="J81" s="15" t="str">
        <f>IFERROR(INDEX('Прайс-лист'!$Q$11:$Q$310,MATCH(ROWS($A$16:A81),'Прайс-лист'!$T$11:$T$310,0)),"")</f>
        <v/>
      </c>
    </row>
    <row r="82" spans="1:10" ht="15" customHeight="1" x14ac:dyDescent="0.2">
      <c r="A82" s="15" t="str">
        <f>IFERROR(IF(INDEX('Прайс-лист'!$T$11:$T$310,MATCH(ROWS($A$16:A82),'Прайс-лист'!$T$11:$T$310,0))="","",ROWS($A$16:A82)),"")</f>
        <v/>
      </c>
      <c r="B82" s="15" t="str">
        <f>IFERROR(INDEX('Прайс-лист'!$A$11:$A$310,MATCH(ROWS($A$16:A82),'Прайс-лист'!$T$11:$T$310,0)),"")</f>
        <v/>
      </c>
      <c r="C82" s="15" t="str">
        <f>IFERROR(INDEX('Прайс-лист'!$B$11:$B$310,MATCH(ROWS($A$16:A82),'Прайс-лист'!$T$11:$T$310,0)),"")</f>
        <v/>
      </c>
      <c r="D82" s="15" t="str">
        <f>IFERROR(INDEX('Прайс-лист'!$C$11:$C$310,MATCH(ROWS($A$16:A82),'Прайс-лист'!$T$11:$T$310,0)),"")</f>
        <v/>
      </c>
      <c r="E82" s="15" t="str">
        <f>IFERROR(INDEX('Прайс-лист'!$E$11:$E$310,MATCH(ROWS($A$16:A82),'Прайс-лист'!$T$11:$T$310,0)),"")</f>
        <v/>
      </c>
      <c r="F82" s="15" t="str">
        <f>IFERROR(INDEX('Прайс-лист'!$F$11:$F$310,MATCH(ROWS($A$16:A82),'Прайс-лист'!$T$11:$T$310,0)),"")</f>
        <v/>
      </c>
      <c r="G82" s="16" t="str">
        <f>IFERROR(INDEX('Прайс-лист'!$R$11:$R$310,MATCH(ROWS($A$16:A82),'Прайс-лист'!$T$11:$T$310,0)),"")</f>
        <v/>
      </c>
      <c r="H82" s="15" t="str">
        <f>IFERROR(INDEX('Прайс-лист'!$P$11:$P$310,MATCH(ROWS($A$16:A82),'Прайс-лист'!$T$11:$T$310,0)),"")</f>
        <v/>
      </c>
      <c r="I82" s="16" t="str">
        <f>IFERROR(INDEX('Прайс-лист'!$S$11:$S$310,MATCH(ROWS($A$16:A82),'Прайс-лист'!$T$11:$T$310,0)),"")</f>
        <v/>
      </c>
      <c r="J82" s="15" t="str">
        <f>IFERROR(INDEX('Прайс-лист'!$Q$11:$Q$310,MATCH(ROWS($A$16:A82),'Прайс-лист'!$T$11:$T$310,0)),"")</f>
        <v/>
      </c>
    </row>
    <row r="83" spans="1:10" ht="15" customHeight="1" x14ac:dyDescent="0.2">
      <c r="A83" s="15" t="str">
        <f>IFERROR(IF(INDEX('Прайс-лист'!$T$11:$T$310,MATCH(ROWS($A$16:A83),'Прайс-лист'!$T$11:$T$310,0))="","",ROWS($A$16:A83)),"")</f>
        <v/>
      </c>
      <c r="B83" s="15" t="str">
        <f>IFERROR(INDEX('Прайс-лист'!$A$11:$A$310,MATCH(ROWS($A$16:A83),'Прайс-лист'!$T$11:$T$310,0)),"")</f>
        <v/>
      </c>
      <c r="C83" s="15" t="str">
        <f>IFERROR(INDEX('Прайс-лист'!$B$11:$B$310,MATCH(ROWS($A$16:A83),'Прайс-лист'!$T$11:$T$310,0)),"")</f>
        <v/>
      </c>
      <c r="D83" s="15" t="str">
        <f>IFERROR(INDEX('Прайс-лист'!$C$11:$C$310,MATCH(ROWS($A$16:A83),'Прайс-лист'!$T$11:$T$310,0)),"")</f>
        <v/>
      </c>
      <c r="E83" s="15" t="str">
        <f>IFERROR(INDEX('Прайс-лист'!$E$11:$E$310,MATCH(ROWS($A$16:A83),'Прайс-лист'!$T$11:$T$310,0)),"")</f>
        <v/>
      </c>
      <c r="F83" s="15" t="str">
        <f>IFERROR(INDEX('Прайс-лист'!$F$11:$F$310,MATCH(ROWS($A$16:A83),'Прайс-лист'!$T$11:$T$310,0)),"")</f>
        <v/>
      </c>
      <c r="G83" s="16" t="str">
        <f>IFERROR(INDEX('Прайс-лист'!$R$11:$R$310,MATCH(ROWS($A$16:A83),'Прайс-лист'!$T$11:$T$310,0)),"")</f>
        <v/>
      </c>
      <c r="H83" s="15" t="str">
        <f>IFERROR(INDEX('Прайс-лист'!$P$11:$P$310,MATCH(ROWS($A$16:A83),'Прайс-лист'!$T$11:$T$310,0)),"")</f>
        <v/>
      </c>
      <c r="I83" s="16" t="str">
        <f>IFERROR(INDEX('Прайс-лист'!$S$11:$S$310,MATCH(ROWS($A$16:A83),'Прайс-лист'!$T$11:$T$310,0)),"")</f>
        <v/>
      </c>
      <c r="J83" s="15" t="str">
        <f>IFERROR(INDEX('Прайс-лист'!$Q$11:$Q$310,MATCH(ROWS($A$16:A83),'Прайс-лист'!$T$11:$T$310,0)),"")</f>
        <v/>
      </c>
    </row>
    <row r="84" spans="1:10" ht="15" customHeight="1" x14ac:dyDescent="0.2">
      <c r="A84" s="15" t="str">
        <f>IFERROR(IF(INDEX('Прайс-лист'!$T$11:$T$310,MATCH(ROWS($A$16:A84),'Прайс-лист'!$T$11:$T$310,0))="","",ROWS($A$16:A84)),"")</f>
        <v/>
      </c>
      <c r="B84" s="15" t="str">
        <f>IFERROR(INDEX('Прайс-лист'!$A$11:$A$310,MATCH(ROWS($A$16:A84),'Прайс-лист'!$T$11:$T$310,0)),"")</f>
        <v/>
      </c>
      <c r="C84" s="15" t="str">
        <f>IFERROR(INDEX('Прайс-лист'!$B$11:$B$310,MATCH(ROWS($A$16:A84),'Прайс-лист'!$T$11:$T$310,0)),"")</f>
        <v/>
      </c>
      <c r="D84" s="15" t="str">
        <f>IFERROR(INDEX('Прайс-лист'!$C$11:$C$310,MATCH(ROWS($A$16:A84),'Прайс-лист'!$T$11:$T$310,0)),"")</f>
        <v/>
      </c>
      <c r="E84" s="15" t="str">
        <f>IFERROR(INDEX('Прайс-лист'!$E$11:$E$310,MATCH(ROWS($A$16:A84),'Прайс-лист'!$T$11:$T$310,0)),"")</f>
        <v/>
      </c>
      <c r="F84" s="15" t="str">
        <f>IFERROR(INDEX('Прайс-лист'!$F$11:$F$310,MATCH(ROWS($A$16:A84),'Прайс-лист'!$T$11:$T$310,0)),"")</f>
        <v/>
      </c>
      <c r="G84" s="16" t="str">
        <f>IFERROR(INDEX('Прайс-лист'!$R$11:$R$310,MATCH(ROWS($A$16:A84),'Прайс-лист'!$T$11:$T$310,0)),"")</f>
        <v/>
      </c>
      <c r="H84" s="15" t="str">
        <f>IFERROR(INDEX('Прайс-лист'!$P$11:$P$310,MATCH(ROWS($A$16:A84),'Прайс-лист'!$T$11:$T$310,0)),"")</f>
        <v/>
      </c>
      <c r="I84" s="16" t="str">
        <f>IFERROR(INDEX('Прайс-лист'!$S$11:$S$310,MATCH(ROWS($A$16:A84),'Прайс-лист'!$T$11:$T$310,0)),"")</f>
        <v/>
      </c>
      <c r="J84" s="15" t="str">
        <f>IFERROR(INDEX('Прайс-лист'!$Q$11:$Q$310,MATCH(ROWS($A$16:A84),'Прайс-лист'!$T$11:$T$310,0)),"")</f>
        <v/>
      </c>
    </row>
    <row r="85" spans="1:10" ht="15" customHeight="1" x14ac:dyDescent="0.2">
      <c r="A85" s="15" t="str">
        <f>IFERROR(IF(INDEX('Прайс-лист'!$T$11:$T$310,MATCH(ROWS($A$16:A85),'Прайс-лист'!$T$11:$T$310,0))="","",ROWS($A$16:A85)),"")</f>
        <v/>
      </c>
      <c r="B85" s="15" t="str">
        <f>IFERROR(INDEX('Прайс-лист'!$A$11:$A$310,MATCH(ROWS($A$16:A85),'Прайс-лист'!$T$11:$T$310,0)),"")</f>
        <v/>
      </c>
      <c r="C85" s="15" t="str">
        <f>IFERROR(INDEX('Прайс-лист'!$B$11:$B$310,MATCH(ROWS($A$16:A85),'Прайс-лист'!$T$11:$T$310,0)),"")</f>
        <v/>
      </c>
      <c r="D85" s="15" t="str">
        <f>IFERROR(INDEX('Прайс-лист'!$C$11:$C$310,MATCH(ROWS($A$16:A85),'Прайс-лист'!$T$11:$T$310,0)),"")</f>
        <v/>
      </c>
      <c r="E85" s="15" t="str">
        <f>IFERROR(INDEX('Прайс-лист'!$E$11:$E$310,MATCH(ROWS($A$16:A85),'Прайс-лист'!$T$11:$T$310,0)),"")</f>
        <v/>
      </c>
      <c r="F85" s="15" t="str">
        <f>IFERROR(INDEX('Прайс-лист'!$F$11:$F$310,MATCH(ROWS($A$16:A85),'Прайс-лист'!$T$11:$T$310,0)),"")</f>
        <v/>
      </c>
      <c r="G85" s="16" t="str">
        <f>IFERROR(INDEX('Прайс-лист'!$R$11:$R$310,MATCH(ROWS($A$16:A85),'Прайс-лист'!$T$11:$T$310,0)),"")</f>
        <v/>
      </c>
      <c r="H85" s="15" t="str">
        <f>IFERROR(INDEX('Прайс-лист'!$P$11:$P$310,MATCH(ROWS($A$16:A85),'Прайс-лист'!$T$11:$T$310,0)),"")</f>
        <v/>
      </c>
      <c r="I85" s="16" t="str">
        <f>IFERROR(INDEX('Прайс-лист'!$S$11:$S$310,MATCH(ROWS($A$16:A85),'Прайс-лист'!$T$11:$T$310,0)),"")</f>
        <v/>
      </c>
      <c r="J85" s="15" t="str">
        <f>IFERROR(INDEX('Прайс-лист'!$Q$11:$Q$310,MATCH(ROWS($A$16:A85),'Прайс-лист'!$T$11:$T$310,0)),"")</f>
        <v/>
      </c>
    </row>
    <row r="86" spans="1:10" ht="15" customHeight="1" x14ac:dyDescent="0.2">
      <c r="A86" s="15" t="str">
        <f>IFERROR(IF(INDEX('Прайс-лист'!$T$11:$T$310,MATCH(ROWS($A$16:A86),'Прайс-лист'!$T$11:$T$310,0))="","",ROWS($A$16:A86)),"")</f>
        <v/>
      </c>
      <c r="B86" s="15" t="str">
        <f>IFERROR(INDEX('Прайс-лист'!$A$11:$A$310,MATCH(ROWS($A$16:A86),'Прайс-лист'!$T$11:$T$310,0)),"")</f>
        <v/>
      </c>
      <c r="C86" s="15" t="str">
        <f>IFERROR(INDEX('Прайс-лист'!$B$11:$B$310,MATCH(ROWS($A$16:A86),'Прайс-лист'!$T$11:$T$310,0)),"")</f>
        <v/>
      </c>
      <c r="D86" s="15" t="str">
        <f>IFERROR(INDEX('Прайс-лист'!$C$11:$C$310,MATCH(ROWS($A$16:A86),'Прайс-лист'!$T$11:$T$310,0)),"")</f>
        <v/>
      </c>
      <c r="E86" s="15" t="str">
        <f>IFERROR(INDEX('Прайс-лист'!$E$11:$E$310,MATCH(ROWS($A$16:A86),'Прайс-лист'!$T$11:$T$310,0)),"")</f>
        <v/>
      </c>
      <c r="F86" s="15" t="str">
        <f>IFERROR(INDEX('Прайс-лист'!$F$11:$F$310,MATCH(ROWS($A$16:A86),'Прайс-лист'!$T$11:$T$310,0)),"")</f>
        <v/>
      </c>
      <c r="G86" s="16" t="str">
        <f>IFERROR(INDEX('Прайс-лист'!$R$11:$R$310,MATCH(ROWS($A$16:A86),'Прайс-лист'!$T$11:$T$310,0)),"")</f>
        <v/>
      </c>
      <c r="H86" s="15" t="str">
        <f>IFERROR(INDEX('Прайс-лист'!$P$11:$P$310,MATCH(ROWS($A$16:A86),'Прайс-лист'!$T$11:$T$310,0)),"")</f>
        <v/>
      </c>
      <c r="I86" s="16" t="str">
        <f>IFERROR(INDEX('Прайс-лист'!$S$11:$S$310,MATCH(ROWS($A$16:A86),'Прайс-лист'!$T$11:$T$310,0)),"")</f>
        <v/>
      </c>
      <c r="J86" s="15" t="str">
        <f>IFERROR(INDEX('Прайс-лист'!$Q$11:$Q$310,MATCH(ROWS($A$16:A86),'Прайс-лист'!$T$11:$T$310,0)),"")</f>
        <v/>
      </c>
    </row>
    <row r="87" spans="1:10" ht="15" customHeight="1" x14ac:dyDescent="0.2">
      <c r="A87" s="15" t="str">
        <f>IFERROR(IF(INDEX('Прайс-лист'!$T$11:$T$310,MATCH(ROWS($A$16:A87),'Прайс-лист'!$T$11:$T$310,0))="","",ROWS($A$16:A87)),"")</f>
        <v/>
      </c>
      <c r="B87" s="15" t="str">
        <f>IFERROR(INDEX('Прайс-лист'!$A$11:$A$310,MATCH(ROWS($A$16:A87),'Прайс-лист'!$T$11:$T$310,0)),"")</f>
        <v/>
      </c>
      <c r="C87" s="15" t="str">
        <f>IFERROR(INDEX('Прайс-лист'!$B$11:$B$310,MATCH(ROWS($A$16:A87),'Прайс-лист'!$T$11:$T$310,0)),"")</f>
        <v/>
      </c>
      <c r="D87" s="15" t="str">
        <f>IFERROR(INDEX('Прайс-лист'!$C$11:$C$310,MATCH(ROWS($A$16:A87),'Прайс-лист'!$T$11:$T$310,0)),"")</f>
        <v/>
      </c>
      <c r="E87" s="15" t="str">
        <f>IFERROR(INDEX('Прайс-лист'!$E$11:$E$310,MATCH(ROWS($A$16:A87),'Прайс-лист'!$T$11:$T$310,0)),"")</f>
        <v/>
      </c>
      <c r="F87" s="15" t="str">
        <f>IFERROR(INDEX('Прайс-лист'!$F$11:$F$310,MATCH(ROWS($A$16:A87),'Прайс-лист'!$T$11:$T$310,0)),"")</f>
        <v/>
      </c>
      <c r="G87" s="16" t="str">
        <f>IFERROR(INDEX('Прайс-лист'!$R$11:$R$310,MATCH(ROWS($A$16:A87),'Прайс-лист'!$T$11:$T$310,0)),"")</f>
        <v/>
      </c>
      <c r="H87" s="15" t="str">
        <f>IFERROR(INDEX('Прайс-лист'!$P$11:$P$310,MATCH(ROWS($A$16:A87),'Прайс-лист'!$T$11:$T$310,0)),"")</f>
        <v/>
      </c>
      <c r="I87" s="16" t="str">
        <f>IFERROR(INDEX('Прайс-лист'!$S$11:$S$310,MATCH(ROWS($A$16:A87),'Прайс-лист'!$T$11:$T$310,0)),"")</f>
        <v/>
      </c>
      <c r="J87" s="15" t="str">
        <f>IFERROR(INDEX('Прайс-лист'!$Q$11:$Q$310,MATCH(ROWS($A$16:A87),'Прайс-лист'!$T$11:$T$310,0)),"")</f>
        <v/>
      </c>
    </row>
    <row r="88" spans="1:10" ht="15" customHeight="1" x14ac:dyDescent="0.2">
      <c r="A88" s="15" t="str">
        <f>IFERROR(IF(INDEX('Прайс-лист'!$T$11:$T$310,MATCH(ROWS($A$16:A88),'Прайс-лист'!$T$11:$T$310,0))="","",ROWS($A$16:A88)),"")</f>
        <v/>
      </c>
      <c r="B88" s="15" t="str">
        <f>IFERROR(INDEX('Прайс-лист'!$A$11:$A$310,MATCH(ROWS($A$16:A88),'Прайс-лист'!$T$11:$T$310,0)),"")</f>
        <v/>
      </c>
      <c r="C88" s="15" t="str">
        <f>IFERROR(INDEX('Прайс-лист'!$B$11:$B$310,MATCH(ROWS($A$16:A88),'Прайс-лист'!$T$11:$T$310,0)),"")</f>
        <v/>
      </c>
      <c r="D88" s="15" t="str">
        <f>IFERROR(INDEX('Прайс-лист'!$C$11:$C$310,MATCH(ROWS($A$16:A88),'Прайс-лист'!$T$11:$T$310,0)),"")</f>
        <v/>
      </c>
      <c r="E88" s="15" t="str">
        <f>IFERROR(INDEX('Прайс-лист'!$E$11:$E$310,MATCH(ROWS($A$16:A88),'Прайс-лист'!$T$11:$T$310,0)),"")</f>
        <v/>
      </c>
      <c r="F88" s="15" t="str">
        <f>IFERROR(INDEX('Прайс-лист'!$F$11:$F$310,MATCH(ROWS($A$16:A88),'Прайс-лист'!$T$11:$T$310,0)),"")</f>
        <v/>
      </c>
      <c r="G88" s="16" t="str">
        <f>IFERROR(INDEX('Прайс-лист'!$R$11:$R$310,MATCH(ROWS($A$16:A88),'Прайс-лист'!$T$11:$T$310,0)),"")</f>
        <v/>
      </c>
      <c r="H88" s="15" t="str">
        <f>IFERROR(INDEX('Прайс-лист'!$P$11:$P$310,MATCH(ROWS($A$16:A88),'Прайс-лист'!$T$11:$T$310,0)),"")</f>
        <v/>
      </c>
      <c r="I88" s="16" t="str">
        <f>IFERROR(INDEX('Прайс-лист'!$S$11:$S$310,MATCH(ROWS($A$16:A88),'Прайс-лист'!$T$11:$T$310,0)),"")</f>
        <v/>
      </c>
      <c r="J88" s="15" t="str">
        <f>IFERROR(INDEX('Прайс-лист'!$Q$11:$Q$310,MATCH(ROWS($A$16:A88),'Прайс-лист'!$T$11:$T$310,0)),"")</f>
        <v/>
      </c>
    </row>
    <row r="89" spans="1:10" ht="15" customHeight="1" x14ac:dyDescent="0.2">
      <c r="A89" s="15" t="str">
        <f>IFERROR(IF(INDEX('Прайс-лист'!$T$11:$T$310,MATCH(ROWS($A$16:A89),'Прайс-лист'!$T$11:$T$310,0))="","",ROWS($A$16:A89)),"")</f>
        <v/>
      </c>
      <c r="B89" s="15" t="str">
        <f>IFERROR(INDEX('Прайс-лист'!$A$11:$A$310,MATCH(ROWS($A$16:A89),'Прайс-лист'!$T$11:$T$310,0)),"")</f>
        <v/>
      </c>
      <c r="C89" s="15" t="str">
        <f>IFERROR(INDEX('Прайс-лист'!$B$11:$B$310,MATCH(ROWS($A$16:A89),'Прайс-лист'!$T$11:$T$310,0)),"")</f>
        <v/>
      </c>
      <c r="D89" s="15" t="str">
        <f>IFERROR(INDEX('Прайс-лист'!$C$11:$C$310,MATCH(ROWS($A$16:A89),'Прайс-лист'!$T$11:$T$310,0)),"")</f>
        <v/>
      </c>
      <c r="E89" s="15" t="str">
        <f>IFERROR(INDEX('Прайс-лист'!$E$11:$E$310,MATCH(ROWS($A$16:A89),'Прайс-лист'!$T$11:$T$310,0)),"")</f>
        <v/>
      </c>
      <c r="F89" s="15" t="str">
        <f>IFERROR(INDEX('Прайс-лист'!$F$11:$F$310,MATCH(ROWS($A$16:A89),'Прайс-лист'!$T$11:$T$310,0)),"")</f>
        <v/>
      </c>
      <c r="G89" s="16" t="str">
        <f>IFERROR(INDEX('Прайс-лист'!$R$11:$R$310,MATCH(ROWS($A$16:A89),'Прайс-лист'!$T$11:$T$310,0)),"")</f>
        <v/>
      </c>
      <c r="H89" s="15" t="str">
        <f>IFERROR(INDEX('Прайс-лист'!$P$11:$P$310,MATCH(ROWS($A$16:A89),'Прайс-лист'!$T$11:$T$310,0)),"")</f>
        <v/>
      </c>
      <c r="I89" s="16" t="str">
        <f>IFERROR(INDEX('Прайс-лист'!$S$11:$S$310,MATCH(ROWS($A$16:A89),'Прайс-лист'!$T$11:$T$310,0)),"")</f>
        <v/>
      </c>
      <c r="J89" s="15" t="str">
        <f>IFERROR(INDEX('Прайс-лист'!$Q$11:$Q$310,MATCH(ROWS($A$16:A89),'Прайс-лист'!$T$11:$T$310,0)),"")</f>
        <v/>
      </c>
    </row>
    <row r="90" spans="1:10" ht="15" customHeight="1" x14ac:dyDescent="0.2">
      <c r="A90" s="15" t="str">
        <f>IFERROR(IF(INDEX('Прайс-лист'!$T$11:$T$310,MATCH(ROWS($A$16:A90),'Прайс-лист'!$T$11:$T$310,0))="","",ROWS($A$16:A90)),"")</f>
        <v/>
      </c>
      <c r="B90" s="15" t="str">
        <f>IFERROR(INDEX('Прайс-лист'!$A$11:$A$310,MATCH(ROWS($A$16:A90),'Прайс-лист'!$T$11:$T$310,0)),"")</f>
        <v/>
      </c>
      <c r="C90" s="15" t="str">
        <f>IFERROR(INDEX('Прайс-лист'!$B$11:$B$310,MATCH(ROWS($A$16:A90),'Прайс-лист'!$T$11:$T$310,0)),"")</f>
        <v/>
      </c>
      <c r="D90" s="15" t="str">
        <f>IFERROR(INDEX('Прайс-лист'!$C$11:$C$310,MATCH(ROWS($A$16:A90),'Прайс-лист'!$T$11:$T$310,0)),"")</f>
        <v/>
      </c>
      <c r="E90" s="15" t="str">
        <f>IFERROR(INDEX('Прайс-лист'!$E$11:$E$310,MATCH(ROWS($A$16:A90),'Прайс-лист'!$T$11:$T$310,0)),"")</f>
        <v/>
      </c>
      <c r="F90" s="15" t="str">
        <f>IFERROR(INDEX('Прайс-лист'!$F$11:$F$310,MATCH(ROWS($A$16:A90),'Прайс-лист'!$T$11:$T$310,0)),"")</f>
        <v/>
      </c>
      <c r="G90" s="16" t="str">
        <f>IFERROR(INDEX('Прайс-лист'!$R$11:$R$310,MATCH(ROWS($A$16:A90),'Прайс-лист'!$T$11:$T$310,0)),"")</f>
        <v/>
      </c>
      <c r="H90" s="15" t="str">
        <f>IFERROR(INDEX('Прайс-лист'!$P$11:$P$310,MATCH(ROWS($A$16:A90),'Прайс-лист'!$T$11:$T$310,0)),"")</f>
        <v/>
      </c>
      <c r="I90" s="16" t="str">
        <f>IFERROR(INDEX('Прайс-лист'!$S$11:$S$310,MATCH(ROWS($A$16:A90),'Прайс-лист'!$T$11:$T$310,0)),"")</f>
        <v/>
      </c>
      <c r="J90" s="15" t="str">
        <f>IFERROR(INDEX('Прайс-лист'!$Q$11:$Q$310,MATCH(ROWS($A$16:A90),'Прайс-лист'!$T$11:$T$310,0)),"")</f>
        <v/>
      </c>
    </row>
    <row r="91" spans="1:10" ht="15" customHeight="1" x14ac:dyDescent="0.2">
      <c r="A91" s="15" t="str">
        <f>IFERROR(IF(INDEX('Прайс-лист'!$T$11:$T$310,MATCH(ROWS($A$16:A91),'Прайс-лист'!$T$11:$T$310,0))="","",ROWS($A$16:A91)),"")</f>
        <v/>
      </c>
      <c r="B91" s="15" t="str">
        <f>IFERROR(INDEX('Прайс-лист'!$A$11:$A$310,MATCH(ROWS($A$16:A91),'Прайс-лист'!$T$11:$T$310,0)),"")</f>
        <v/>
      </c>
      <c r="C91" s="15" t="str">
        <f>IFERROR(INDEX('Прайс-лист'!$B$11:$B$310,MATCH(ROWS($A$16:A91),'Прайс-лист'!$T$11:$T$310,0)),"")</f>
        <v/>
      </c>
      <c r="D91" s="15" t="str">
        <f>IFERROR(INDEX('Прайс-лист'!$C$11:$C$310,MATCH(ROWS($A$16:A91),'Прайс-лист'!$T$11:$T$310,0)),"")</f>
        <v/>
      </c>
      <c r="E91" s="15" t="str">
        <f>IFERROR(INDEX('Прайс-лист'!$E$11:$E$310,MATCH(ROWS($A$16:A91),'Прайс-лист'!$T$11:$T$310,0)),"")</f>
        <v/>
      </c>
      <c r="F91" s="15" t="str">
        <f>IFERROR(INDEX('Прайс-лист'!$F$11:$F$310,MATCH(ROWS($A$16:A91),'Прайс-лист'!$T$11:$T$310,0)),"")</f>
        <v/>
      </c>
      <c r="G91" s="16" t="str">
        <f>IFERROR(INDEX('Прайс-лист'!$R$11:$R$310,MATCH(ROWS($A$16:A91),'Прайс-лист'!$T$11:$T$310,0)),"")</f>
        <v/>
      </c>
      <c r="H91" s="15" t="str">
        <f>IFERROR(INDEX('Прайс-лист'!$P$11:$P$310,MATCH(ROWS($A$16:A91),'Прайс-лист'!$T$11:$T$310,0)),"")</f>
        <v/>
      </c>
      <c r="I91" s="16" t="str">
        <f>IFERROR(INDEX('Прайс-лист'!$S$11:$S$310,MATCH(ROWS($A$16:A91),'Прайс-лист'!$T$11:$T$310,0)),"")</f>
        <v/>
      </c>
      <c r="J91" s="15" t="str">
        <f>IFERROR(INDEX('Прайс-лист'!$Q$11:$Q$310,MATCH(ROWS($A$16:A91),'Прайс-лист'!$T$11:$T$310,0)),"")</f>
        <v/>
      </c>
    </row>
    <row r="92" spans="1:10" ht="15" customHeight="1" x14ac:dyDescent="0.2">
      <c r="A92" s="15" t="str">
        <f>IFERROR(IF(INDEX('Прайс-лист'!$T$11:$T$310,MATCH(ROWS($A$16:A92),'Прайс-лист'!$T$11:$T$310,0))="","",ROWS($A$16:A92)),"")</f>
        <v/>
      </c>
      <c r="B92" s="15" t="str">
        <f>IFERROR(INDEX('Прайс-лист'!$A$11:$A$310,MATCH(ROWS($A$16:A92),'Прайс-лист'!$T$11:$T$310,0)),"")</f>
        <v/>
      </c>
      <c r="C92" s="15" t="str">
        <f>IFERROR(INDEX('Прайс-лист'!$B$11:$B$310,MATCH(ROWS($A$16:A92),'Прайс-лист'!$T$11:$T$310,0)),"")</f>
        <v/>
      </c>
      <c r="D92" s="15" t="str">
        <f>IFERROR(INDEX('Прайс-лист'!$C$11:$C$310,MATCH(ROWS($A$16:A92),'Прайс-лист'!$T$11:$T$310,0)),"")</f>
        <v/>
      </c>
      <c r="E92" s="15" t="str">
        <f>IFERROR(INDEX('Прайс-лист'!$E$11:$E$310,MATCH(ROWS($A$16:A92),'Прайс-лист'!$T$11:$T$310,0)),"")</f>
        <v/>
      </c>
      <c r="F92" s="15" t="str">
        <f>IFERROR(INDEX('Прайс-лист'!$F$11:$F$310,MATCH(ROWS($A$16:A92),'Прайс-лист'!$T$11:$T$310,0)),"")</f>
        <v/>
      </c>
      <c r="G92" s="16" t="str">
        <f>IFERROR(INDEX('Прайс-лист'!$R$11:$R$310,MATCH(ROWS($A$16:A92),'Прайс-лист'!$T$11:$T$310,0)),"")</f>
        <v/>
      </c>
      <c r="H92" s="15" t="str">
        <f>IFERROR(INDEX('Прайс-лист'!$P$11:$P$310,MATCH(ROWS($A$16:A92),'Прайс-лист'!$T$11:$T$310,0)),"")</f>
        <v/>
      </c>
      <c r="I92" s="16" t="str">
        <f>IFERROR(INDEX('Прайс-лист'!$S$11:$S$310,MATCH(ROWS($A$16:A92),'Прайс-лист'!$T$11:$T$310,0)),"")</f>
        <v/>
      </c>
      <c r="J92" s="15" t="str">
        <f>IFERROR(INDEX('Прайс-лист'!$Q$11:$Q$310,MATCH(ROWS($A$16:A92),'Прайс-лист'!$T$11:$T$310,0)),"")</f>
        <v/>
      </c>
    </row>
    <row r="93" spans="1:10" ht="15" customHeight="1" x14ac:dyDescent="0.2">
      <c r="A93" s="15" t="str">
        <f>IFERROR(IF(INDEX('Прайс-лист'!$T$11:$T$310,MATCH(ROWS($A$16:A93),'Прайс-лист'!$T$11:$T$310,0))="","",ROWS($A$16:A93)),"")</f>
        <v/>
      </c>
      <c r="B93" s="15" t="str">
        <f>IFERROR(INDEX('Прайс-лист'!$A$11:$A$310,MATCH(ROWS($A$16:A93),'Прайс-лист'!$T$11:$T$310,0)),"")</f>
        <v/>
      </c>
      <c r="C93" s="15" t="str">
        <f>IFERROR(INDEX('Прайс-лист'!$B$11:$B$310,MATCH(ROWS($A$16:A93),'Прайс-лист'!$T$11:$T$310,0)),"")</f>
        <v/>
      </c>
      <c r="D93" s="15" t="str">
        <f>IFERROR(INDEX('Прайс-лист'!$C$11:$C$310,MATCH(ROWS($A$16:A93),'Прайс-лист'!$T$11:$T$310,0)),"")</f>
        <v/>
      </c>
      <c r="E93" s="15" t="str">
        <f>IFERROR(INDEX('Прайс-лист'!$E$11:$E$310,MATCH(ROWS($A$16:A93),'Прайс-лист'!$T$11:$T$310,0)),"")</f>
        <v/>
      </c>
      <c r="F93" s="15" t="str">
        <f>IFERROR(INDEX('Прайс-лист'!$F$11:$F$310,MATCH(ROWS($A$16:A93),'Прайс-лист'!$T$11:$T$310,0)),"")</f>
        <v/>
      </c>
      <c r="G93" s="16" t="str">
        <f>IFERROR(INDEX('Прайс-лист'!$R$11:$R$310,MATCH(ROWS($A$16:A93),'Прайс-лист'!$T$11:$T$310,0)),"")</f>
        <v/>
      </c>
      <c r="H93" s="15" t="str">
        <f>IFERROR(INDEX('Прайс-лист'!$P$11:$P$310,MATCH(ROWS($A$16:A93),'Прайс-лист'!$T$11:$T$310,0)),"")</f>
        <v/>
      </c>
      <c r="I93" s="16" t="str">
        <f>IFERROR(INDEX('Прайс-лист'!$S$11:$S$310,MATCH(ROWS($A$16:A93),'Прайс-лист'!$T$11:$T$310,0)),"")</f>
        <v/>
      </c>
      <c r="J93" s="15" t="str">
        <f>IFERROR(INDEX('Прайс-лист'!$Q$11:$Q$310,MATCH(ROWS($A$16:A93),'Прайс-лист'!$T$11:$T$310,0)),"")</f>
        <v/>
      </c>
    </row>
    <row r="94" spans="1:10" ht="15" customHeight="1" x14ac:dyDescent="0.2">
      <c r="A94" s="15" t="str">
        <f>IFERROR(IF(INDEX('Прайс-лист'!$T$11:$T$310,MATCH(ROWS($A$16:A94),'Прайс-лист'!$T$11:$T$310,0))="","",ROWS($A$16:A94)),"")</f>
        <v/>
      </c>
      <c r="B94" s="15" t="str">
        <f>IFERROR(INDEX('Прайс-лист'!$A$11:$A$310,MATCH(ROWS($A$16:A94),'Прайс-лист'!$T$11:$T$310,0)),"")</f>
        <v/>
      </c>
      <c r="C94" s="15" t="str">
        <f>IFERROR(INDEX('Прайс-лист'!$B$11:$B$310,MATCH(ROWS($A$16:A94),'Прайс-лист'!$T$11:$T$310,0)),"")</f>
        <v/>
      </c>
      <c r="D94" s="15" t="str">
        <f>IFERROR(INDEX('Прайс-лист'!$C$11:$C$310,MATCH(ROWS($A$16:A94),'Прайс-лист'!$T$11:$T$310,0)),"")</f>
        <v/>
      </c>
      <c r="E94" s="15" t="str">
        <f>IFERROR(INDEX('Прайс-лист'!$E$11:$E$310,MATCH(ROWS($A$16:A94),'Прайс-лист'!$T$11:$T$310,0)),"")</f>
        <v/>
      </c>
      <c r="F94" s="15" t="str">
        <f>IFERROR(INDEX('Прайс-лист'!$F$11:$F$310,MATCH(ROWS($A$16:A94),'Прайс-лист'!$T$11:$T$310,0)),"")</f>
        <v/>
      </c>
      <c r="G94" s="16" t="str">
        <f>IFERROR(INDEX('Прайс-лист'!$R$11:$R$310,MATCH(ROWS($A$16:A94),'Прайс-лист'!$T$11:$T$310,0)),"")</f>
        <v/>
      </c>
      <c r="H94" s="15" t="str">
        <f>IFERROR(INDEX('Прайс-лист'!$P$11:$P$310,MATCH(ROWS($A$16:A94),'Прайс-лист'!$T$11:$T$310,0)),"")</f>
        <v/>
      </c>
      <c r="I94" s="16" t="str">
        <f>IFERROR(INDEX('Прайс-лист'!$S$11:$S$310,MATCH(ROWS($A$16:A94),'Прайс-лист'!$T$11:$T$310,0)),"")</f>
        <v/>
      </c>
      <c r="J94" s="15" t="str">
        <f>IFERROR(INDEX('Прайс-лист'!$Q$11:$Q$310,MATCH(ROWS($A$16:A94),'Прайс-лист'!$T$11:$T$310,0)),"")</f>
        <v/>
      </c>
    </row>
    <row r="95" spans="1:10" ht="15" customHeight="1" x14ac:dyDescent="0.2">
      <c r="A95" s="15" t="str">
        <f>IFERROR(IF(INDEX('Прайс-лист'!$T$11:$T$310,MATCH(ROWS($A$16:A95),'Прайс-лист'!$T$11:$T$310,0))="","",ROWS($A$16:A95)),"")</f>
        <v/>
      </c>
      <c r="B95" s="15" t="str">
        <f>IFERROR(INDEX('Прайс-лист'!$A$11:$A$310,MATCH(ROWS($A$16:A95),'Прайс-лист'!$T$11:$T$310,0)),"")</f>
        <v/>
      </c>
      <c r="C95" s="15" t="str">
        <f>IFERROR(INDEX('Прайс-лист'!$B$11:$B$310,MATCH(ROWS($A$16:A95),'Прайс-лист'!$T$11:$T$310,0)),"")</f>
        <v/>
      </c>
      <c r="D95" s="15" t="str">
        <f>IFERROR(INDEX('Прайс-лист'!$C$11:$C$310,MATCH(ROWS($A$16:A95),'Прайс-лист'!$T$11:$T$310,0)),"")</f>
        <v/>
      </c>
      <c r="E95" s="15" t="str">
        <f>IFERROR(INDEX('Прайс-лист'!$E$11:$E$310,MATCH(ROWS($A$16:A95),'Прайс-лист'!$T$11:$T$310,0)),"")</f>
        <v/>
      </c>
      <c r="F95" s="15" t="str">
        <f>IFERROR(INDEX('Прайс-лист'!$F$11:$F$310,MATCH(ROWS($A$16:A95),'Прайс-лист'!$T$11:$T$310,0)),"")</f>
        <v/>
      </c>
      <c r="G95" s="16" t="str">
        <f>IFERROR(INDEX('Прайс-лист'!$R$11:$R$310,MATCH(ROWS($A$16:A95),'Прайс-лист'!$T$11:$T$310,0)),"")</f>
        <v/>
      </c>
      <c r="H95" s="15" t="str">
        <f>IFERROR(INDEX('Прайс-лист'!$P$11:$P$310,MATCH(ROWS($A$16:A95),'Прайс-лист'!$T$11:$T$310,0)),"")</f>
        <v/>
      </c>
      <c r="I95" s="16" t="str">
        <f>IFERROR(INDEX('Прайс-лист'!$S$11:$S$310,MATCH(ROWS($A$16:A95),'Прайс-лист'!$T$11:$T$310,0)),"")</f>
        <v/>
      </c>
      <c r="J95" s="15" t="str">
        <f>IFERROR(INDEX('Прайс-лист'!$Q$11:$Q$310,MATCH(ROWS($A$16:A95),'Прайс-лист'!$T$11:$T$310,0)),"")</f>
        <v/>
      </c>
    </row>
    <row r="96" spans="1:10" ht="15" customHeight="1" x14ac:dyDescent="0.2">
      <c r="A96" s="15" t="str">
        <f>IFERROR(IF(INDEX('Прайс-лист'!$T$11:$T$310,MATCH(ROWS($A$16:A96),'Прайс-лист'!$T$11:$T$310,0))="","",ROWS($A$16:A96)),"")</f>
        <v/>
      </c>
      <c r="B96" s="15" t="str">
        <f>IFERROR(INDEX('Прайс-лист'!$A$11:$A$310,MATCH(ROWS($A$16:A96),'Прайс-лист'!$T$11:$T$310,0)),"")</f>
        <v/>
      </c>
      <c r="C96" s="15" t="str">
        <f>IFERROR(INDEX('Прайс-лист'!$B$11:$B$310,MATCH(ROWS($A$16:A96),'Прайс-лист'!$T$11:$T$310,0)),"")</f>
        <v/>
      </c>
      <c r="D96" s="15" t="str">
        <f>IFERROR(INDEX('Прайс-лист'!$C$11:$C$310,MATCH(ROWS($A$16:A96),'Прайс-лист'!$T$11:$T$310,0)),"")</f>
        <v/>
      </c>
      <c r="E96" s="15" t="str">
        <f>IFERROR(INDEX('Прайс-лист'!$E$11:$E$310,MATCH(ROWS($A$16:A96),'Прайс-лист'!$T$11:$T$310,0)),"")</f>
        <v/>
      </c>
      <c r="F96" s="15" t="str">
        <f>IFERROR(INDEX('Прайс-лист'!$F$11:$F$310,MATCH(ROWS($A$16:A96),'Прайс-лист'!$T$11:$T$310,0)),"")</f>
        <v/>
      </c>
      <c r="G96" s="16" t="str">
        <f>IFERROR(INDEX('Прайс-лист'!$R$11:$R$310,MATCH(ROWS($A$16:A96),'Прайс-лист'!$T$11:$T$310,0)),"")</f>
        <v/>
      </c>
      <c r="H96" s="15" t="str">
        <f>IFERROR(INDEX('Прайс-лист'!$P$11:$P$310,MATCH(ROWS($A$16:A96),'Прайс-лист'!$T$11:$T$310,0)),"")</f>
        <v/>
      </c>
      <c r="I96" s="16" t="str">
        <f>IFERROR(INDEX('Прайс-лист'!$S$11:$S$310,MATCH(ROWS($A$16:A96),'Прайс-лист'!$T$11:$T$310,0)),"")</f>
        <v/>
      </c>
      <c r="J96" s="15" t="str">
        <f>IFERROR(INDEX('Прайс-лист'!$Q$11:$Q$310,MATCH(ROWS($A$16:A96),'Прайс-лист'!$T$11:$T$310,0)),"")</f>
        <v/>
      </c>
    </row>
    <row r="97" spans="1:10" ht="15" customHeight="1" x14ac:dyDescent="0.2">
      <c r="A97" s="15" t="str">
        <f>IFERROR(IF(INDEX('Прайс-лист'!$T$11:$T$310,MATCH(ROWS($A$16:A97),'Прайс-лист'!$T$11:$T$310,0))="","",ROWS($A$16:A97)),"")</f>
        <v/>
      </c>
      <c r="B97" s="15" t="str">
        <f>IFERROR(INDEX('Прайс-лист'!$A$11:$A$310,MATCH(ROWS($A$16:A97),'Прайс-лист'!$T$11:$T$310,0)),"")</f>
        <v/>
      </c>
      <c r="C97" s="15" t="str">
        <f>IFERROR(INDEX('Прайс-лист'!$B$11:$B$310,MATCH(ROWS($A$16:A97),'Прайс-лист'!$T$11:$T$310,0)),"")</f>
        <v/>
      </c>
      <c r="D97" s="15" t="str">
        <f>IFERROR(INDEX('Прайс-лист'!$C$11:$C$310,MATCH(ROWS($A$16:A97),'Прайс-лист'!$T$11:$T$310,0)),"")</f>
        <v/>
      </c>
      <c r="E97" s="15" t="str">
        <f>IFERROR(INDEX('Прайс-лист'!$E$11:$E$310,MATCH(ROWS($A$16:A97),'Прайс-лист'!$T$11:$T$310,0)),"")</f>
        <v/>
      </c>
      <c r="F97" s="15" t="str">
        <f>IFERROR(INDEX('Прайс-лист'!$F$11:$F$310,MATCH(ROWS($A$16:A97),'Прайс-лист'!$T$11:$T$310,0)),"")</f>
        <v/>
      </c>
      <c r="G97" s="16" t="str">
        <f>IFERROR(INDEX('Прайс-лист'!$R$11:$R$310,MATCH(ROWS($A$16:A97),'Прайс-лист'!$T$11:$T$310,0)),"")</f>
        <v/>
      </c>
      <c r="H97" s="15" t="str">
        <f>IFERROR(INDEX('Прайс-лист'!$P$11:$P$310,MATCH(ROWS($A$16:A97),'Прайс-лист'!$T$11:$T$310,0)),"")</f>
        <v/>
      </c>
      <c r="I97" s="16" t="str">
        <f>IFERROR(INDEX('Прайс-лист'!$S$11:$S$310,MATCH(ROWS($A$16:A97),'Прайс-лист'!$T$11:$T$310,0)),"")</f>
        <v/>
      </c>
      <c r="J97" s="15" t="str">
        <f>IFERROR(INDEX('Прайс-лист'!$Q$11:$Q$310,MATCH(ROWS($A$16:A97),'Прайс-лист'!$T$11:$T$310,0)),"")</f>
        <v/>
      </c>
    </row>
    <row r="98" spans="1:10" ht="15" customHeight="1" x14ac:dyDescent="0.2">
      <c r="A98" s="15" t="str">
        <f>IFERROR(IF(INDEX('Прайс-лист'!$T$11:$T$310,MATCH(ROWS($A$16:A98),'Прайс-лист'!$T$11:$T$310,0))="","",ROWS($A$16:A98)),"")</f>
        <v/>
      </c>
      <c r="B98" s="15" t="str">
        <f>IFERROR(INDEX('Прайс-лист'!$A$11:$A$310,MATCH(ROWS($A$16:A98),'Прайс-лист'!$T$11:$T$310,0)),"")</f>
        <v/>
      </c>
      <c r="C98" s="15" t="str">
        <f>IFERROR(INDEX('Прайс-лист'!$B$11:$B$310,MATCH(ROWS($A$16:A98),'Прайс-лист'!$T$11:$T$310,0)),"")</f>
        <v/>
      </c>
      <c r="D98" s="15" t="str">
        <f>IFERROR(INDEX('Прайс-лист'!$C$11:$C$310,MATCH(ROWS($A$16:A98),'Прайс-лист'!$T$11:$T$310,0)),"")</f>
        <v/>
      </c>
      <c r="E98" s="15" t="str">
        <f>IFERROR(INDEX('Прайс-лист'!$E$11:$E$310,MATCH(ROWS($A$16:A98),'Прайс-лист'!$T$11:$T$310,0)),"")</f>
        <v/>
      </c>
      <c r="F98" s="15" t="str">
        <f>IFERROR(INDEX('Прайс-лист'!$F$11:$F$310,MATCH(ROWS($A$16:A98),'Прайс-лист'!$T$11:$T$310,0)),"")</f>
        <v/>
      </c>
      <c r="G98" s="16" t="str">
        <f>IFERROR(INDEX('Прайс-лист'!$R$11:$R$310,MATCH(ROWS($A$16:A98),'Прайс-лист'!$T$11:$T$310,0)),"")</f>
        <v/>
      </c>
      <c r="H98" s="15" t="str">
        <f>IFERROR(INDEX('Прайс-лист'!$P$11:$P$310,MATCH(ROWS($A$16:A98),'Прайс-лист'!$T$11:$T$310,0)),"")</f>
        <v/>
      </c>
      <c r="I98" s="16" t="str">
        <f>IFERROR(INDEX('Прайс-лист'!$S$11:$S$310,MATCH(ROWS($A$16:A98),'Прайс-лист'!$T$11:$T$310,0)),"")</f>
        <v/>
      </c>
      <c r="J98" s="15" t="str">
        <f>IFERROR(INDEX('Прайс-лист'!$Q$11:$Q$310,MATCH(ROWS($A$16:A98),'Прайс-лист'!$T$11:$T$310,0)),"")</f>
        <v/>
      </c>
    </row>
    <row r="99" spans="1:10" ht="15" customHeight="1" x14ac:dyDescent="0.2">
      <c r="A99" s="15" t="str">
        <f>IFERROR(IF(INDEX('Прайс-лист'!$T$11:$T$310,MATCH(ROWS($A$16:A99),'Прайс-лист'!$T$11:$T$310,0))="","",ROWS($A$16:A99)),"")</f>
        <v/>
      </c>
      <c r="B99" s="15" t="str">
        <f>IFERROR(INDEX('Прайс-лист'!$A$11:$A$310,MATCH(ROWS($A$16:A99),'Прайс-лист'!$T$11:$T$310,0)),"")</f>
        <v/>
      </c>
      <c r="C99" s="15" t="str">
        <f>IFERROR(INDEX('Прайс-лист'!$B$11:$B$310,MATCH(ROWS($A$16:A99),'Прайс-лист'!$T$11:$T$310,0)),"")</f>
        <v/>
      </c>
      <c r="D99" s="15" t="str">
        <f>IFERROR(INDEX('Прайс-лист'!$C$11:$C$310,MATCH(ROWS($A$16:A99),'Прайс-лист'!$T$11:$T$310,0)),"")</f>
        <v/>
      </c>
      <c r="E99" s="15" t="str">
        <f>IFERROR(INDEX('Прайс-лист'!$E$11:$E$310,MATCH(ROWS($A$16:A99),'Прайс-лист'!$T$11:$T$310,0)),"")</f>
        <v/>
      </c>
      <c r="F99" s="15" t="str">
        <f>IFERROR(INDEX('Прайс-лист'!$F$11:$F$310,MATCH(ROWS($A$16:A99),'Прайс-лист'!$T$11:$T$310,0)),"")</f>
        <v/>
      </c>
      <c r="G99" s="16" t="str">
        <f>IFERROR(INDEX('Прайс-лист'!$R$11:$R$310,MATCH(ROWS($A$16:A99),'Прайс-лист'!$T$11:$T$310,0)),"")</f>
        <v/>
      </c>
      <c r="H99" s="15" t="str">
        <f>IFERROR(INDEX('Прайс-лист'!$P$11:$P$310,MATCH(ROWS($A$16:A99),'Прайс-лист'!$T$11:$T$310,0)),"")</f>
        <v/>
      </c>
      <c r="I99" s="16" t="str">
        <f>IFERROR(INDEX('Прайс-лист'!$S$11:$S$310,MATCH(ROWS($A$16:A99),'Прайс-лист'!$T$11:$T$310,0)),"")</f>
        <v/>
      </c>
      <c r="J99" s="15" t="str">
        <f>IFERROR(INDEX('Прайс-лист'!$Q$11:$Q$310,MATCH(ROWS($A$16:A99),'Прайс-лист'!$T$11:$T$310,0)),"")</f>
        <v/>
      </c>
    </row>
    <row r="100" spans="1:10" ht="15" customHeight="1" x14ac:dyDescent="0.2">
      <c r="A100" s="15" t="str">
        <f>IFERROR(IF(INDEX('Прайс-лист'!$T$11:$T$310,MATCH(ROWS($A$16:A100),'Прайс-лист'!$T$11:$T$310,0))="","",ROWS($A$16:A100)),"")</f>
        <v/>
      </c>
      <c r="B100" s="15" t="str">
        <f>IFERROR(INDEX('Прайс-лист'!$A$11:$A$310,MATCH(ROWS($A$16:A100),'Прайс-лист'!$T$11:$T$310,0)),"")</f>
        <v/>
      </c>
      <c r="C100" s="15" t="str">
        <f>IFERROR(INDEX('Прайс-лист'!$B$11:$B$310,MATCH(ROWS($A$16:A100),'Прайс-лист'!$T$11:$T$310,0)),"")</f>
        <v/>
      </c>
      <c r="D100" s="15" t="str">
        <f>IFERROR(INDEX('Прайс-лист'!$C$11:$C$310,MATCH(ROWS($A$16:A100),'Прайс-лист'!$T$11:$T$310,0)),"")</f>
        <v/>
      </c>
      <c r="E100" s="15" t="str">
        <f>IFERROR(INDEX('Прайс-лист'!$E$11:$E$310,MATCH(ROWS($A$16:A100),'Прайс-лист'!$T$11:$T$310,0)),"")</f>
        <v/>
      </c>
      <c r="F100" s="15" t="str">
        <f>IFERROR(INDEX('Прайс-лист'!$F$11:$F$310,MATCH(ROWS($A$16:A100),'Прайс-лист'!$T$11:$T$310,0)),"")</f>
        <v/>
      </c>
      <c r="G100" s="16" t="str">
        <f>IFERROR(INDEX('Прайс-лист'!$R$11:$R$310,MATCH(ROWS($A$16:A100),'Прайс-лист'!$T$11:$T$310,0)),"")</f>
        <v/>
      </c>
      <c r="H100" s="15" t="str">
        <f>IFERROR(INDEX('Прайс-лист'!$P$11:$P$310,MATCH(ROWS($A$16:A100),'Прайс-лист'!$T$11:$T$310,0)),"")</f>
        <v/>
      </c>
      <c r="I100" s="16" t="str">
        <f>IFERROR(INDEX('Прайс-лист'!$S$11:$S$310,MATCH(ROWS($A$16:A100),'Прайс-лист'!$T$11:$T$310,0)),"")</f>
        <v/>
      </c>
      <c r="J100" s="15" t="str">
        <f>IFERROR(INDEX('Прайс-лист'!$Q$11:$Q$310,MATCH(ROWS($A$16:A100),'Прайс-лист'!$T$11:$T$310,0)),"")</f>
        <v/>
      </c>
    </row>
    <row r="101" spans="1:10" ht="15" customHeight="1" x14ac:dyDescent="0.2">
      <c r="A101" s="15" t="str">
        <f>IFERROR(IF(INDEX('Прайс-лист'!$T$11:$T$310,MATCH(ROWS($A$16:A101),'Прайс-лист'!$T$11:$T$310,0))="","",ROWS($A$16:A101)),"")</f>
        <v/>
      </c>
      <c r="B101" s="15" t="str">
        <f>IFERROR(INDEX('Прайс-лист'!$A$11:$A$310,MATCH(ROWS($A$16:A101),'Прайс-лист'!$T$11:$T$310,0)),"")</f>
        <v/>
      </c>
      <c r="C101" s="15" t="str">
        <f>IFERROR(INDEX('Прайс-лист'!$B$11:$B$310,MATCH(ROWS($A$16:A101),'Прайс-лист'!$T$11:$T$310,0)),"")</f>
        <v/>
      </c>
      <c r="D101" s="15" t="str">
        <f>IFERROR(INDEX('Прайс-лист'!$C$11:$C$310,MATCH(ROWS($A$16:A101),'Прайс-лист'!$T$11:$T$310,0)),"")</f>
        <v/>
      </c>
      <c r="E101" s="15" t="str">
        <f>IFERROR(INDEX('Прайс-лист'!$E$11:$E$310,MATCH(ROWS($A$16:A101),'Прайс-лист'!$T$11:$T$310,0)),"")</f>
        <v/>
      </c>
      <c r="F101" s="15" t="str">
        <f>IFERROR(INDEX('Прайс-лист'!$F$11:$F$310,MATCH(ROWS($A$16:A101),'Прайс-лист'!$T$11:$T$310,0)),"")</f>
        <v/>
      </c>
      <c r="G101" s="16" t="str">
        <f>IFERROR(INDEX('Прайс-лист'!$R$11:$R$310,MATCH(ROWS($A$16:A101),'Прайс-лист'!$T$11:$T$310,0)),"")</f>
        <v/>
      </c>
      <c r="H101" s="15" t="str">
        <f>IFERROR(INDEX('Прайс-лист'!$P$11:$P$310,MATCH(ROWS($A$16:A101),'Прайс-лист'!$T$11:$T$310,0)),"")</f>
        <v/>
      </c>
      <c r="I101" s="16" t="str">
        <f>IFERROR(INDEX('Прайс-лист'!$S$11:$S$310,MATCH(ROWS($A$16:A101),'Прайс-лист'!$T$11:$T$310,0)),"")</f>
        <v/>
      </c>
      <c r="J101" s="15" t="str">
        <f>IFERROR(INDEX('Прайс-лист'!$Q$11:$Q$310,MATCH(ROWS($A$16:A101),'Прайс-лист'!$T$11:$T$310,0)),"")</f>
        <v/>
      </c>
    </row>
    <row r="102" spans="1:10" ht="15" customHeight="1" x14ac:dyDescent="0.2">
      <c r="A102" s="15" t="str">
        <f>IFERROR(IF(INDEX('Прайс-лист'!$T$11:$T$310,MATCH(ROWS($A$16:A102),'Прайс-лист'!$T$11:$T$310,0))="","",ROWS($A$16:A102)),"")</f>
        <v/>
      </c>
      <c r="B102" s="15" t="str">
        <f>IFERROR(INDEX('Прайс-лист'!$A$11:$A$310,MATCH(ROWS($A$16:A102),'Прайс-лист'!$T$11:$T$310,0)),"")</f>
        <v/>
      </c>
      <c r="C102" s="15" t="str">
        <f>IFERROR(INDEX('Прайс-лист'!$B$11:$B$310,MATCH(ROWS($A$16:A102),'Прайс-лист'!$T$11:$T$310,0)),"")</f>
        <v/>
      </c>
      <c r="D102" s="15" t="str">
        <f>IFERROR(INDEX('Прайс-лист'!$C$11:$C$310,MATCH(ROWS($A$16:A102),'Прайс-лист'!$T$11:$T$310,0)),"")</f>
        <v/>
      </c>
      <c r="E102" s="15" t="str">
        <f>IFERROR(INDEX('Прайс-лист'!$E$11:$E$310,MATCH(ROWS($A$16:A102),'Прайс-лист'!$T$11:$T$310,0)),"")</f>
        <v/>
      </c>
      <c r="F102" s="15" t="str">
        <f>IFERROR(INDEX('Прайс-лист'!$F$11:$F$310,MATCH(ROWS($A$16:A102),'Прайс-лист'!$T$11:$T$310,0)),"")</f>
        <v/>
      </c>
      <c r="G102" s="16" t="str">
        <f>IFERROR(INDEX('Прайс-лист'!$R$11:$R$310,MATCH(ROWS($A$16:A102),'Прайс-лист'!$T$11:$T$310,0)),"")</f>
        <v/>
      </c>
      <c r="H102" s="15" t="str">
        <f>IFERROR(INDEX('Прайс-лист'!$P$11:$P$310,MATCH(ROWS($A$16:A102),'Прайс-лист'!$T$11:$T$310,0)),"")</f>
        <v/>
      </c>
      <c r="I102" s="16" t="str">
        <f>IFERROR(INDEX('Прайс-лист'!$S$11:$S$310,MATCH(ROWS($A$16:A102),'Прайс-лист'!$T$11:$T$310,0)),"")</f>
        <v/>
      </c>
      <c r="J102" s="15" t="str">
        <f>IFERROR(INDEX('Прайс-лист'!$Q$11:$Q$310,MATCH(ROWS($A$16:A102),'Прайс-лист'!$T$11:$T$310,0)),"")</f>
        <v/>
      </c>
    </row>
    <row r="103" spans="1:10" ht="15" customHeight="1" x14ac:dyDescent="0.2">
      <c r="A103" s="15" t="str">
        <f>IFERROR(IF(INDEX('Прайс-лист'!$T$11:$T$310,MATCH(ROWS($A$16:A103),'Прайс-лист'!$T$11:$T$310,0))="","",ROWS($A$16:A103)),"")</f>
        <v/>
      </c>
      <c r="B103" s="15" t="str">
        <f>IFERROR(INDEX('Прайс-лист'!$A$11:$A$310,MATCH(ROWS($A$16:A103),'Прайс-лист'!$T$11:$T$310,0)),"")</f>
        <v/>
      </c>
      <c r="C103" s="15" t="str">
        <f>IFERROR(INDEX('Прайс-лист'!$B$11:$B$310,MATCH(ROWS($A$16:A103),'Прайс-лист'!$T$11:$T$310,0)),"")</f>
        <v/>
      </c>
      <c r="D103" s="15" t="str">
        <f>IFERROR(INDEX('Прайс-лист'!$C$11:$C$310,MATCH(ROWS($A$16:A103),'Прайс-лист'!$T$11:$T$310,0)),"")</f>
        <v/>
      </c>
      <c r="E103" s="15" t="str">
        <f>IFERROR(INDEX('Прайс-лист'!$E$11:$E$310,MATCH(ROWS($A$16:A103),'Прайс-лист'!$T$11:$T$310,0)),"")</f>
        <v/>
      </c>
      <c r="F103" s="15" t="str">
        <f>IFERROR(INDEX('Прайс-лист'!$F$11:$F$310,MATCH(ROWS($A$16:A103),'Прайс-лист'!$T$11:$T$310,0)),"")</f>
        <v/>
      </c>
      <c r="G103" s="16" t="str">
        <f>IFERROR(INDEX('Прайс-лист'!$R$11:$R$310,MATCH(ROWS($A$16:A103),'Прайс-лист'!$T$11:$T$310,0)),"")</f>
        <v/>
      </c>
      <c r="H103" s="15" t="str">
        <f>IFERROR(INDEX('Прайс-лист'!$P$11:$P$310,MATCH(ROWS($A$16:A103),'Прайс-лист'!$T$11:$T$310,0)),"")</f>
        <v/>
      </c>
      <c r="I103" s="16" t="str">
        <f>IFERROR(INDEX('Прайс-лист'!$S$11:$S$310,MATCH(ROWS($A$16:A103),'Прайс-лист'!$T$11:$T$310,0)),"")</f>
        <v/>
      </c>
      <c r="J103" s="15" t="str">
        <f>IFERROR(INDEX('Прайс-лист'!$Q$11:$Q$310,MATCH(ROWS($A$16:A103),'Прайс-лист'!$T$11:$T$310,0)),"")</f>
        <v/>
      </c>
    </row>
    <row r="104" spans="1:10" ht="15" customHeight="1" x14ac:dyDescent="0.2">
      <c r="A104" s="15" t="str">
        <f>IFERROR(IF(INDEX('Прайс-лист'!$T$11:$T$310,MATCH(ROWS($A$16:A104),'Прайс-лист'!$T$11:$T$310,0))="","",ROWS($A$16:A104)),"")</f>
        <v/>
      </c>
      <c r="B104" s="15" t="str">
        <f>IFERROR(INDEX('Прайс-лист'!$A$11:$A$310,MATCH(ROWS($A$16:A104),'Прайс-лист'!$T$11:$T$310,0)),"")</f>
        <v/>
      </c>
      <c r="C104" s="15" t="str">
        <f>IFERROR(INDEX('Прайс-лист'!$B$11:$B$310,MATCH(ROWS($A$16:A104),'Прайс-лист'!$T$11:$T$310,0)),"")</f>
        <v/>
      </c>
      <c r="D104" s="15" t="str">
        <f>IFERROR(INDEX('Прайс-лист'!$C$11:$C$310,MATCH(ROWS($A$16:A104),'Прайс-лист'!$T$11:$T$310,0)),"")</f>
        <v/>
      </c>
      <c r="E104" s="15" t="str">
        <f>IFERROR(INDEX('Прайс-лист'!$E$11:$E$310,MATCH(ROWS($A$16:A104),'Прайс-лист'!$T$11:$T$310,0)),"")</f>
        <v/>
      </c>
      <c r="F104" s="15" t="str">
        <f>IFERROR(INDEX('Прайс-лист'!$F$11:$F$310,MATCH(ROWS($A$16:A104),'Прайс-лист'!$T$11:$T$310,0)),"")</f>
        <v/>
      </c>
      <c r="G104" s="16" t="str">
        <f>IFERROR(INDEX('Прайс-лист'!$R$11:$R$310,MATCH(ROWS($A$16:A104),'Прайс-лист'!$T$11:$T$310,0)),"")</f>
        <v/>
      </c>
      <c r="H104" s="15" t="str">
        <f>IFERROR(INDEX('Прайс-лист'!$P$11:$P$310,MATCH(ROWS($A$16:A104),'Прайс-лист'!$T$11:$T$310,0)),"")</f>
        <v/>
      </c>
      <c r="I104" s="16" t="str">
        <f>IFERROR(INDEX('Прайс-лист'!$S$11:$S$310,MATCH(ROWS($A$16:A104),'Прайс-лист'!$T$11:$T$310,0)),"")</f>
        <v/>
      </c>
      <c r="J104" s="15" t="str">
        <f>IFERROR(INDEX('Прайс-лист'!$Q$11:$Q$310,MATCH(ROWS($A$16:A104),'Прайс-лист'!$T$11:$T$310,0)),"")</f>
        <v/>
      </c>
    </row>
    <row r="105" spans="1:10" ht="15" customHeight="1" x14ac:dyDescent="0.2">
      <c r="A105" s="15" t="str">
        <f>IFERROR(IF(INDEX('Прайс-лист'!$T$11:$T$310,MATCH(ROWS($A$16:A105),'Прайс-лист'!$T$11:$T$310,0))="","",ROWS($A$16:A105)),"")</f>
        <v/>
      </c>
      <c r="B105" s="15" t="str">
        <f>IFERROR(INDEX('Прайс-лист'!$A$11:$A$310,MATCH(ROWS($A$16:A105),'Прайс-лист'!$T$11:$T$310,0)),"")</f>
        <v/>
      </c>
      <c r="C105" s="15" t="str">
        <f>IFERROR(INDEX('Прайс-лист'!$B$11:$B$310,MATCH(ROWS($A$16:A105),'Прайс-лист'!$T$11:$T$310,0)),"")</f>
        <v/>
      </c>
      <c r="D105" s="15" t="str">
        <f>IFERROR(INDEX('Прайс-лист'!$C$11:$C$310,MATCH(ROWS($A$16:A105),'Прайс-лист'!$T$11:$T$310,0)),"")</f>
        <v/>
      </c>
      <c r="E105" s="15" t="str">
        <f>IFERROR(INDEX('Прайс-лист'!$E$11:$E$310,MATCH(ROWS($A$16:A105),'Прайс-лист'!$T$11:$T$310,0)),"")</f>
        <v/>
      </c>
      <c r="F105" s="15" t="str">
        <f>IFERROR(INDEX('Прайс-лист'!$F$11:$F$310,MATCH(ROWS($A$16:A105),'Прайс-лист'!$T$11:$T$310,0)),"")</f>
        <v/>
      </c>
      <c r="G105" s="16" t="str">
        <f>IFERROR(INDEX('Прайс-лист'!$R$11:$R$310,MATCH(ROWS($A$16:A105),'Прайс-лист'!$T$11:$T$310,0)),"")</f>
        <v/>
      </c>
      <c r="H105" s="15" t="str">
        <f>IFERROR(INDEX('Прайс-лист'!$P$11:$P$310,MATCH(ROWS($A$16:A105),'Прайс-лист'!$T$11:$T$310,0)),"")</f>
        <v/>
      </c>
      <c r="I105" s="16" t="str">
        <f>IFERROR(INDEX('Прайс-лист'!$S$11:$S$310,MATCH(ROWS($A$16:A105),'Прайс-лист'!$T$11:$T$310,0)),"")</f>
        <v/>
      </c>
      <c r="J105" s="15" t="str">
        <f>IFERROR(INDEX('Прайс-лист'!$Q$11:$Q$310,MATCH(ROWS($A$16:A105),'Прайс-лист'!$T$11:$T$310,0)),"")</f>
        <v/>
      </c>
    </row>
    <row r="106" spans="1:10" ht="15" customHeight="1" x14ac:dyDescent="0.2">
      <c r="A106" s="15" t="str">
        <f>IFERROR(IF(INDEX('Прайс-лист'!$T$11:$T$310,MATCH(ROWS($A$16:A106),'Прайс-лист'!$T$11:$T$310,0))="","",ROWS($A$16:A106)),"")</f>
        <v/>
      </c>
      <c r="B106" s="15" t="str">
        <f>IFERROR(INDEX('Прайс-лист'!$A$11:$A$310,MATCH(ROWS($A$16:A106),'Прайс-лист'!$T$11:$T$310,0)),"")</f>
        <v/>
      </c>
      <c r="C106" s="15" t="str">
        <f>IFERROR(INDEX('Прайс-лист'!$B$11:$B$310,MATCH(ROWS($A$16:A106),'Прайс-лист'!$T$11:$T$310,0)),"")</f>
        <v/>
      </c>
      <c r="D106" s="15" t="str">
        <f>IFERROR(INDEX('Прайс-лист'!$C$11:$C$310,MATCH(ROWS($A$16:A106),'Прайс-лист'!$T$11:$T$310,0)),"")</f>
        <v/>
      </c>
      <c r="E106" s="15" t="str">
        <f>IFERROR(INDEX('Прайс-лист'!$E$11:$E$310,MATCH(ROWS($A$16:A106),'Прайс-лист'!$T$11:$T$310,0)),"")</f>
        <v/>
      </c>
      <c r="F106" s="15" t="str">
        <f>IFERROR(INDEX('Прайс-лист'!$F$11:$F$310,MATCH(ROWS($A$16:A106),'Прайс-лист'!$T$11:$T$310,0)),"")</f>
        <v/>
      </c>
      <c r="G106" s="16" t="str">
        <f>IFERROR(INDEX('Прайс-лист'!$R$11:$R$310,MATCH(ROWS($A$16:A106),'Прайс-лист'!$T$11:$T$310,0)),"")</f>
        <v/>
      </c>
      <c r="H106" s="15" t="str">
        <f>IFERROR(INDEX('Прайс-лист'!$P$11:$P$310,MATCH(ROWS($A$16:A106),'Прайс-лист'!$T$11:$T$310,0)),"")</f>
        <v/>
      </c>
      <c r="I106" s="16" t="str">
        <f>IFERROR(INDEX('Прайс-лист'!$S$11:$S$310,MATCH(ROWS($A$16:A106),'Прайс-лист'!$T$11:$T$310,0)),"")</f>
        <v/>
      </c>
      <c r="J106" s="15" t="str">
        <f>IFERROR(INDEX('Прайс-лист'!$Q$11:$Q$310,MATCH(ROWS($A$16:A106),'Прайс-лист'!$T$11:$T$310,0)),"")</f>
        <v/>
      </c>
    </row>
    <row r="107" spans="1:10" ht="15" customHeight="1" x14ac:dyDescent="0.2">
      <c r="A107" s="15" t="str">
        <f>IFERROR(IF(INDEX('Прайс-лист'!$T$11:$T$310,MATCH(ROWS($A$16:A107),'Прайс-лист'!$T$11:$T$310,0))="","",ROWS($A$16:A107)),"")</f>
        <v/>
      </c>
      <c r="B107" s="15" t="str">
        <f>IFERROR(INDEX('Прайс-лист'!$A$11:$A$310,MATCH(ROWS($A$16:A107),'Прайс-лист'!$T$11:$T$310,0)),"")</f>
        <v/>
      </c>
      <c r="C107" s="15" t="str">
        <f>IFERROR(INDEX('Прайс-лист'!$B$11:$B$310,MATCH(ROWS($A$16:A107),'Прайс-лист'!$T$11:$T$310,0)),"")</f>
        <v/>
      </c>
      <c r="D107" s="15" t="str">
        <f>IFERROR(INDEX('Прайс-лист'!$C$11:$C$310,MATCH(ROWS($A$16:A107),'Прайс-лист'!$T$11:$T$310,0)),"")</f>
        <v/>
      </c>
      <c r="E107" s="15" t="str">
        <f>IFERROR(INDEX('Прайс-лист'!$E$11:$E$310,MATCH(ROWS($A$16:A107),'Прайс-лист'!$T$11:$T$310,0)),"")</f>
        <v/>
      </c>
      <c r="F107" s="15" t="str">
        <f>IFERROR(INDEX('Прайс-лист'!$F$11:$F$310,MATCH(ROWS($A$16:A107),'Прайс-лист'!$T$11:$T$310,0)),"")</f>
        <v/>
      </c>
      <c r="G107" s="16" t="str">
        <f>IFERROR(INDEX('Прайс-лист'!$R$11:$R$310,MATCH(ROWS($A$16:A107),'Прайс-лист'!$T$11:$T$310,0)),"")</f>
        <v/>
      </c>
      <c r="H107" s="15" t="str">
        <f>IFERROR(INDEX('Прайс-лист'!$P$11:$P$310,MATCH(ROWS($A$16:A107),'Прайс-лист'!$T$11:$T$310,0)),"")</f>
        <v/>
      </c>
      <c r="I107" s="16" t="str">
        <f>IFERROR(INDEX('Прайс-лист'!$S$11:$S$310,MATCH(ROWS($A$16:A107),'Прайс-лист'!$T$11:$T$310,0)),"")</f>
        <v/>
      </c>
      <c r="J107" s="15" t="str">
        <f>IFERROR(INDEX('Прайс-лист'!$Q$11:$Q$310,MATCH(ROWS($A$16:A107),'Прайс-лист'!$T$11:$T$310,0)),"")</f>
        <v/>
      </c>
    </row>
    <row r="108" spans="1:10" ht="15" customHeight="1" x14ac:dyDescent="0.2">
      <c r="A108" s="15" t="str">
        <f>IFERROR(IF(INDEX('Прайс-лист'!$T$11:$T$310,MATCH(ROWS($A$16:A108),'Прайс-лист'!$T$11:$T$310,0))="","",ROWS($A$16:A108)),"")</f>
        <v/>
      </c>
      <c r="B108" s="15" t="str">
        <f>IFERROR(INDEX('Прайс-лист'!$A$11:$A$310,MATCH(ROWS($A$16:A108),'Прайс-лист'!$T$11:$T$310,0)),"")</f>
        <v/>
      </c>
      <c r="C108" s="15" t="str">
        <f>IFERROR(INDEX('Прайс-лист'!$B$11:$B$310,MATCH(ROWS($A$16:A108),'Прайс-лист'!$T$11:$T$310,0)),"")</f>
        <v/>
      </c>
      <c r="D108" s="15" t="str">
        <f>IFERROR(INDEX('Прайс-лист'!$C$11:$C$310,MATCH(ROWS($A$16:A108),'Прайс-лист'!$T$11:$T$310,0)),"")</f>
        <v/>
      </c>
      <c r="E108" s="15" t="str">
        <f>IFERROR(INDEX('Прайс-лист'!$E$11:$E$310,MATCH(ROWS($A$16:A108),'Прайс-лист'!$T$11:$T$310,0)),"")</f>
        <v/>
      </c>
      <c r="F108" s="15" t="str">
        <f>IFERROR(INDEX('Прайс-лист'!$F$11:$F$310,MATCH(ROWS($A$16:A108),'Прайс-лист'!$T$11:$T$310,0)),"")</f>
        <v/>
      </c>
      <c r="G108" s="16" t="str">
        <f>IFERROR(INDEX('Прайс-лист'!$R$11:$R$310,MATCH(ROWS($A$16:A108),'Прайс-лист'!$T$11:$T$310,0)),"")</f>
        <v/>
      </c>
      <c r="H108" s="15" t="str">
        <f>IFERROR(INDEX('Прайс-лист'!$P$11:$P$310,MATCH(ROWS($A$16:A108),'Прайс-лист'!$T$11:$T$310,0)),"")</f>
        <v/>
      </c>
      <c r="I108" s="16" t="str">
        <f>IFERROR(INDEX('Прайс-лист'!$S$11:$S$310,MATCH(ROWS($A$16:A108),'Прайс-лист'!$T$11:$T$310,0)),"")</f>
        <v/>
      </c>
      <c r="J108" s="15" t="str">
        <f>IFERROR(INDEX('Прайс-лист'!$Q$11:$Q$310,MATCH(ROWS($A$16:A108),'Прайс-лист'!$T$11:$T$310,0)),"")</f>
        <v/>
      </c>
    </row>
    <row r="109" spans="1:10" ht="15" customHeight="1" x14ac:dyDescent="0.2">
      <c r="A109" s="15" t="str">
        <f>IFERROR(IF(INDEX('Прайс-лист'!$T$11:$T$310,MATCH(ROWS($A$16:A109),'Прайс-лист'!$T$11:$T$310,0))="","",ROWS($A$16:A109)),"")</f>
        <v/>
      </c>
      <c r="B109" s="15" t="str">
        <f>IFERROR(INDEX('Прайс-лист'!$A$11:$A$310,MATCH(ROWS($A$16:A109),'Прайс-лист'!$T$11:$T$310,0)),"")</f>
        <v/>
      </c>
      <c r="C109" s="15" t="str">
        <f>IFERROR(INDEX('Прайс-лист'!$B$11:$B$310,MATCH(ROWS($A$16:A109),'Прайс-лист'!$T$11:$T$310,0)),"")</f>
        <v/>
      </c>
      <c r="D109" s="15" t="str">
        <f>IFERROR(INDEX('Прайс-лист'!$C$11:$C$310,MATCH(ROWS($A$16:A109),'Прайс-лист'!$T$11:$T$310,0)),"")</f>
        <v/>
      </c>
      <c r="E109" s="15" t="str">
        <f>IFERROR(INDEX('Прайс-лист'!$E$11:$E$310,MATCH(ROWS($A$16:A109),'Прайс-лист'!$T$11:$T$310,0)),"")</f>
        <v/>
      </c>
      <c r="F109" s="15" t="str">
        <f>IFERROR(INDEX('Прайс-лист'!$F$11:$F$310,MATCH(ROWS($A$16:A109),'Прайс-лист'!$T$11:$T$310,0)),"")</f>
        <v/>
      </c>
      <c r="G109" s="16" t="str">
        <f>IFERROR(INDEX('Прайс-лист'!$R$11:$R$310,MATCH(ROWS($A$16:A109),'Прайс-лист'!$T$11:$T$310,0)),"")</f>
        <v/>
      </c>
      <c r="H109" s="15" t="str">
        <f>IFERROR(INDEX('Прайс-лист'!$P$11:$P$310,MATCH(ROWS($A$16:A109),'Прайс-лист'!$T$11:$T$310,0)),"")</f>
        <v/>
      </c>
      <c r="I109" s="16" t="str">
        <f>IFERROR(INDEX('Прайс-лист'!$S$11:$S$310,MATCH(ROWS($A$16:A109),'Прайс-лист'!$T$11:$T$310,0)),"")</f>
        <v/>
      </c>
      <c r="J109" s="15" t="str">
        <f>IFERROR(INDEX('Прайс-лист'!$Q$11:$Q$310,MATCH(ROWS($A$16:A109),'Прайс-лист'!$T$11:$T$310,0)),"")</f>
        <v/>
      </c>
    </row>
    <row r="110" spans="1:10" ht="15" customHeight="1" x14ac:dyDescent="0.2">
      <c r="A110" s="15" t="str">
        <f>IFERROR(IF(INDEX('Прайс-лист'!$T$11:$T$310,MATCH(ROWS($A$16:A110),'Прайс-лист'!$T$11:$T$310,0))="","",ROWS($A$16:A110)),"")</f>
        <v/>
      </c>
      <c r="B110" s="15" t="str">
        <f>IFERROR(INDEX('Прайс-лист'!$A$11:$A$310,MATCH(ROWS($A$16:A110),'Прайс-лист'!$T$11:$T$310,0)),"")</f>
        <v/>
      </c>
      <c r="C110" s="15" t="str">
        <f>IFERROR(INDEX('Прайс-лист'!$B$11:$B$310,MATCH(ROWS($A$16:A110),'Прайс-лист'!$T$11:$T$310,0)),"")</f>
        <v/>
      </c>
      <c r="D110" s="15" t="str">
        <f>IFERROR(INDEX('Прайс-лист'!$C$11:$C$310,MATCH(ROWS($A$16:A110),'Прайс-лист'!$T$11:$T$310,0)),"")</f>
        <v/>
      </c>
      <c r="E110" s="15" t="str">
        <f>IFERROR(INDEX('Прайс-лист'!$E$11:$E$310,MATCH(ROWS($A$16:A110),'Прайс-лист'!$T$11:$T$310,0)),"")</f>
        <v/>
      </c>
      <c r="F110" s="15" t="str">
        <f>IFERROR(INDEX('Прайс-лист'!$F$11:$F$310,MATCH(ROWS($A$16:A110),'Прайс-лист'!$T$11:$T$310,0)),"")</f>
        <v/>
      </c>
      <c r="G110" s="16" t="str">
        <f>IFERROR(INDEX('Прайс-лист'!$R$11:$R$310,MATCH(ROWS($A$16:A110),'Прайс-лист'!$T$11:$T$310,0)),"")</f>
        <v/>
      </c>
      <c r="H110" s="15" t="str">
        <f>IFERROR(INDEX('Прайс-лист'!$P$11:$P$310,MATCH(ROWS($A$16:A110),'Прайс-лист'!$T$11:$T$310,0)),"")</f>
        <v/>
      </c>
      <c r="I110" s="16" t="str">
        <f>IFERROR(INDEX('Прайс-лист'!$S$11:$S$310,MATCH(ROWS($A$16:A110),'Прайс-лист'!$T$11:$T$310,0)),"")</f>
        <v/>
      </c>
      <c r="J110" s="15" t="str">
        <f>IFERROR(INDEX('Прайс-лист'!$Q$11:$Q$310,MATCH(ROWS($A$16:A110),'Прайс-лист'!$T$11:$T$310,0)),"")</f>
        <v/>
      </c>
    </row>
    <row r="111" spans="1:10" ht="15" customHeight="1" x14ac:dyDescent="0.2">
      <c r="A111" s="15" t="str">
        <f>IFERROR(IF(INDEX('Прайс-лист'!$T$11:$T$310,MATCH(ROWS($A$16:A111),'Прайс-лист'!$T$11:$T$310,0))="","",ROWS($A$16:A111)),"")</f>
        <v/>
      </c>
      <c r="B111" s="15" t="str">
        <f>IFERROR(INDEX('Прайс-лист'!$A$11:$A$310,MATCH(ROWS($A$16:A111),'Прайс-лист'!$T$11:$T$310,0)),"")</f>
        <v/>
      </c>
      <c r="C111" s="15" t="str">
        <f>IFERROR(INDEX('Прайс-лист'!$B$11:$B$310,MATCH(ROWS($A$16:A111),'Прайс-лист'!$T$11:$T$310,0)),"")</f>
        <v/>
      </c>
      <c r="D111" s="15" t="str">
        <f>IFERROR(INDEX('Прайс-лист'!$C$11:$C$310,MATCH(ROWS($A$16:A111),'Прайс-лист'!$T$11:$T$310,0)),"")</f>
        <v/>
      </c>
      <c r="E111" s="15" t="str">
        <f>IFERROR(INDEX('Прайс-лист'!$E$11:$E$310,MATCH(ROWS($A$16:A111),'Прайс-лист'!$T$11:$T$310,0)),"")</f>
        <v/>
      </c>
      <c r="F111" s="15" t="str">
        <f>IFERROR(INDEX('Прайс-лист'!$F$11:$F$310,MATCH(ROWS($A$16:A111),'Прайс-лист'!$T$11:$T$310,0)),"")</f>
        <v/>
      </c>
      <c r="G111" s="16" t="str">
        <f>IFERROR(INDEX('Прайс-лист'!$R$11:$R$310,MATCH(ROWS($A$16:A111),'Прайс-лист'!$T$11:$T$310,0)),"")</f>
        <v/>
      </c>
      <c r="H111" s="15" t="str">
        <f>IFERROR(INDEX('Прайс-лист'!$P$11:$P$310,MATCH(ROWS($A$16:A111),'Прайс-лист'!$T$11:$T$310,0)),"")</f>
        <v/>
      </c>
      <c r="I111" s="16" t="str">
        <f>IFERROR(INDEX('Прайс-лист'!$S$11:$S$310,MATCH(ROWS($A$16:A111),'Прайс-лист'!$T$11:$T$310,0)),"")</f>
        <v/>
      </c>
      <c r="J111" s="15" t="str">
        <f>IFERROR(INDEX('Прайс-лист'!$Q$11:$Q$310,MATCH(ROWS($A$16:A111),'Прайс-лист'!$T$11:$T$310,0)),"")</f>
        <v/>
      </c>
    </row>
    <row r="112" spans="1:10" ht="15" customHeight="1" x14ac:dyDescent="0.2">
      <c r="A112" s="15" t="str">
        <f>IFERROR(IF(INDEX('Прайс-лист'!$T$11:$T$310,MATCH(ROWS($A$16:A112),'Прайс-лист'!$T$11:$T$310,0))="","",ROWS($A$16:A112)),"")</f>
        <v/>
      </c>
      <c r="B112" s="15" t="str">
        <f>IFERROR(INDEX('Прайс-лист'!$A$11:$A$310,MATCH(ROWS($A$16:A112),'Прайс-лист'!$T$11:$T$310,0)),"")</f>
        <v/>
      </c>
      <c r="C112" s="15" t="str">
        <f>IFERROR(INDEX('Прайс-лист'!$B$11:$B$310,MATCH(ROWS($A$16:A112),'Прайс-лист'!$T$11:$T$310,0)),"")</f>
        <v/>
      </c>
      <c r="D112" s="15" t="str">
        <f>IFERROR(INDEX('Прайс-лист'!$C$11:$C$310,MATCH(ROWS($A$16:A112),'Прайс-лист'!$T$11:$T$310,0)),"")</f>
        <v/>
      </c>
      <c r="E112" s="15" t="str">
        <f>IFERROR(INDEX('Прайс-лист'!$E$11:$E$310,MATCH(ROWS($A$16:A112),'Прайс-лист'!$T$11:$T$310,0)),"")</f>
        <v/>
      </c>
      <c r="F112" s="15" t="str">
        <f>IFERROR(INDEX('Прайс-лист'!$F$11:$F$310,MATCH(ROWS($A$16:A112),'Прайс-лист'!$T$11:$T$310,0)),"")</f>
        <v/>
      </c>
      <c r="G112" s="16" t="str">
        <f>IFERROR(INDEX('Прайс-лист'!$R$11:$R$310,MATCH(ROWS($A$16:A112),'Прайс-лист'!$T$11:$T$310,0)),"")</f>
        <v/>
      </c>
      <c r="H112" s="15" t="str">
        <f>IFERROR(INDEX('Прайс-лист'!$P$11:$P$310,MATCH(ROWS($A$16:A112),'Прайс-лист'!$T$11:$T$310,0)),"")</f>
        <v/>
      </c>
      <c r="I112" s="16" t="str">
        <f>IFERROR(INDEX('Прайс-лист'!$S$11:$S$310,MATCH(ROWS($A$16:A112),'Прайс-лист'!$T$11:$T$310,0)),"")</f>
        <v/>
      </c>
      <c r="J112" s="15" t="str">
        <f>IFERROR(INDEX('Прайс-лист'!$Q$11:$Q$310,MATCH(ROWS($A$16:A112),'Прайс-лист'!$T$11:$T$310,0)),"")</f>
        <v/>
      </c>
    </row>
    <row r="113" spans="1:10" ht="15" customHeight="1" x14ac:dyDescent="0.2">
      <c r="A113" s="15" t="str">
        <f>IFERROR(IF(INDEX('Прайс-лист'!$T$11:$T$310,MATCH(ROWS($A$16:A113),'Прайс-лист'!$T$11:$T$310,0))="","",ROWS($A$16:A113)),"")</f>
        <v/>
      </c>
      <c r="B113" s="15" t="str">
        <f>IFERROR(INDEX('Прайс-лист'!$A$11:$A$310,MATCH(ROWS($A$16:A113),'Прайс-лист'!$T$11:$T$310,0)),"")</f>
        <v/>
      </c>
      <c r="C113" s="15" t="str">
        <f>IFERROR(INDEX('Прайс-лист'!$B$11:$B$310,MATCH(ROWS($A$16:A113),'Прайс-лист'!$T$11:$T$310,0)),"")</f>
        <v/>
      </c>
      <c r="D113" s="15" t="str">
        <f>IFERROR(INDEX('Прайс-лист'!$C$11:$C$310,MATCH(ROWS($A$16:A113),'Прайс-лист'!$T$11:$T$310,0)),"")</f>
        <v/>
      </c>
      <c r="E113" s="15" t="str">
        <f>IFERROR(INDEX('Прайс-лист'!$E$11:$E$310,MATCH(ROWS($A$16:A113),'Прайс-лист'!$T$11:$T$310,0)),"")</f>
        <v/>
      </c>
      <c r="F113" s="15" t="str">
        <f>IFERROR(INDEX('Прайс-лист'!$F$11:$F$310,MATCH(ROWS($A$16:A113),'Прайс-лист'!$T$11:$T$310,0)),"")</f>
        <v/>
      </c>
      <c r="G113" s="16" t="str">
        <f>IFERROR(INDEX('Прайс-лист'!$R$11:$R$310,MATCH(ROWS($A$16:A113),'Прайс-лист'!$T$11:$T$310,0)),"")</f>
        <v/>
      </c>
      <c r="H113" s="15" t="str">
        <f>IFERROR(INDEX('Прайс-лист'!$P$11:$P$310,MATCH(ROWS($A$16:A113),'Прайс-лист'!$T$11:$T$310,0)),"")</f>
        <v/>
      </c>
      <c r="I113" s="16" t="str">
        <f>IFERROR(INDEX('Прайс-лист'!$S$11:$S$310,MATCH(ROWS($A$16:A113),'Прайс-лист'!$T$11:$T$310,0)),"")</f>
        <v/>
      </c>
      <c r="J113" s="15" t="str">
        <f>IFERROR(INDEX('Прайс-лист'!$Q$11:$Q$310,MATCH(ROWS($A$16:A113),'Прайс-лист'!$T$11:$T$310,0)),"")</f>
        <v/>
      </c>
    </row>
    <row r="114" spans="1:10" ht="15" customHeight="1" x14ac:dyDescent="0.2">
      <c r="A114" s="15" t="str">
        <f>IFERROR(IF(INDEX('Прайс-лист'!$T$11:$T$310,MATCH(ROWS($A$16:A114),'Прайс-лист'!$T$11:$T$310,0))="","",ROWS($A$16:A114)),"")</f>
        <v/>
      </c>
      <c r="B114" s="15" t="str">
        <f>IFERROR(INDEX('Прайс-лист'!$A$11:$A$310,MATCH(ROWS($A$16:A114),'Прайс-лист'!$T$11:$T$310,0)),"")</f>
        <v/>
      </c>
      <c r="C114" s="15" t="str">
        <f>IFERROR(INDEX('Прайс-лист'!$B$11:$B$310,MATCH(ROWS($A$16:A114),'Прайс-лист'!$T$11:$T$310,0)),"")</f>
        <v/>
      </c>
      <c r="D114" s="15" t="str">
        <f>IFERROR(INDEX('Прайс-лист'!$C$11:$C$310,MATCH(ROWS($A$16:A114),'Прайс-лист'!$T$11:$T$310,0)),"")</f>
        <v/>
      </c>
      <c r="E114" s="15" t="str">
        <f>IFERROR(INDEX('Прайс-лист'!$E$11:$E$310,MATCH(ROWS($A$16:A114),'Прайс-лист'!$T$11:$T$310,0)),"")</f>
        <v/>
      </c>
      <c r="F114" s="15" t="str">
        <f>IFERROR(INDEX('Прайс-лист'!$F$11:$F$310,MATCH(ROWS($A$16:A114),'Прайс-лист'!$T$11:$T$310,0)),"")</f>
        <v/>
      </c>
      <c r="G114" s="16" t="str">
        <f>IFERROR(INDEX('Прайс-лист'!$R$11:$R$310,MATCH(ROWS($A$16:A114),'Прайс-лист'!$T$11:$T$310,0)),"")</f>
        <v/>
      </c>
      <c r="H114" s="15" t="str">
        <f>IFERROR(INDEX('Прайс-лист'!$P$11:$P$310,MATCH(ROWS($A$16:A114),'Прайс-лист'!$T$11:$T$310,0)),"")</f>
        <v/>
      </c>
      <c r="I114" s="16" t="str">
        <f>IFERROR(INDEX('Прайс-лист'!$S$11:$S$310,MATCH(ROWS($A$16:A114),'Прайс-лист'!$T$11:$T$310,0)),"")</f>
        <v/>
      </c>
      <c r="J114" s="15" t="str">
        <f>IFERROR(INDEX('Прайс-лист'!$Q$11:$Q$310,MATCH(ROWS($A$16:A114),'Прайс-лист'!$T$11:$T$310,0)),"")</f>
        <v/>
      </c>
    </row>
    <row r="115" spans="1:10" ht="15" customHeight="1" x14ac:dyDescent="0.2">
      <c r="A115" s="15" t="str">
        <f>IFERROR(IF(INDEX('Прайс-лист'!$T$11:$T$310,MATCH(ROWS($A$16:A115),'Прайс-лист'!$T$11:$T$310,0))="","",ROWS($A$16:A115)),"")</f>
        <v/>
      </c>
      <c r="B115" s="15" t="str">
        <f>IFERROR(INDEX('Прайс-лист'!$A$11:$A$310,MATCH(ROWS($A$16:A115),'Прайс-лист'!$T$11:$T$310,0)),"")</f>
        <v/>
      </c>
      <c r="C115" s="15" t="str">
        <f>IFERROR(INDEX('Прайс-лист'!$B$11:$B$310,MATCH(ROWS($A$16:A115),'Прайс-лист'!$T$11:$T$310,0)),"")</f>
        <v/>
      </c>
      <c r="D115" s="15" t="str">
        <f>IFERROR(INDEX('Прайс-лист'!$C$11:$C$310,MATCH(ROWS($A$16:A115),'Прайс-лист'!$T$11:$T$310,0)),"")</f>
        <v/>
      </c>
      <c r="E115" s="15" t="str">
        <f>IFERROR(INDEX('Прайс-лист'!$E$11:$E$310,MATCH(ROWS($A$16:A115),'Прайс-лист'!$T$11:$T$310,0)),"")</f>
        <v/>
      </c>
      <c r="F115" s="15" t="str">
        <f>IFERROR(INDEX('Прайс-лист'!$F$11:$F$310,MATCH(ROWS($A$16:A115),'Прайс-лист'!$T$11:$T$310,0)),"")</f>
        <v/>
      </c>
      <c r="G115" s="16" t="str">
        <f>IFERROR(INDEX('Прайс-лист'!$R$11:$R$310,MATCH(ROWS($A$16:A115),'Прайс-лист'!$T$11:$T$310,0)),"")</f>
        <v/>
      </c>
      <c r="H115" s="15" t="str">
        <f>IFERROR(INDEX('Прайс-лист'!$P$11:$P$310,MATCH(ROWS($A$16:A115),'Прайс-лист'!$T$11:$T$310,0)),"")</f>
        <v/>
      </c>
      <c r="I115" s="16" t="str">
        <f>IFERROR(INDEX('Прайс-лист'!$S$11:$S$310,MATCH(ROWS($A$16:A115),'Прайс-лист'!$T$11:$T$310,0)),"")</f>
        <v/>
      </c>
      <c r="J115" s="15" t="str">
        <f>IFERROR(INDEX('Прайс-лист'!$Q$11:$Q$310,MATCH(ROWS($A$16:A115),'Прайс-лист'!$T$11:$T$310,0)),"")</f>
        <v/>
      </c>
    </row>
    <row r="116" spans="1:10" ht="13.5" customHeight="1" x14ac:dyDescent="0.2">
      <c r="A116" s="15" t="str">
        <f>IFERROR(IF(INDEX('Прайс-лист'!$T$11:$T$310,MATCH(ROWS($A$16:A116),'Прайс-лист'!$T$11:$T$310,0))="","",ROWS($A$16:A116)),"")</f>
        <v/>
      </c>
      <c r="B116" s="15" t="str">
        <f>IFERROR(INDEX('Прайс-лист'!$A$11:$A$310,MATCH(ROWS($A$16:A116),'Прайс-лист'!$T$11:$T$310,0)),"")</f>
        <v/>
      </c>
      <c r="C116" s="15" t="str">
        <f>IFERROR(INDEX('Прайс-лист'!$B$11:$B$310,MATCH(ROWS($A$16:A116),'Прайс-лист'!$T$11:$T$310,0)),"")</f>
        <v/>
      </c>
      <c r="D116" s="15" t="str">
        <f>IFERROR(INDEX('Прайс-лист'!$C$11:$C$310,MATCH(ROWS($A$16:A116),'Прайс-лист'!$T$11:$T$310,0)),"")</f>
        <v/>
      </c>
      <c r="E116" s="15" t="str">
        <f>IFERROR(INDEX('Прайс-лист'!$E$11:$E$310,MATCH(ROWS($A$16:A116),'Прайс-лист'!$T$11:$T$310,0)),"")</f>
        <v/>
      </c>
      <c r="F116" s="15" t="str">
        <f>IFERROR(INDEX('Прайс-лист'!$F$11:$F$310,MATCH(ROWS($A$16:A116),'Прайс-лист'!$T$11:$T$310,0)),"")</f>
        <v/>
      </c>
      <c r="G116" s="16" t="str">
        <f>IFERROR(INDEX('Прайс-лист'!$R$11:$R$310,MATCH(ROWS($A$16:A116),'Прайс-лист'!$T$11:$T$310,0)),"")</f>
        <v/>
      </c>
      <c r="H116" s="15" t="str">
        <f>IFERROR(INDEX('Прайс-лист'!$P$11:$P$310,MATCH(ROWS($A$16:A116),'Прайс-лист'!$T$11:$T$310,0)),"")</f>
        <v/>
      </c>
      <c r="I116" s="16" t="str">
        <f>IFERROR(INDEX('Прайс-лист'!$S$11:$S$310,MATCH(ROWS($A$16:A116),'Прайс-лист'!$T$11:$T$310,0)),"")</f>
        <v/>
      </c>
      <c r="J116" s="15" t="str">
        <f>IFERROR(INDEX('Прайс-лист'!$Q$11:$Q$310,MATCH(ROWS($A$16:A116),'Прайс-лист'!$T$11:$T$310,0)),"")</f>
        <v/>
      </c>
    </row>
    <row r="117" spans="1:10" ht="13.5" customHeight="1" x14ac:dyDescent="0.2">
      <c r="A117" s="15" t="str">
        <f>IFERROR(IF(INDEX('Прайс-лист'!$T$11:$T$310,MATCH(ROWS($A$16:A117),'Прайс-лист'!$T$11:$T$310,0))="","",ROWS($A$16:A117)),"")</f>
        <v/>
      </c>
      <c r="B117" s="15" t="str">
        <f>IFERROR(INDEX('Прайс-лист'!$A$11:$A$310,MATCH(ROWS($A$16:A117),'Прайс-лист'!$T$11:$T$310,0)),"")</f>
        <v/>
      </c>
      <c r="C117" s="15" t="str">
        <f>IFERROR(INDEX('Прайс-лист'!$B$11:$B$310,MATCH(ROWS($A$16:A117),'Прайс-лист'!$T$11:$T$310,0)),"")</f>
        <v/>
      </c>
      <c r="D117" s="15" t="str">
        <f>IFERROR(INDEX('Прайс-лист'!$C$11:$C$310,MATCH(ROWS($A$16:A117),'Прайс-лист'!$T$11:$T$310,0)),"")</f>
        <v/>
      </c>
      <c r="E117" s="15" t="str">
        <f>IFERROR(INDEX('Прайс-лист'!$E$11:$E$310,MATCH(ROWS($A$16:A117),'Прайс-лист'!$T$11:$T$310,0)),"")</f>
        <v/>
      </c>
      <c r="F117" s="15" t="str">
        <f>IFERROR(INDEX('Прайс-лист'!$F$11:$F$310,MATCH(ROWS($A$16:A117),'Прайс-лист'!$T$11:$T$310,0)),"")</f>
        <v/>
      </c>
      <c r="G117" s="16" t="str">
        <f>IFERROR(INDEX('Прайс-лист'!$R$11:$R$310,MATCH(ROWS($A$16:A117),'Прайс-лист'!$T$11:$T$310,0)),"")</f>
        <v/>
      </c>
      <c r="H117" s="15" t="str">
        <f>IFERROR(INDEX('Прайс-лист'!$P$11:$P$310,MATCH(ROWS($A$16:A117),'Прайс-лист'!$T$11:$T$310,0)),"")</f>
        <v/>
      </c>
      <c r="I117" s="16" t="str">
        <f>IFERROR(INDEX('Прайс-лист'!$S$11:$S$310,MATCH(ROWS($A$16:A117),'Прайс-лист'!$T$11:$T$310,0)),"")</f>
        <v/>
      </c>
      <c r="J117" s="15" t="str">
        <f>IFERROR(INDEX('Прайс-лист'!$Q$11:$Q$310,MATCH(ROWS($A$16:A117),'Прайс-лист'!$T$11:$T$310,0)),"")</f>
        <v/>
      </c>
    </row>
    <row r="118" spans="1:10" ht="13.5" customHeight="1" x14ac:dyDescent="0.2">
      <c r="A118" s="15" t="str">
        <f>IFERROR(IF(INDEX('Прайс-лист'!$T$11:$T$310,MATCH(ROWS($A$16:A118),'Прайс-лист'!$T$11:$T$310,0))="","",ROWS($A$16:A118)),"")</f>
        <v/>
      </c>
      <c r="B118" s="15" t="str">
        <f>IFERROR(INDEX('Прайс-лист'!$A$11:$A$310,MATCH(ROWS($A$16:A118),'Прайс-лист'!$T$11:$T$310,0)),"")</f>
        <v/>
      </c>
      <c r="C118" s="15" t="str">
        <f>IFERROR(INDEX('Прайс-лист'!$B$11:$B$310,MATCH(ROWS($A$16:A118),'Прайс-лист'!$T$11:$T$310,0)),"")</f>
        <v/>
      </c>
      <c r="D118" s="15" t="str">
        <f>IFERROR(INDEX('Прайс-лист'!$C$11:$C$310,MATCH(ROWS($A$16:A118),'Прайс-лист'!$T$11:$T$310,0)),"")</f>
        <v/>
      </c>
      <c r="E118" s="15" t="str">
        <f>IFERROR(INDEX('Прайс-лист'!$E$11:$E$310,MATCH(ROWS($A$16:A118),'Прайс-лист'!$T$11:$T$310,0)),"")</f>
        <v/>
      </c>
      <c r="F118" s="15" t="str">
        <f>IFERROR(INDEX('Прайс-лист'!$F$11:$F$310,MATCH(ROWS($A$16:A118),'Прайс-лист'!$T$11:$T$310,0)),"")</f>
        <v/>
      </c>
      <c r="G118" s="16" t="str">
        <f>IFERROR(INDEX('Прайс-лист'!$R$11:$R$310,MATCH(ROWS($A$16:A118),'Прайс-лист'!$T$11:$T$310,0)),"")</f>
        <v/>
      </c>
      <c r="H118" s="15" t="str">
        <f>IFERROR(INDEX('Прайс-лист'!$P$11:$P$310,MATCH(ROWS($A$16:A118),'Прайс-лист'!$T$11:$T$310,0)),"")</f>
        <v/>
      </c>
      <c r="I118" s="16" t="str">
        <f>IFERROR(INDEX('Прайс-лист'!$S$11:$S$310,MATCH(ROWS($A$16:A118),'Прайс-лист'!$T$11:$T$310,0)),"")</f>
        <v/>
      </c>
      <c r="J118" s="15" t="str">
        <f>IFERROR(INDEX('Прайс-лист'!$Q$11:$Q$310,MATCH(ROWS($A$16:A118),'Прайс-лист'!$T$11:$T$310,0)),"")</f>
        <v/>
      </c>
    </row>
    <row r="119" spans="1:10" ht="13.5" customHeight="1" x14ac:dyDescent="0.2">
      <c r="A119" s="15" t="str">
        <f>IFERROR(IF(INDEX('Прайс-лист'!$T$11:$T$310,MATCH(ROWS($A$16:A119),'Прайс-лист'!$T$11:$T$310,0))="","",ROWS($A$16:A119)),"")</f>
        <v/>
      </c>
      <c r="B119" s="15" t="str">
        <f>IFERROR(INDEX('Прайс-лист'!$A$11:$A$310,MATCH(ROWS($A$16:A119),'Прайс-лист'!$T$11:$T$310,0)),"")</f>
        <v/>
      </c>
      <c r="C119" s="15" t="str">
        <f>IFERROR(INDEX('Прайс-лист'!$B$11:$B$310,MATCH(ROWS($A$16:A119),'Прайс-лист'!$T$11:$T$310,0)),"")</f>
        <v/>
      </c>
      <c r="D119" s="15" t="str">
        <f>IFERROR(INDEX('Прайс-лист'!$C$11:$C$310,MATCH(ROWS($A$16:A119),'Прайс-лист'!$T$11:$T$310,0)),"")</f>
        <v/>
      </c>
      <c r="E119" s="15" t="str">
        <f>IFERROR(INDEX('Прайс-лист'!$E$11:$E$310,MATCH(ROWS($A$16:A119),'Прайс-лист'!$T$11:$T$310,0)),"")</f>
        <v/>
      </c>
      <c r="F119" s="15" t="str">
        <f>IFERROR(INDEX('Прайс-лист'!$F$11:$F$310,MATCH(ROWS($A$16:A119),'Прайс-лист'!$T$11:$T$310,0)),"")</f>
        <v/>
      </c>
      <c r="G119" s="16" t="str">
        <f>IFERROR(INDEX('Прайс-лист'!$R$11:$R$310,MATCH(ROWS($A$16:A119),'Прайс-лист'!$T$11:$T$310,0)),"")</f>
        <v/>
      </c>
      <c r="H119" s="15" t="str">
        <f>IFERROR(INDEX('Прайс-лист'!$P$11:$P$310,MATCH(ROWS($A$16:A119),'Прайс-лист'!$T$11:$T$310,0)),"")</f>
        <v/>
      </c>
      <c r="I119" s="16" t="str">
        <f>IFERROR(INDEX('Прайс-лист'!$S$11:$S$310,MATCH(ROWS($A$16:A119),'Прайс-лист'!$T$11:$T$310,0)),"")</f>
        <v/>
      </c>
      <c r="J119" s="15" t="str">
        <f>IFERROR(INDEX('Прайс-лист'!$Q$11:$Q$310,MATCH(ROWS($A$16:A119),'Прайс-лист'!$T$11:$T$310,0)),"")</f>
        <v/>
      </c>
    </row>
    <row r="120" spans="1:10" ht="13.5" customHeight="1" x14ac:dyDescent="0.2">
      <c r="A120" s="15" t="str">
        <f>IFERROR(IF(INDEX('Прайс-лист'!$T$11:$T$310,MATCH(ROWS($A$16:A120),'Прайс-лист'!$T$11:$T$310,0))="","",ROWS($A$16:A120)),"")</f>
        <v/>
      </c>
      <c r="B120" s="15" t="str">
        <f>IFERROR(INDEX('Прайс-лист'!$A$11:$A$310,MATCH(ROWS($A$16:A120),'Прайс-лист'!$T$11:$T$310,0)),"")</f>
        <v/>
      </c>
      <c r="C120" s="15" t="str">
        <f>IFERROR(INDEX('Прайс-лист'!$B$11:$B$310,MATCH(ROWS($A$16:A120),'Прайс-лист'!$T$11:$T$310,0)),"")</f>
        <v/>
      </c>
      <c r="D120" s="15" t="str">
        <f>IFERROR(INDEX('Прайс-лист'!$C$11:$C$310,MATCH(ROWS($A$16:A120),'Прайс-лист'!$T$11:$T$310,0)),"")</f>
        <v/>
      </c>
      <c r="E120" s="15" t="str">
        <f>IFERROR(INDEX('Прайс-лист'!$E$11:$E$310,MATCH(ROWS($A$16:A120),'Прайс-лист'!$T$11:$T$310,0)),"")</f>
        <v/>
      </c>
      <c r="F120" s="15" t="str">
        <f>IFERROR(INDEX('Прайс-лист'!$F$11:$F$310,MATCH(ROWS($A$16:A120),'Прайс-лист'!$T$11:$T$310,0)),"")</f>
        <v/>
      </c>
      <c r="G120" s="16" t="str">
        <f>IFERROR(INDEX('Прайс-лист'!$R$11:$R$310,MATCH(ROWS($A$16:A120),'Прайс-лист'!$T$11:$T$310,0)),"")</f>
        <v/>
      </c>
      <c r="H120" s="15" t="str">
        <f>IFERROR(INDEX('Прайс-лист'!$P$11:$P$310,MATCH(ROWS($A$16:A120),'Прайс-лист'!$T$11:$T$310,0)),"")</f>
        <v/>
      </c>
      <c r="I120" s="16" t="str">
        <f>IFERROR(INDEX('Прайс-лист'!$S$11:$S$310,MATCH(ROWS($A$16:A120),'Прайс-лист'!$T$11:$T$310,0)),"")</f>
        <v/>
      </c>
      <c r="J120" s="15" t="str">
        <f>IFERROR(INDEX('Прайс-лист'!$Q$11:$Q$310,MATCH(ROWS($A$16:A120),'Прайс-лист'!$T$11:$T$310,0)),"")</f>
        <v/>
      </c>
    </row>
    <row r="121" spans="1:10" ht="13.5" customHeight="1" x14ac:dyDescent="0.2">
      <c r="A121" s="15" t="str">
        <f>IFERROR(IF(INDEX('Прайс-лист'!$T$11:$T$310,MATCH(ROWS($A$16:A121),'Прайс-лист'!$T$11:$T$310,0))="","",ROWS($A$16:A121)),"")</f>
        <v/>
      </c>
      <c r="B121" s="15" t="str">
        <f>IFERROR(INDEX('Прайс-лист'!$A$11:$A$310,MATCH(ROWS($A$16:A121),'Прайс-лист'!$T$11:$T$310,0)),"")</f>
        <v/>
      </c>
      <c r="C121" s="15" t="str">
        <f>IFERROR(INDEX('Прайс-лист'!$B$11:$B$310,MATCH(ROWS($A$16:A121),'Прайс-лист'!$T$11:$T$310,0)),"")</f>
        <v/>
      </c>
      <c r="D121" s="15" t="str">
        <f>IFERROR(INDEX('Прайс-лист'!$C$11:$C$310,MATCH(ROWS($A$16:A121),'Прайс-лист'!$T$11:$T$310,0)),"")</f>
        <v/>
      </c>
      <c r="E121" s="15" t="str">
        <f>IFERROR(INDEX('Прайс-лист'!$E$11:$E$310,MATCH(ROWS($A$16:A121),'Прайс-лист'!$T$11:$T$310,0)),"")</f>
        <v/>
      </c>
      <c r="F121" s="15" t="str">
        <f>IFERROR(INDEX('Прайс-лист'!$F$11:$F$310,MATCH(ROWS($A$16:A121),'Прайс-лист'!$T$11:$T$310,0)),"")</f>
        <v/>
      </c>
      <c r="G121" s="16" t="str">
        <f>IFERROR(INDEX('Прайс-лист'!$R$11:$R$310,MATCH(ROWS($A$16:A121),'Прайс-лист'!$T$11:$T$310,0)),"")</f>
        <v/>
      </c>
      <c r="H121" s="15" t="str">
        <f>IFERROR(INDEX('Прайс-лист'!$P$11:$P$310,MATCH(ROWS($A$16:A121),'Прайс-лист'!$T$11:$T$310,0)),"")</f>
        <v/>
      </c>
      <c r="I121" s="16" t="str">
        <f>IFERROR(INDEX('Прайс-лист'!$S$11:$S$310,MATCH(ROWS($A$16:A121),'Прайс-лист'!$T$11:$T$310,0)),"")</f>
        <v/>
      </c>
      <c r="J121" s="15" t="str">
        <f>IFERROR(INDEX('Прайс-лист'!$Q$11:$Q$310,MATCH(ROWS($A$16:A121),'Прайс-лист'!$T$11:$T$310,0)),"")</f>
        <v/>
      </c>
    </row>
    <row r="122" spans="1:10" ht="13.5" customHeight="1" x14ac:dyDescent="0.2">
      <c r="A122" s="15" t="str">
        <f>IFERROR(IF(INDEX('Прайс-лист'!$T$11:$T$310,MATCH(ROWS($A$16:A122),'Прайс-лист'!$T$11:$T$310,0))="","",ROWS($A$16:A122)),"")</f>
        <v/>
      </c>
      <c r="B122" s="15" t="str">
        <f>IFERROR(INDEX('Прайс-лист'!$A$11:$A$310,MATCH(ROWS($A$16:A122),'Прайс-лист'!$T$11:$T$310,0)),"")</f>
        <v/>
      </c>
      <c r="C122" s="15" t="str">
        <f>IFERROR(INDEX('Прайс-лист'!$B$11:$B$310,MATCH(ROWS($A$16:A122),'Прайс-лист'!$T$11:$T$310,0)),"")</f>
        <v/>
      </c>
      <c r="D122" s="15" t="str">
        <f>IFERROR(INDEX('Прайс-лист'!$C$11:$C$310,MATCH(ROWS($A$16:A122),'Прайс-лист'!$T$11:$T$310,0)),"")</f>
        <v/>
      </c>
      <c r="E122" s="15" t="str">
        <f>IFERROR(INDEX('Прайс-лист'!$E$11:$E$310,MATCH(ROWS($A$16:A122),'Прайс-лист'!$T$11:$T$310,0)),"")</f>
        <v/>
      </c>
      <c r="F122" s="15" t="str">
        <f>IFERROR(INDEX('Прайс-лист'!$F$11:$F$310,MATCH(ROWS($A$16:A122),'Прайс-лист'!$T$11:$T$310,0)),"")</f>
        <v/>
      </c>
      <c r="G122" s="16" t="str">
        <f>IFERROR(INDEX('Прайс-лист'!$R$11:$R$310,MATCH(ROWS($A$16:A122),'Прайс-лист'!$T$11:$T$310,0)),"")</f>
        <v/>
      </c>
      <c r="H122" s="15" t="str">
        <f>IFERROR(INDEX('Прайс-лист'!$P$11:$P$310,MATCH(ROWS($A$16:A122),'Прайс-лист'!$T$11:$T$310,0)),"")</f>
        <v/>
      </c>
      <c r="I122" s="16" t="str">
        <f>IFERROR(INDEX('Прайс-лист'!$S$11:$S$310,MATCH(ROWS($A$16:A122),'Прайс-лист'!$T$11:$T$310,0)),"")</f>
        <v/>
      </c>
      <c r="J122" s="15" t="str">
        <f>IFERROR(INDEX('Прайс-лист'!$Q$11:$Q$310,MATCH(ROWS($A$16:A122),'Прайс-лист'!$T$11:$T$310,0)),"")</f>
        <v/>
      </c>
    </row>
    <row r="123" spans="1:10" ht="13.5" customHeight="1" x14ac:dyDescent="0.2">
      <c r="A123" s="15" t="str">
        <f>IFERROR(IF(INDEX('Прайс-лист'!$T$11:$T$310,MATCH(ROWS($A$16:A123),'Прайс-лист'!$T$11:$T$310,0))="","",ROWS($A$16:A123)),"")</f>
        <v/>
      </c>
      <c r="B123" s="15" t="str">
        <f>IFERROR(INDEX('Прайс-лист'!$A$11:$A$310,MATCH(ROWS($A$16:A123),'Прайс-лист'!$T$11:$T$310,0)),"")</f>
        <v/>
      </c>
      <c r="C123" s="15" t="str">
        <f>IFERROR(INDEX('Прайс-лист'!$B$11:$B$310,MATCH(ROWS($A$16:A123),'Прайс-лист'!$T$11:$T$310,0)),"")</f>
        <v/>
      </c>
      <c r="D123" s="15" t="str">
        <f>IFERROR(INDEX('Прайс-лист'!$C$11:$C$310,MATCH(ROWS($A$16:A123),'Прайс-лист'!$T$11:$T$310,0)),"")</f>
        <v/>
      </c>
      <c r="E123" s="15" t="str">
        <f>IFERROR(INDEX('Прайс-лист'!$E$11:$E$310,MATCH(ROWS($A$16:A123),'Прайс-лист'!$T$11:$T$310,0)),"")</f>
        <v/>
      </c>
      <c r="F123" s="15" t="str">
        <f>IFERROR(INDEX('Прайс-лист'!$F$11:$F$310,MATCH(ROWS($A$16:A123),'Прайс-лист'!$T$11:$T$310,0)),"")</f>
        <v/>
      </c>
      <c r="G123" s="16" t="str">
        <f>IFERROR(INDEX('Прайс-лист'!$R$11:$R$310,MATCH(ROWS($A$16:A123),'Прайс-лист'!$T$11:$T$310,0)),"")</f>
        <v/>
      </c>
      <c r="H123" s="15" t="str">
        <f>IFERROR(INDEX('Прайс-лист'!$P$11:$P$310,MATCH(ROWS($A$16:A123),'Прайс-лист'!$T$11:$T$310,0)),"")</f>
        <v/>
      </c>
      <c r="I123" s="16" t="str">
        <f>IFERROR(INDEX('Прайс-лист'!$S$11:$S$310,MATCH(ROWS($A$16:A123),'Прайс-лист'!$T$11:$T$310,0)),"")</f>
        <v/>
      </c>
      <c r="J123" s="15" t="str">
        <f>IFERROR(INDEX('Прайс-лист'!$Q$11:$Q$310,MATCH(ROWS($A$16:A123),'Прайс-лист'!$T$11:$T$310,0)),"")</f>
        <v/>
      </c>
    </row>
    <row r="124" spans="1:10" ht="13.5" customHeight="1" x14ac:dyDescent="0.2">
      <c r="A124" s="15" t="str">
        <f>IFERROR(IF(INDEX('Прайс-лист'!$T$11:$T$310,MATCH(ROWS($A$16:A124),'Прайс-лист'!$T$11:$T$310,0))="","",ROWS($A$16:A124)),"")</f>
        <v/>
      </c>
      <c r="B124" s="15" t="str">
        <f>IFERROR(INDEX('Прайс-лист'!$A$11:$A$310,MATCH(ROWS($A$16:A124),'Прайс-лист'!$T$11:$T$310,0)),"")</f>
        <v/>
      </c>
      <c r="C124" s="15" t="str">
        <f>IFERROR(INDEX('Прайс-лист'!$B$11:$B$310,MATCH(ROWS($A$16:A124),'Прайс-лист'!$T$11:$T$310,0)),"")</f>
        <v/>
      </c>
      <c r="D124" s="15" t="str">
        <f>IFERROR(INDEX('Прайс-лист'!$C$11:$C$310,MATCH(ROWS($A$16:A124),'Прайс-лист'!$T$11:$T$310,0)),"")</f>
        <v/>
      </c>
      <c r="E124" s="15" t="str">
        <f>IFERROR(INDEX('Прайс-лист'!$E$11:$E$310,MATCH(ROWS($A$16:A124),'Прайс-лист'!$T$11:$T$310,0)),"")</f>
        <v/>
      </c>
      <c r="F124" s="15" t="str">
        <f>IFERROR(INDEX('Прайс-лист'!$F$11:$F$310,MATCH(ROWS($A$16:A124),'Прайс-лист'!$T$11:$T$310,0)),"")</f>
        <v/>
      </c>
      <c r="G124" s="16" t="str">
        <f>IFERROR(INDEX('Прайс-лист'!$R$11:$R$310,MATCH(ROWS($A$16:A124),'Прайс-лист'!$T$11:$T$310,0)),"")</f>
        <v/>
      </c>
      <c r="H124" s="15" t="str">
        <f>IFERROR(INDEX('Прайс-лист'!$P$11:$P$310,MATCH(ROWS($A$16:A124),'Прайс-лист'!$T$11:$T$310,0)),"")</f>
        <v/>
      </c>
      <c r="I124" s="16" t="str">
        <f>IFERROR(INDEX('Прайс-лист'!$S$11:$S$310,MATCH(ROWS($A$16:A124),'Прайс-лист'!$T$11:$T$310,0)),"")</f>
        <v/>
      </c>
      <c r="J124" s="15" t="str">
        <f>IFERROR(INDEX('Прайс-лист'!$Q$11:$Q$310,MATCH(ROWS($A$16:A124),'Прайс-лист'!$T$11:$T$310,0)),"")</f>
        <v/>
      </c>
    </row>
    <row r="125" spans="1:10" ht="13.5" customHeight="1" x14ac:dyDescent="0.2">
      <c r="A125" s="15" t="str">
        <f>IFERROR(IF(INDEX('Прайс-лист'!$T$11:$T$310,MATCH(ROWS($A$16:A125),'Прайс-лист'!$T$11:$T$310,0))="","",ROWS($A$16:A125)),"")</f>
        <v/>
      </c>
      <c r="B125" s="15" t="str">
        <f>IFERROR(INDEX('Прайс-лист'!$A$11:$A$310,MATCH(ROWS($A$16:A125),'Прайс-лист'!$T$11:$T$310,0)),"")</f>
        <v/>
      </c>
      <c r="C125" s="15" t="str">
        <f>IFERROR(INDEX('Прайс-лист'!$B$11:$B$310,MATCH(ROWS($A$16:A125),'Прайс-лист'!$T$11:$T$310,0)),"")</f>
        <v/>
      </c>
      <c r="D125" s="15" t="str">
        <f>IFERROR(INDEX('Прайс-лист'!$C$11:$C$310,MATCH(ROWS($A$16:A125),'Прайс-лист'!$T$11:$T$310,0)),"")</f>
        <v/>
      </c>
      <c r="E125" s="15" t="str">
        <f>IFERROR(INDEX('Прайс-лист'!$E$11:$E$310,MATCH(ROWS($A$16:A125),'Прайс-лист'!$T$11:$T$310,0)),"")</f>
        <v/>
      </c>
      <c r="F125" s="15" t="str">
        <f>IFERROR(INDEX('Прайс-лист'!$F$11:$F$310,MATCH(ROWS($A$16:A125),'Прайс-лист'!$T$11:$T$310,0)),"")</f>
        <v/>
      </c>
      <c r="G125" s="16" t="str">
        <f>IFERROR(INDEX('Прайс-лист'!$R$11:$R$310,MATCH(ROWS($A$16:A125),'Прайс-лист'!$T$11:$T$310,0)),"")</f>
        <v/>
      </c>
      <c r="H125" s="15" t="str">
        <f>IFERROR(INDEX('Прайс-лист'!$P$11:$P$310,MATCH(ROWS($A$16:A125),'Прайс-лист'!$T$11:$T$310,0)),"")</f>
        <v/>
      </c>
      <c r="I125" s="16" t="str">
        <f>IFERROR(INDEX('Прайс-лист'!$S$11:$S$310,MATCH(ROWS($A$16:A125),'Прайс-лист'!$T$11:$T$310,0)),"")</f>
        <v/>
      </c>
      <c r="J125" s="15" t="str">
        <f>IFERROR(INDEX('Прайс-лист'!$Q$11:$Q$310,MATCH(ROWS($A$16:A125),'Прайс-лист'!$T$11:$T$310,0)),"")</f>
        <v/>
      </c>
    </row>
    <row r="126" spans="1:10" ht="13.5" customHeight="1" x14ac:dyDescent="0.2">
      <c r="A126" s="15" t="str">
        <f>IFERROR(IF(INDEX('Прайс-лист'!$T$11:$T$310,MATCH(ROWS($A$16:A126),'Прайс-лист'!$T$11:$T$310,0))="","",ROWS($A$16:A126)),"")</f>
        <v/>
      </c>
      <c r="B126" s="15" t="str">
        <f>IFERROR(INDEX('Прайс-лист'!$A$11:$A$310,MATCH(ROWS($A$16:A126),'Прайс-лист'!$T$11:$T$310,0)),"")</f>
        <v/>
      </c>
      <c r="C126" s="15" t="str">
        <f>IFERROR(INDEX('Прайс-лист'!$B$11:$B$310,MATCH(ROWS($A$16:A126),'Прайс-лист'!$T$11:$T$310,0)),"")</f>
        <v/>
      </c>
      <c r="D126" s="15" t="str">
        <f>IFERROR(INDEX('Прайс-лист'!$C$11:$C$310,MATCH(ROWS($A$16:A126),'Прайс-лист'!$T$11:$T$310,0)),"")</f>
        <v/>
      </c>
      <c r="E126" s="15" t="str">
        <f>IFERROR(INDEX('Прайс-лист'!$E$11:$E$310,MATCH(ROWS($A$16:A126),'Прайс-лист'!$T$11:$T$310,0)),"")</f>
        <v/>
      </c>
      <c r="F126" s="15" t="str">
        <f>IFERROR(INDEX('Прайс-лист'!$F$11:$F$310,MATCH(ROWS($A$16:A126),'Прайс-лист'!$T$11:$T$310,0)),"")</f>
        <v/>
      </c>
      <c r="G126" s="16" t="str">
        <f>IFERROR(INDEX('Прайс-лист'!$R$11:$R$310,MATCH(ROWS($A$16:A126),'Прайс-лист'!$T$11:$T$310,0)),"")</f>
        <v/>
      </c>
      <c r="H126" s="15" t="str">
        <f>IFERROR(INDEX('Прайс-лист'!$P$11:$P$310,MATCH(ROWS($A$16:A126),'Прайс-лист'!$T$11:$T$310,0)),"")</f>
        <v/>
      </c>
      <c r="I126" s="16" t="str">
        <f>IFERROR(INDEX('Прайс-лист'!$S$11:$S$310,MATCH(ROWS($A$16:A126),'Прайс-лист'!$T$11:$T$310,0)),"")</f>
        <v/>
      </c>
      <c r="J126" s="15" t="str">
        <f>IFERROR(INDEX('Прайс-лист'!$Q$11:$Q$310,MATCH(ROWS($A$16:A126),'Прайс-лист'!$T$11:$T$310,0)),"")</f>
        <v/>
      </c>
    </row>
    <row r="127" spans="1:10" ht="13.5" customHeight="1" x14ac:dyDescent="0.2">
      <c r="A127" s="15" t="str">
        <f>IFERROR(IF(INDEX('Прайс-лист'!$T$11:$T$310,MATCH(ROWS($A$16:A127),'Прайс-лист'!$T$11:$T$310,0))="","",ROWS($A$16:A127)),"")</f>
        <v/>
      </c>
      <c r="B127" s="15" t="str">
        <f>IFERROR(INDEX('Прайс-лист'!$A$11:$A$310,MATCH(ROWS($A$16:A127),'Прайс-лист'!$T$11:$T$310,0)),"")</f>
        <v/>
      </c>
      <c r="C127" s="15" t="str">
        <f>IFERROR(INDEX('Прайс-лист'!$B$11:$B$310,MATCH(ROWS($A$16:A127),'Прайс-лист'!$T$11:$T$310,0)),"")</f>
        <v/>
      </c>
      <c r="D127" s="15" t="str">
        <f>IFERROR(INDEX('Прайс-лист'!$C$11:$C$310,MATCH(ROWS($A$16:A127),'Прайс-лист'!$T$11:$T$310,0)),"")</f>
        <v/>
      </c>
      <c r="E127" s="15" t="str">
        <f>IFERROR(INDEX('Прайс-лист'!$E$11:$E$310,MATCH(ROWS($A$16:A127),'Прайс-лист'!$T$11:$T$310,0)),"")</f>
        <v/>
      </c>
      <c r="F127" s="15" t="str">
        <f>IFERROR(INDEX('Прайс-лист'!$F$11:$F$310,MATCH(ROWS($A$16:A127),'Прайс-лист'!$T$11:$T$310,0)),"")</f>
        <v/>
      </c>
      <c r="G127" s="16" t="str">
        <f>IFERROR(INDEX('Прайс-лист'!$R$11:$R$310,MATCH(ROWS($A$16:A127),'Прайс-лист'!$T$11:$T$310,0)),"")</f>
        <v/>
      </c>
      <c r="H127" s="15" t="str">
        <f>IFERROR(INDEX('Прайс-лист'!$P$11:$P$310,MATCH(ROWS($A$16:A127),'Прайс-лист'!$T$11:$T$310,0)),"")</f>
        <v/>
      </c>
      <c r="I127" s="16" t="str">
        <f>IFERROR(INDEX('Прайс-лист'!$S$11:$S$310,MATCH(ROWS($A$16:A127),'Прайс-лист'!$T$11:$T$310,0)),"")</f>
        <v/>
      </c>
      <c r="J127" s="15" t="str">
        <f>IFERROR(INDEX('Прайс-лист'!$Q$11:$Q$310,MATCH(ROWS($A$16:A127),'Прайс-лист'!$T$11:$T$310,0)),"")</f>
        <v/>
      </c>
    </row>
    <row r="128" spans="1:10" ht="13.5" customHeight="1" x14ac:dyDescent="0.2">
      <c r="A128" s="15" t="str">
        <f>IFERROR(IF(INDEX('Прайс-лист'!$T$11:$T$310,MATCH(ROWS($A$16:A128),'Прайс-лист'!$T$11:$T$310,0))="","",ROWS($A$16:A128)),"")</f>
        <v/>
      </c>
      <c r="B128" s="15" t="str">
        <f>IFERROR(INDEX('Прайс-лист'!$A$11:$A$310,MATCH(ROWS($A$16:A128),'Прайс-лист'!$T$11:$T$310,0)),"")</f>
        <v/>
      </c>
      <c r="C128" s="15" t="str">
        <f>IFERROR(INDEX('Прайс-лист'!$B$11:$B$310,MATCH(ROWS($A$16:A128),'Прайс-лист'!$T$11:$T$310,0)),"")</f>
        <v/>
      </c>
      <c r="D128" s="15" t="str">
        <f>IFERROR(INDEX('Прайс-лист'!$C$11:$C$310,MATCH(ROWS($A$16:A128),'Прайс-лист'!$T$11:$T$310,0)),"")</f>
        <v/>
      </c>
      <c r="E128" s="15" t="str">
        <f>IFERROR(INDEX('Прайс-лист'!$E$11:$E$310,MATCH(ROWS($A$16:A128),'Прайс-лист'!$T$11:$T$310,0)),"")</f>
        <v/>
      </c>
      <c r="F128" s="15" t="str">
        <f>IFERROR(INDEX('Прайс-лист'!$F$11:$F$310,MATCH(ROWS($A$16:A128),'Прайс-лист'!$T$11:$T$310,0)),"")</f>
        <v/>
      </c>
      <c r="G128" s="16" t="str">
        <f>IFERROR(INDEX('Прайс-лист'!$R$11:$R$310,MATCH(ROWS($A$16:A128),'Прайс-лист'!$T$11:$T$310,0)),"")</f>
        <v/>
      </c>
      <c r="H128" s="15" t="str">
        <f>IFERROR(INDEX('Прайс-лист'!$P$11:$P$310,MATCH(ROWS($A$16:A128),'Прайс-лист'!$T$11:$T$310,0)),"")</f>
        <v/>
      </c>
      <c r="I128" s="16" t="str">
        <f>IFERROR(INDEX('Прайс-лист'!$S$11:$S$310,MATCH(ROWS($A$16:A128),'Прайс-лист'!$T$11:$T$310,0)),"")</f>
        <v/>
      </c>
      <c r="J128" s="15" t="str">
        <f>IFERROR(INDEX('Прайс-лист'!$Q$11:$Q$310,MATCH(ROWS($A$16:A128),'Прайс-лист'!$T$11:$T$310,0)),"")</f>
        <v/>
      </c>
    </row>
    <row r="129" spans="1:10" ht="13.5" customHeight="1" x14ac:dyDescent="0.2">
      <c r="A129" s="15" t="str">
        <f>IFERROR(IF(INDEX('Прайс-лист'!$T$11:$T$310,MATCH(ROWS($A$16:A129),'Прайс-лист'!$T$11:$T$310,0))="","",ROWS($A$16:A129)),"")</f>
        <v/>
      </c>
      <c r="B129" s="15" t="str">
        <f>IFERROR(INDEX('Прайс-лист'!$A$11:$A$310,MATCH(ROWS($A$16:A129),'Прайс-лист'!$T$11:$T$310,0)),"")</f>
        <v/>
      </c>
      <c r="C129" s="15" t="str">
        <f>IFERROR(INDEX('Прайс-лист'!$B$11:$B$310,MATCH(ROWS($A$16:A129),'Прайс-лист'!$T$11:$T$310,0)),"")</f>
        <v/>
      </c>
      <c r="D129" s="15" t="str">
        <f>IFERROR(INDEX('Прайс-лист'!$C$11:$C$310,MATCH(ROWS($A$16:A129),'Прайс-лист'!$T$11:$T$310,0)),"")</f>
        <v/>
      </c>
      <c r="E129" s="15" t="str">
        <f>IFERROR(INDEX('Прайс-лист'!$E$11:$E$310,MATCH(ROWS($A$16:A129),'Прайс-лист'!$T$11:$T$310,0)),"")</f>
        <v/>
      </c>
      <c r="F129" s="15" t="str">
        <f>IFERROR(INDEX('Прайс-лист'!$F$11:$F$310,MATCH(ROWS($A$16:A129),'Прайс-лист'!$T$11:$T$310,0)),"")</f>
        <v/>
      </c>
      <c r="G129" s="16" t="str">
        <f>IFERROR(INDEX('Прайс-лист'!$R$11:$R$310,MATCH(ROWS($A$16:A129),'Прайс-лист'!$T$11:$T$310,0)),"")</f>
        <v/>
      </c>
      <c r="H129" s="15" t="str">
        <f>IFERROR(INDEX('Прайс-лист'!$P$11:$P$310,MATCH(ROWS($A$16:A129),'Прайс-лист'!$T$11:$T$310,0)),"")</f>
        <v/>
      </c>
      <c r="I129" s="16" t="str">
        <f>IFERROR(INDEX('Прайс-лист'!$S$11:$S$310,MATCH(ROWS($A$16:A129),'Прайс-лист'!$T$11:$T$310,0)),"")</f>
        <v/>
      </c>
      <c r="J129" s="15" t="str">
        <f>IFERROR(INDEX('Прайс-лист'!$Q$11:$Q$310,MATCH(ROWS($A$16:A129),'Прайс-лист'!$T$11:$T$310,0)),"")</f>
        <v/>
      </c>
    </row>
    <row r="130" spans="1:10" ht="13.5" customHeight="1" x14ac:dyDescent="0.2">
      <c r="A130" s="15" t="str">
        <f>IFERROR(IF(INDEX('Прайс-лист'!$T$11:$T$310,MATCH(ROWS($A$16:A130),'Прайс-лист'!$T$11:$T$310,0))="","",ROWS($A$16:A130)),"")</f>
        <v/>
      </c>
      <c r="B130" s="15" t="str">
        <f>IFERROR(INDEX('Прайс-лист'!$A$11:$A$310,MATCH(ROWS($A$16:A130),'Прайс-лист'!$T$11:$T$310,0)),"")</f>
        <v/>
      </c>
      <c r="C130" s="15" t="str">
        <f>IFERROR(INDEX('Прайс-лист'!$B$11:$B$310,MATCH(ROWS($A$16:A130),'Прайс-лист'!$T$11:$T$310,0)),"")</f>
        <v/>
      </c>
      <c r="D130" s="15" t="str">
        <f>IFERROR(INDEX('Прайс-лист'!$C$11:$C$310,MATCH(ROWS($A$16:A130),'Прайс-лист'!$T$11:$T$310,0)),"")</f>
        <v/>
      </c>
      <c r="E130" s="15" t="str">
        <f>IFERROR(INDEX('Прайс-лист'!$E$11:$E$310,MATCH(ROWS($A$16:A130),'Прайс-лист'!$T$11:$T$310,0)),"")</f>
        <v/>
      </c>
      <c r="F130" s="15" t="str">
        <f>IFERROR(INDEX('Прайс-лист'!$F$11:$F$310,MATCH(ROWS($A$16:A130),'Прайс-лист'!$T$11:$T$310,0)),"")</f>
        <v/>
      </c>
      <c r="G130" s="16" t="str">
        <f>IFERROR(INDEX('Прайс-лист'!$R$11:$R$310,MATCH(ROWS($A$16:A130),'Прайс-лист'!$T$11:$T$310,0)),"")</f>
        <v/>
      </c>
      <c r="H130" s="15" t="str">
        <f>IFERROR(INDEX('Прайс-лист'!$P$11:$P$310,MATCH(ROWS($A$16:A130),'Прайс-лист'!$T$11:$T$310,0)),"")</f>
        <v/>
      </c>
      <c r="I130" s="16" t="str">
        <f>IFERROR(INDEX('Прайс-лист'!$S$11:$S$310,MATCH(ROWS($A$16:A130),'Прайс-лист'!$T$11:$T$310,0)),"")</f>
        <v/>
      </c>
      <c r="J130" s="15" t="str">
        <f>IFERROR(INDEX('Прайс-лист'!$Q$11:$Q$310,MATCH(ROWS($A$16:A130),'Прайс-лист'!$T$11:$T$310,0)),"")</f>
        <v/>
      </c>
    </row>
    <row r="131" spans="1:10" ht="13.5" customHeight="1" x14ac:dyDescent="0.2">
      <c r="A131" s="15" t="str">
        <f>IFERROR(IF(INDEX('Прайс-лист'!$T$11:$T$310,MATCH(ROWS($A$16:A131),'Прайс-лист'!$T$11:$T$310,0))="","",ROWS($A$16:A131)),"")</f>
        <v/>
      </c>
      <c r="B131" s="15" t="str">
        <f>IFERROR(INDEX('Прайс-лист'!$A$11:$A$310,MATCH(ROWS($A$16:A131),'Прайс-лист'!$T$11:$T$310,0)),"")</f>
        <v/>
      </c>
      <c r="C131" s="15" t="str">
        <f>IFERROR(INDEX('Прайс-лист'!$B$11:$B$310,MATCH(ROWS($A$16:A131),'Прайс-лист'!$T$11:$T$310,0)),"")</f>
        <v/>
      </c>
      <c r="D131" s="15" t="str">
        <f>IFERROR(INDEX('Прайс-лист'!$C$11:$C$310,MATCH(ROWS($A$16:A131),'Прайс-лист'!$T$11:$T$310,0)),"")</f>
        <v/>
      </c>
      <c r="E131" s="15" t="str">
        <f>IFERROR(INDEX('Прайс-лист'!$E$11:$E$310,MATCH(ROWS($A$16:A131),'Прайс-лист'!$T$11:$T$310,0)),"")</f>
        <v/>
      </c>
      <c r="F131" s="15" t="str">
        <f>IFERROR(INDEX('Прайс-лист'!$F$11:$F$310,MATCH(ROWS($A$16:A131),'Прайс-лист'!$T$11:$T$310,0)),"")</f>
        <v/>
      </c>
      <c r="G131" s="16" t="str">
        <f>IFERROR(INDEX('Прайс-лист'!$R$11:$R$310,MATCH(ROWS($A$16:A131),'Прайс-лист'!$T$11:$T$310,0)),"")</f>
        <v/>
      </c>
      <c r="H131" s="15" t="str">
        <f>IFERROR(INDEX('Прайс-лист'!$P$11:$P$310,MATCH(ROWS($A$16:A131),'Прайс-лист'!$T$11:$T$310,0)),"")</f>
        <v/>
      </c>
      <c r="I131" s="16" t="str">
        <f>IFERROR(INDEX('Прайс-лист'!$S$11:$S$310,MATCH(ROWS($A$16:A131),'Прайс-лист'!$T$11:$T$310,0)),"")</f>
        <v/>
      </c>
      <c r="J131" s="15" t="str">
        <f>IFERROR(INDEX('Прайс-лист'!$Q$11:$Q$310,MATCH(ROWS($A$16:A131),'Прайс-лист'!$T$11:$T$310,0)),"")</f>
        <v/>
      </c>
    </row>
    <row r="132" spans="1:10" ht="13.5" customHeight="1" x14ac:dyDescent="0.2">
      <c r="A132" s="15" t="str">
        <f>IFERROR(IF(INDEX('Прайс-лист'!$T$11:$T$310,MATCH(ROWS($A$16:A132),'Прайс-лист'!$T$11:$T$310,0))="","",ROWS($A$16:A132)),"")</f>
        <v/>
      </c>
      <c r="B132" s="15" t="str">
        <f>IFERROR(INDEX('Прайс-лист'!$A$11:$A$310,MATCH(ROWS($A$16:A132),'Прайс-лист'!$T$11:$T$310,0)),"")</f>
        <v/>
      </c>
      <c r="C132" s="15" t="str">
        <f>IFERROR(INDEX('Прайс-лист'!$B$11:$B$310,MATCH(ROWS($A$16:A132),'Прайс-лист'!$T$11:$T$310,0)),"")</f>
        <v/>
      </c>
      <c r="D132" s="15" t="str">
        <f>IFERROR(INDEX('Прайс-лист'!$C$11:$C$310,MATCH(ROWS($A$16:A132),'Прайс-лист'!$T$11:$T$310,0)),"")</f>
        <v/>
      </c>
      <c r="E132" s="15" t="str">
        <f>IFERROR(INDEX('Прайс-лист'!$E$11:$E$310,MATCH(ROWS($A$16:A132),'Прайс-лист'!$T$11:$T$310,0)),"")</f>
        <v/>
      </c>
      <c r="F132" s="15" t="str">
        <f>IFERROR(INDEX('Прайс-лист'!$F$11:$F$310,MATCH(ROWS($A$16:A132),'Прайс-лист'!$T$11:$T$310,0)),"")</f>
        <v/>
      </c>
      <c r="G132" s="16" t="str">
        <f>IFERROR(INDEX('Прайс-лист'!$R$11:$R$310,MATCH(ROWS($A$16:A132),'Прайс-лист'!$T$11:$T$310,0)),"")</f>
        <v/>
      </c>
      <c r="H132" s="15" t="str">
        <f>IFERROR(INDEX('Прайс-лист'!$P$11:$P$310,MATCH(ROWS($A$16:A132),'Прайс-лист'!$T$11:$T$310,0)),"")</f>
        <v/>
      </c>
      <c r="I132" s="16" t="str">
        <f>IFERROR(INDEX('Прайс-лист'!$S$11:$S$310,MATCH(ROWS($A$16:A132),'Прайс-лист'!$T$11:$T$310,0)),"")</f>
        <v/>
      </c>
      <c r="J132" s="15" t="str">
        <f>IFERROR(INDEX('Прайс-лист'!$Q$11:$Q$310,MATCH(ROWS($A$16:A132),'Прайс-лист'!$T$11:$T$310,0)),"")</f>
        <v/>
      </c>
    </row>
    <row r="133" spans="1:10" ht="13.5" customHeight="1" x14ac:dyDescent="0.2">
      <c r="A133" s="15" t="str">
        <f>IFERROR(IF(INDEX('Прайс-лист'!$T$11:$T$310,MATCH(ROWS($A$16:A133),'Прайс-лист'!$T$11:$T$310,0))="","",ROWS($A$16:A133)),"")</f>
        <v/>
      </c>
      <c r="B133" s="15" t="str">
        <f>IFERROR(INDEX('Прайс-лист'!$A$11:$A$310,MATCH(ROWS($A$16:A133),'Прайс-лист'!$T$11:$T$310,0)),"")</f>
        <v/>
      </c>
      <c r="C133" s="15" t="str">
        <f>IFERROR(INDEX('Прайс-лист'!$B$11:$B$310,MATCH(ROWS($A$16:A133),'Прайс-лист'!$T$11:$T$310,0)),"")</f>
        <v/>
      </c>
      <c r="D133" s="15" t="str">
        <f>IFERROR(INDEX('Прайс-лист'!$C$11:$C$310,MATCH(ROWS($A$16:A133),'Прайс-лист'!$T$11:$T$310,0)),"")</f>
        <v/>
      </c>
      <c r="E133" s="15" t="str">
        <f>IFERROR(INDEX('Прайс-лист'!$E$11:$E$310,MATCH(ROWS($A$16:A133),'Прайс-лист'!$T$11:$T$310,0)),"")</f>
        <v/>
      </c>
      <c r="F133" s="15" t="str">
        <f>IFERROR(INDEX('Прайс-лист'!$F$11:$F$310,MATCH(ROWS($A$16:A133),'Прайс-лист'!$T$11:$T$310,0)),"")</f>
        <v/>
      </c>
      <c r="G133" s="16" t="str">
        <f>IFERROR(INDEX('Прайс-лист'!$R$11:$R$310,MATCH(ROWS($A$16:A133),'Прайс-лист'!$T$11:$T$310,0)),"")</f>
        <v/>
      </c>
      <c r="H133" s="15" t="str">
        <f>IFERROR(INDEX('Прайс-лист'!$P$11:$P$310,MATCH(ROWS($A$16:A133),'Прайс-лист'!$T$11:$T$310,0)),"")</f>
        <v/>
      </c>
      <c r="I133" s="16" t="str">
        <f>IFERROR(INDEX('Прайс-лист'!$S$11:$S$310,MATCH(ROWS($A$16:A133),'Прайс-лист'!$T$11:$T$310,0)),"")</f>
        <v/>
      </c>
      <c r="J133" s="15" t="str">
        <f>IFERROR(INDEX('Прайс-лист'!$Q$11:$Q$310,MATCH(ROWS($A$16:A133),'Прайс-лист'!$T$11:$T$310,0)),"")</f>
        <v/>
      </c>
    </row>
    <row r="134" spans="1:10" ht="13.5" customHeight="1" x14ac:dyDescent="0.2">
      <c r="A134" s="15" t="str">
        <f>IFERROR(IF(INDEX('Прайс-лист'!$T$11:$T$310,MATCH(ROWS($A$16:A134),'Прайс-лист'!$T$11:$T$310,0))="","",ROWS($A$16:A134)),"")</f>
        <v/>
      </c>
      <c r="B134" s="15" t="str">
        <f>IFERROR(INDEX('Прайс-лист'!$A$11:$A$310,MATCH(ROWS($A$16:A134),'Прайс-лист'!$T$11:$T$310,0)),"")</f>
        <v/>
      </c>
      <c r="C134" s="15" t="str">
        <f>IFERROR(INDEX('Прайс-лист'!$B$11:$B$310,MATCH(ROWS($A$16:A134),'Прайс-лист'!$T$11:$T$310,0)),"")</f>
        <v/>
      </c>
      <c r="D134" s="15" t="str">
        <f>IFERROR(INDEX('Прайс-лист'!$C$11:$C$310,MATCH(ROWS($A$16:A134),'Прайс-лист'!$T$11:$T$310,0)),"")</f>
        <v/>
      </c>
      <c r="E134" s="15" t="str">
        <f>IFERROR(INDEX('Прайс-лист'!$E$11:$E$310,MATCH(ROWS($A$16:A134),'Прайс-лист'!$T$11:$T$310,0)),"")</f>
        <v/>
      </c>
      <c r="F134" s="15" t="str">
        <f>IFERROR(INDEX('Прайс-лист'!$F$11:$F$310,MATCH(ROWS($A$16:A134),'Прайс-лист'!$T$11:$T$310,0)),"")</f>
        <v/>
      </c>
      <c r="G134" s="16" t="str">
        <f>IFERROR(INDEX('Прайс-лист'!$R$11:$R$310,MATCH(ROWS($A$16:A134),'Прайс-лист'!$T$11:$T$310,0)),"")</f>
        <v/>
      </c>
      <c r="H134" s="15" t="str">
        <f>IFERROR(INDEX('Прайс-лист'!$P$11:$P$310,MATCH(ROWS($A$16:A134),'Прайс-лист'!$T$11:$T$310,0)),"")</f>
        <v/>
      </c>
      <c r="I134" s="16" t="str">
        <f>IFERROR(INDEX('Прайс-лист'!$S$11:$S$310,MATCH(ROWS($A$16:A134),'Прайс-лист'!$T$11:$T$310,0)),"")</f>
        <v/>
      </c>
      <c r="J134" s="15" t="str">
        <f>IFERROR(INDEX('Прайс-лист'!$Q$11:$Q$310,MATCH(ROWS($A$16:A134),'Прайс-лист'!$T$11:$T$310,0)),"")</f>
        <v/>
      </c>
    </row>
    <row r="135" spans="1:10" ht="13.5" customHeight="1" x14ac:dyDescent="0.2">
      <c r="A135" s="15" t="str">
        <f>IFERROR(IF(INDEX('Прайс-лист'!$T$11:$T$310,MATCH(ROWS($A$16:A135),'Прайс-лист'!$T$11:$T$310,0))="","",ROWS($A$16:A135)),"")</f>
        <v/>
      </c>
      <c r="B135" s="15" t="str">
        <f>IFERROR(INDEX('Прайс-лист'!$A$11:$A$310,MATCH(ROWS($A$16:A135),'Прайс-лист'!$T$11:$T$310,0)),"")</f>
        <v/>
      </c>
      <c r="C135" s="15" t="str">
        <f>IFERROR(INDEX('Прайс-лист'!$B$11:$B$310,MATCH(ROWS($A$16:A135),'Прайс-лист'!$T$11:$T$310,0)),"")</f>
        <v/>
      </c>
      <c r="D135" s="15" t="str">
        <f>IFERROR(INDEX('Прайс-лист'!$C$11:$C$310,MATCH(ROWS($A$16:A135),'Прайс-лист'!$T$11:$T$310,0)),"")</f>
        <v/>
      </c>
      <c r="E135" s="15" t="str">
        <f>IFERROR(INDEX('Прайс-лист'!$E$11:$E$310,MATCH(ROWS($A$16:A135),'Прайс-лист'!$T$11:$T$310,0)),"")</f>
        <v/>
      </c>
      <c r="F135" s="15" t="str">
        <f>IFERROR(INDEX('Прайс-лист'!$F$11:$F$310,MATCH(ROWS($A$16:A135),'Прайс-лист'!$T$11:$T$310,0)),"")</f>
        <v/>
      </c>
      <c r="G135" s="16" t="str">
        <f>IFERROR(INDEX('Прайс-лист'!$R$11:$R$310,MATCH(ROWS($A$16:A135),'Прайс-лист'!$T$11:$T$310,0)),"")</f>
        <v/>
      </c>
      <c r="H135" s="15" t="str">
        <f>IFERROR(INDEX('Прайс-лист'!$P$11:$P$310,MATCH(ROWS($A$16:A135),'Прайс-лист'!$T$11:$T$310,0)),"")</f>
        <v/>
      </c>
      <c r="I135" s="16" t="str">
        <f>IFERROR(INDEX('Прайс-лист'!$S$11:$S$310,MATCH(ROWS($A$16:A135),'Прайс-лист'!$T$11:$T$310,0)),"")</f>
        <v/>
      </c>
      <c r="J135" s="15" t="str">
        <f>IFERROR(INDEX('Прайс-лист'!$Q$11:$Q$310,MATCH(ROWS($A$16:A135),'Прайс-лист'!$T$11:$T$310,0)),"")</f>
        <v/>
      </c>
    </row>
    <row r="136" spans="1:10" ht="13.5" customHeight="1" x14ac:dyDescent="0.2">
      <c r="A136" s="15" t="str">
        <f>IFERROR(IF(INDEX('Прайс-лист'!$T$11:$T$310,MATCH(ROWS($A$16:A136),'Прайс-лист'!$T$11:$T$310,0))="","",ROWS($A$16:A136)),"")</f>
        <v/>
      </c>
      <c r="B136" s="15" t="str">
        <f>IFERROR(INDEX('Прайс-лист'!$A$11:$A$310,MATCH(ROWS($A$16:A136),'Прайс-лист'!$T$11:$T$310,0)),"")</f>
        <v/>
      </c>
      <c r="C136" s="15" t="str">
        <f>IFERROR(INDEX('Прайс-лист'!$B$11:$B$310,MATCH(ROWS($A$16:A136),'Прайс-лист'!$T$11:$T$310,0)),"")</f>
        <v/>
      </c>
      <c r="D136" s="15" t="str">
        <f>IFERROR(INDEX('Прайс-лист'!$C$11:$C$310,MATCH(ROWS($A$16:A136),'Прайс-лист'!$T$11:$T$310,0)),"")</f>
        <v/>
      </c>
      <c r="E136" s="15" t="str">
        <f>IFERROR(INDEX('Прайс-лист'!$E$11:$E$310,MATCH(ROWS($A$16:A136),'Прайс-лист'!$T$11:$T$310,0)),"")</f>
        <v/>
      </c>
      <c r="F136" s="15" t="str">
        <f>IFERROR(INDEX('Прайс-лист'!$F$11:$F$310,MATCH(ROWS($A$16:A136),'Прайс-лист'!$T$11:$T$310,0)),"")</f>
        <v/>
      </c>
      <c r="G136" s="16" t="str">
        <f>IFERROR(INDEX('Прайс-лист'!$R$11:$R$310,MATCH(ROWS($A$16:A136),'Прайс-лист'!$T$11:$T$310,0)),"")</f>
        <v/>
      </c>
      <c r="H136" s="15" t="str">
        <f>IFERROR(INDEX('Прайс-лист'!$P$11:$P$310,MATCH(ROWS($A$16:A136),'Прайс-лист'!$T$11:$T$310,0)),"")</f>
        <v/>
      </c>
      <c r="I136" s="16" t="str">
        <f>IFERROR(INDEX('Прайс-лист'!$S$11:$S$310,MATCH(ROWS($A$16:A136),'Прайс-лист'!$T$11:$T$310,0)),"")</f>
        <v/>
      </c>
      <c r="J136" s="15" t="str">
        <f>IFERROR(INDEX('Прайс-лист'!$Q$11:$Q$310,MATCH(ROWS($A$16:A136),'Прайс-лист'!$T$11:$T$310,0)),"")</f>
        <v/>
      </c>
    </row>
    <row r="137" spans="1:10" ht="13.5" customHeight="1" x14ac:dyDescent="0.2">
      <c r="A137" s="15" t="str">
        <f>IFERROR(IF(INDEX('Прайс-лист'!$T$11:$T$310,MATCH(ROWS($A$16:A137),'Прайс-лист'!$T$11:$T$310,0))="","",ROWS($A$16:A137)),"")</f>
        <v/>
      </c>
      <c r="B137" s="15" t="str">
        <f>IFERROR(INDEX('Прайс-лист'!$A$11:$A$310,MATCH(ROWS($A$16:A137),'Прайс-лист'!$T$11:$T$310,0)),"")</f>
        <v/>
      </c>
      <c r="C137" s="15" t="str">
        <f>IFERROR(INDEX('Прайс-лист'!$B$11:$B$310,MATCH(ROWS($A$16:A137),'Прайс-лист'!$T$11:$T$310,0)),"")</f>
        <v/>
      </c>
      <c r="D137" s="15" t="str">
        <f>IFERROR(INDEX('Прайс-лист'!$C$11:$C$310,MATCH(ROWS($A$16:A137),'Прайс-лист'!$T$11:$T$310,0)),"")</f>
        <v/>
      </c>
      <c r="E137" s="15" t="str">
        <f>IFERROR(INDEX('Прайс-лист'!$E$11:$E$310,MATCH(ROWS($A$16:A137),'Прайс-лист'!$T$11:$T$310,0)),"")</f>
        <v/>
      </c>
      <c r="F137" s="15" t="str">
        <f>IFERROR(INDEX('Прайс-лист'!$F$11:$F$310,MATCH(ROWS($A$16:A137),'Прайс-лист'!$T$11:$T$310,0)),"")</f>
        <v/>
      </c>
      <c r="G137" s="16" t="str">
        <f>IFERROR(INDEX('Прайс-лист'!$R$11:$R$310,MATCH(ROWS($A$16:A137),'Прайс-лист'!$T$11:$T$310,0)),"")</f>
        <v/>
      </c>
      <c r="H137" s="15" t="str">
        <f>IFERROR(INDEX('Прайс-лист'!$P$11:$P$310,MATCH(ROWS($A$16:A137),'Прайс-лист'!$T$11:$T$310,0)),"")</f>
        <v/>
      </c>
      <c r="I137" s="16" t="str">
        <f>IFERROR(INDEX('Прайс-лист'!$S$11:$S$310,MATCH(ROWS($A$16:A137),'Прайс-лист'!$T$11:$T$310,0)),"")</f>
        <v/>
      </c>
      <c r="J137" s="15" t="str">
        <f>IFERROR(INDEX('Прайс-лист'!$Q$11:$Q$310,MATCH(ROWS($A$16:A137),'Прайс-лист'!$T$11:$T$310,0)),"")</f>
        <v/>
      </c>
    </row>
    <row r="138" spans="1:10" ht="13.5" customHeight="1" x14ac:dyDescent="0.2">
      <c r="A138" s="15" t="str">
        <f>IFERROR(IF(INDEX('Прайс-лист'!$T$11:$T$310,MATCH(ROWS($A$16:A138),'Прайс-лист'!$T$11:$T$310,0))="","",ROWS($A$16:A138)),"")</f>
        <v/>
      </c>
      <c r="B138" s="15" t="str">
        <f>IFERROR(INDEX('Прайс-лист'!$A$11:$A$310,MATCH(ROWS($A$16:A138),'Прайс-лист'!$T$11:$T$310,0)),"")</f>
        <v/>
      </c>
      <c r="C138" s="15" t="str">
        <f>IFERROR(INDEX('Прайс-лист'!$B$11:$B$310,MATCH(ROWS($A$16:A138),'Прайс-лист'!$T$11:$T$310,0)),"")</f>
        <v/>
      </c>
      <c r="D138" s="15" t="str">
        <f>IFERROR(INDEX('Прайс-лист'!$C$11:$C$310,MATCH(ROWS($A$16:A138),'Прайс-лист'!$T$11:$T$310,0)),"")</f>
        <v/>
      </c>
      <c r="E138" s="15" t="str">
        <f>IFERROR(INDEX('Прайс-лист'!$E$11:$E$310,MATCH(ROWS($A$16:A138),'Прайс-лист'!$T$11:$T$310,0)),"")</f>
        <v/>
      </c>
      <c r="F138" s="15" t="str">
        <f>IFERROR(INDEX('Прайс-лист'!$F$11:$F$310,MATCH(ROWS($A$16:A138),'Прайс-лист'!$T$11:$T$310,0)),"")</f>
        <v/>
      </c>
      <c r="G138" s="16" t="str">
        <f>IFERROR(INDEX('Прайс-лист'!$R$11:$R$310,MATCH(ROWS($A$16:A138),'Прайс-лист'!$T$11:$T$310,0)),"")</f>
        <v/>
      </c>
      <c r="H138" s="15" t="str">
        <f>IFERROR(INDEX('Прайс-лист'!$P$11:$P$310,MATCH(ROWS($A$16:A138),'Прайс-лист'!$T$11:$T$310,0)),"")</f>
        <v/>
      </c>
      <c r="I138" s="16" t="str">
        <f>IFERROR(INDEX('Прайс-лист'!$S$11:$S$310,MATCH(ROWS($A$16:A138),'Прайс-лист'!$T$11:$T$310,0)),"")</f>
        <v/>
      </c>
      <c r="J138" s="15" t="str">
        <f>IFERROR(INDEX('Прайс-лист'!$Q$11:$Q$310,MATCH(ROWS($A$16:A138),'Прайс-лист'!$T$11:$T$310,0)),"")</f>
        <v/>
      </c>
    </row>
    <row r="139" spans="1:10" ht="13.5" customHeight="1" x14ac:dyDescent="0.2">
      <c r="A139" s="15" t="str">
        <f>IFERROR(IF(INDEX('Прайс-лист'!$T$11:$T$310,MATCH(ROWS($A$16:A139),'Прайс-лист'!$T$11:$T$310,0))="","",ROWS($A$16:A139)),"")</f>
        <v/>
      </c>
      <c r="B139" s="15" t="str">
        <f>IFERROR(INDEX('Прайс-лист'!$A$11:$A$310,MATCH(ROWS($A$16:A139),'Прайс-лист'!$T$11:$T$310,0)),"")</f>
        <v/>
      </c>
      <c r="C139" s="15" t="str">
        <f>IFERROR(INDEX('Прайс-лист'!$B$11:$B$310,MATCH(ROWS($A$16:A139),'Прайс-лист'!$T$11:$T$310,0)),"")</f>
        <v/>
      </c>
      <c r="D139" s="15" t="str">
        <f>IFERROR(INDEX('Прайс-лист'!$C$11:$C$310,MATCH(ROWS($A$16:A139),'Прайс-лист'!$T$11:$T$310,0)),"")</f>
        <v/>
      </c>
      <c r="E139" s="15" t="str">
        <f>IFERROR(INDEX('Прайс-лист'!$E$11:$E$310,MATCH(ROWS($A$16:A139),'Прайс-лист'!$T$11:$T$310,0)),"")</f>
        <v/>
      </c>
      <c r="F139" s="15" t="str">
        <f>IFERROR(INDEX('Прайс-лист'!$F$11:$F$310,MATCH(ROWS($A$16:A139),'Прайс-лист'!$T$11:$T$310,0)),"")</f>
        <v/>
      </c>
      <c r="G139" s="16" t="str">
        <f>IFERROR(INDEX('Прайс-лист'!$R$11:$R$310,MATCH(ROWS($A$16:A139),'Прайс-лист'!$T$11:$T$310,0)),"")</f>
        <v/>
      </c>
      <c r="H139" s="15" t="str">
        <f>IFERROR(INDEX('Прайс-лист'!$P$11:$P$310,MATCH(ROWS($A$16:A139),'Прайс-лист'!$T$11:$T$310,0)),"")</f>
        <v/>
      </c>
      <c r="I139" s="16" t="str">
        <f>IFERROR(INDEX('Прайс-лист'!$S$11:$S$310,MATCH(ROWS($A$16:A139),'Прайс-лист'!$T$11:$T$310,0)),"")</f>
        <v/>
      </c>
      <c r="J139" s="15" t="str">
        <f>IFERROR(INDEX('Прайс-лист'!$Q$11:$Q$310,MATCH(ROWS($A$16:A139),'Прайс-лист'!$T$11:$T$310,0)),"")</f>
        <v/>
      </c>
    </row>
    <row r="140" spans="1:10" ht="13.5" customHeight="1" x14ac:dyDescent="0.2">
      <c r="A140" s="15" t="str">
        <f>IFERROR(IF(INDEX('Прайс-лист'!$T$11:$T$310,MATCH(ROWS($A$16:A140),'Прайс-лист'!$T$11:$T$310,0))="","",ROWS($A$16:A140)),"")</f>
        <v/>
      </c>
      <c r="B140" s="15" t="str">
        <f>IFERROR(INDEX('Прайс-лист'!$A$11:$A$310,MATCH(ROWS($A$16:A140),'Прайс-лист'!$T$11:$T$310,0)),"")</f>
        <v/>
      </c>
      <c r="C140" s="15" t="str">
        <f>IFERROR(INDEX('Прайс-лист'!$B$11:$B$310,MATCH(ROWS($A$16:A140),'Прайс-лист'!$T$11:$T$310,0)),"")</f>
        <v/>
      </c>
      <c r="D140" s="15" t="str">
        <f>IFERROR(INDEX('Прайс-лист'!$C$11:$C$310,MATCH(ROWS($A$16:A140),'Прайс-лист'!$T$11:$T$310,0)),"")</f>
        <v/>
      </c>
      <c r="E140" s="15" t="str">
        <f>IFERROR(INDEX('Прайс-лист'!$E$11:$E$310,MATCH(ROWS($A$16:A140),'Прайс-лист'!$T$11:$T$310,0)),"")</f>
        <v/>
      </c>
      <c r="F140" s="15" t="str">
        <f>IFERROR(INDEX('Прайс-лист'!$F$11:$F$310,MATCH(ROWS($A$16:A140),'Прайс-лист'!$T$11:$T$310,0)),"")</f>
        <v/>
      </c>
      <c r="G140" s="16" t="str">
        <f>IFERROR(INDEX('Прайс-лист'!$R$11:$R$310,MATCH(ROWS($A$16:A140),'Прайс-лист'!$T$11:$T$310,0)),"")</f>
        <v/>
      </c>
      <c r="H140" s="15" t="str">
        <f>IFERROR(INDEX('Прайс-лист'!$P$11:$P$310,MATCH(ROWS($A$16:A140),'Прайс-лист'!$T$11:$T$310,0)),"")</f>
        <v/>
      </c>
      <c r="I140" s="16" t="str">
        <f>IFERROR(INDEX('Прайс-лист'!$S$11:$S$310,MATCH(ROWS($A$16:A140),'Прайс-лист'!$T$11:$T$310,0)),"")</f>
        <v/>
      </c>
      <c r="J140" s="15" t="str">
        <f>IFERROR(INDEX('Прайс-лист'!$Q$11:$Q$310,MATCH(ROWS($A$16:A140),'Прайс-лист'!$T$11:$T$310,0)),"")</f>
        <v/>
      </c>
    </row>
    <row r="141" spans="1:10" ht="13.5" customHeight="1" x14ac:dyDescent="0.2">
      <c r="A141" s="15" t="str">
        <f>IFERROR(IF(INDEX('Прайс-лист'!$T$11:$T$310,MATCH(ROWS($A$16:A141),'Прайс-лист'!$T$11:$T$310,0))="","",ROWS($A$16:A141)),"")</f>
        <v/>
      </c>
      <c r="B141" s="15" t="str">
        <f>IFERROR(INDEX('Прайс-лист'!$A$11:$A$310,MATCH(ROWS($A$16:A141),'Прайс-лист'!$T$11:$T$310,0)),"")</f>
        <v/>
      </c>
      <c r="C141" s="15" t="str">
        <f>IFERROR(INDEX('Прайс-лист'!$B$11:$B$310,MATCH(ROWS($A$16:A141),'Прайс-лист'!$T$11:$T$310,0)),"")</f>
        <v/>
      </c>
      <c r="D141" s="15" t="str">
        <f>IFERROR(INDEX('Прайс-лист'!$C$11:$C$310,MATCH(ROWS($A$16:A141),'Прайс-лист'!$T$11:$T$310,0)),"")</f>
        <v/>
      </c>
      <c r="E141" s="15" t="str">
        <f>IFERROR(INDEX('Прайс-лист'!$E$11:$E$310,MATCH(ROWS($A$16:A141),'Прайс-лист'!$T$11:$T$310,0)),"")</f>
        <v/>
      </c>
      <c r="F141" s="15" t="str">
        <f>IFERROR(INDEX('Прайс-лист'!$F$11:$F$310,MATCH(ROWS($A$16:A141),'Прайс-лист'!$T$11:$T$310,0)),"")</f>
        <v/>
      </c>
      <c r="G141" s="16" t="str">
        <f>IFERROR(INDEX('Прайс-лист'!$R$11:$R$310,MATCH(ROWS($A$16:A141),'Прайс-лист'!$T$11:$T$310,0)),"")</f>
        <v/>
      </c>
      <c r="H141" s="15" t="str">
        <f>IFERROR(INDEX('Прайс-лист'!$P$11:$P$310,MATCH(ROWS($A$16:A141),'Прайс-лист'!$T$11:$T$310,0)),"")</f>
        <v/>
      </c>
      <c r="I141" s="16" t="str">
        <f>IFERROR(INDEX('Прайс-лист'!$S$11:$S$310,MATCH(ROWS($A$16:A141),'Прайс-лист'!$T$11:$T$310,0)),"")</f>
        <v/>
      </c>
      <c r="J141" s="15" t="str">
        <f>IFERROR(INDEX('Прайс-лист'!$Q$11:$Q$310,MATCH(ROWS($A$16:A141),'Прайс-лист'!$T$11:$T$310,0)),"")</f>
        <v/>
      </c>
    </row>
    <row r="142" spans="1:10" ht="13.5" customHeight="1" x14ac:dyDescent="0.2">
      <c r="A142" s="15" t="str">
        <f>IFERROR(IF(INDEX('Прайс-лист'!$T$11:$T$310,MATCH(ROWS($A$16:A142),'Прайс-лист'!$T$11:$T$310,0))="","",ROWS($A$16:A142)),"")</f>
        <v/>
      </c>
      <c r="B142" s="15" t="str">
        <f>IFERROR(INDEX('Прайс-лист'!$A$11:$A$310,MATCH(ROWS($A$16:A142),'Прайс-лист'!$T$11:$T$310,0)),"")</f>
        <v/>
      </c>
      <c r="C142" s="15" t="str">
        <f>IFERROR(INDEX('Прайс-лист'!$B$11:$B$310,MATCH(ROWS($A$16:A142),'Прайс-лист'!$T$11:$T$310,0)),"")</f>
        <v/>
      </c>
      <c r="D142" s="15" t="str">
        <f>IFERROR(INDEX('Прайс-лист'!$C$11:$C$310,MATCH(ROWS($A$16:A142),'Прайс-лист'!$T$11:$T$310,0)),"")</f>
        <v/>
      </c>
      <c r="E142" s="15" t="str">
        <f>IFERROR(INDEX('Прайс-лист'!$E$11:$E$310,MATCH(ROWS($A$16:A142),'Прайс-лист'!$T$11:$T$310,0)),"")</f>
        <v/>
      </c>
      <c r="F142" s="15" t="str">
        <f>IFERROR(INDEX('Прайс-лист'!$F$11:$F$310,MATCH(ROWS($A$16:A142),'Прайс-лист'!$T$11:$T$310,0)),"")</f>
        <v/>
      </c>
      <c r="G142" s="16" t="str">
        <f>IFERROR(INDEX('Прайс-лист'!$R$11:$R$310,MATCH(ROWS($A$16:A142),'Прайс-лист'!$T$11:$T$310,0)),"")</f>
        <v/>
      </c>
      <c r="H142" s="15" t="str">
        <f>IFERROR(INDEX('Прайс-лист'!$P$11:$P$310,MATCH(ROWS($A$16:A142),'Прайс-лист'!$T$11:$T$310,0)),"")</f>
        <v/>
      </c>
      <c r="I142" s="16" t="str">
        <f>IFERROR(INDEX('Прайс-лист'!$S$11:$S$310,MATCH(ROWS($A$16:A142),'Прайс-лист'!$T$11:$T$310,0)),"")</f>
        <v/>
      </c>
      <c r="J142" s="15" t="str">
        <f>IFERROR(INDEX('Прайс-лист'!$Q$11:$Q$310,MATCH(ROWS($A$16:A142),'Прайс-лист'!$T$11:$T$310,0)),"")</f>
        <v/>
      </c>
    </row>
    <row r="143" spans="1:10" ht="13.5" customHeight="1" x14ac:dyDescent="0.2">
      <c r="A143" s="15" t="str">
        <f>IFERROR(IF(INDEX('Прайс-лист'!$T$11:$T$310,MATCH(ROWS($A$16:A143),'Прайс-лист'!$T$11:$T$310,0))="","",ROWS($A$16:A143)),"")</f>
        <v/>
      </c>
      <c r="B143" s="15" t="str">
        <f>IFERROR(INDEX('Прайс-лист'!$A$11:$A$310,MATCH(ROWS($A$16:A143),'Прайс-лист'!$T$11:$T$310,0)),"")</f>
        <v/>
      </c>
      <c r="C143" s="15" t="str">
        <f>IFERROR(INDEX('Прайс-лист'!$B$11:$B$310,MATCH(ROWS($A$16:A143),'Прайс-лист'!$T$11:$T$310,0)),"")</f>
        <v/>
      </c>
      <c r="D143" s="15" t="str">
        <f>IFERROR(INDEX('Прайс-лист'!$C$11:$C$310,MATCH(ROWS($A$16:A143),'Прайс-лист'!$T$11:$T$310,0)),"")</f>
        <v/>
      </c>
      <c r="E143" s="15" t="str">
        <f>IFERROR(INDEX('Прайс-лист'!$E$11:$E$310,MATCH(ROWS($A$16:A143),'Прайс-лист'!$T$11:$T$310,0)),"")</f>
        <v/>
      </c>
      <c r="F143" s="15" t="str">
        <f>IFERROR(INDEX('Прайс-лист'!$F$11:$F$310,MATCH(ROWS($A$16:A143),'Прайс-лист'!$T$11:$T$310,0)),"")</f>
        <v/>
      </c>
      <c r="G143" s="16" t="str">
        <f>IFERROR(INDEX('Прайс-лист'!$R$11:$R$310,MATCH(ROWS($A$16:A143),'Прайс-лист'!$T$11:$T$310,0)),"")</f>
        <v/>
      </c>
      <c r="H143" s="15" t="str">
        <f>IFERROR(INDEX('Прайс-лист'!$P$11:$P$310,MATCH(ROWS($A$16:A143),'Прайс-лист'!$T$11:$T$310,0)),"")</f>
        <v/>
      </c>
      <c r="I143" s="16" t="str">
        <f>IFERROR(INDEX('Прайс-лист'!$S$11:$S$310,MATCH(ROWS($A$16:A143),'Прайс-лист'!$T$11:$T$310,0)),"")</f>
        <v/>
      </c>
      <c r="J143" s="15" t="str">
        <f>IFERROR(INDEX('Прайс-лист'!$Q$11:$Q$310,MATCH(ROWS($A$16:A143),'Прайс-лист'!$T$11:$T$310,0)),"")</f>
        <v/>
      </c>
    </row>
    <row r="144" spans="1:10" ht="13.5" customHeight="1" x14ac:dyDescent="0.2">
      <c r="A144" s="15" t="str">
        <f>IFERROR(IF(INDEX('Прайс-лист'!$T$11:$T$310,MATCH(ROWS($A$16:A144),'Прайс-лист'!$T$11:$T$310,0))="","",ROWS($A$16:A144)),"")</f>
        <v/>
      </c>
      <c r="B144" s="15" t="str">
        <f>IFERROR(INDEX('Прайс-лист'!$A$11:$A$310,MATCH(ROWS($A$16:A144),'Прайс-лист'!$T$11:$T$310,0)),"")</f>
        <v/>
      </c>
      <c r="C144" s="15" t="str">
        <f>IFERROR(INDEX('Прайс-лист'!$B$11:$B$310,MATCH(ROWS($A$16:A144),'Прайс-лист'!$T$11:$T$310,0)),"")</f>
        <v/>
      </c>
      <c r="D144" s="15" t="str">
        <f>IFERROR(INDEX('Прайс-лист'!$C$11:$C$310,MATCH(ROWS($A$16:A144),'Прайс-лист'!$T$11:$T$310,0)),"")</f>
        <v/>
      </c>
      <c r="E144" s="15" t="str">
        <f>IFERROR(INDEX('Прайс-лист'!$E$11:$E$310,MATCH(ROWS($A$16:A144),'Прайс-лист'!$T$11:$T$310,0)),"")</f>
        <v/>
      </c>
      <c r="F144" s="15" t="str">
        <f>IFERROR(INDEX('Прайс-лист'!$F$11:$F$310,MATCH(ROWS($A$16:A144),'Прайс-лист'!$T$11:$T$310,0)),"")</f>
        <v/>
      </c>
      <c r="G144" s="16" t="str">
        <f>IFERROR(INDEX('Прайс-лист'!$R$11:$R$310,MATCH(ROWS($A$16:A144),'Прайс-лист'!$T$11:$T$310,0)),"")</f>
        <v/>
      </c>
      <c r="H144" s="15" t="str">
        <f>IFERROR(INDEX('Прайс-лист'!$P$11:$P$310,MATCH(ROWS($A$16:A144),'Прайс-лист'!$T$11:$T$310,0)),"")</f>
        <v/>
      </c>
      <c r="I144" s="16" t="str">
        <f>IFERROR(INDEX('Прайс-лист'!$S$11:$S$310,MATCH(ROWS($A$16:A144),'Прайс-лист'!$T$11:$T$310,0)),"")</f>
        <v/>
      </c>
      <c r="J144" s="15" t="str">
        <f>IFERROR(INDEX('Прайс-лист'!$Q$11:$Q$310,MATCH(ROWS($A$16:A144),'Прайс-лист'!$T$11:$T$310,0)),"")</f>
        <v/>
      </c>
    </row>
    <row r="145" spans="1:10" ht="13.5" customHeight="1" x14ac:dyDescent="0.2">
      <c r="A145" s="15" t="str">
        <f>IFERROR(IF(INDEX('Прайс-лист'!$T$11:$T$310,MATCH(ROWS($A$16:A145),'Прайс-лист'!$T$11:$T$310,0))="","",ROWS($A$16:A145)),"")</f>
        <v/>
      </c>
      <c r="B145" s="15" t="str">
        <f>IFERROR(INDEX('Прайс-лист'!$A$11:$A$310,MATCH(ROWS($A$16:A145),'Прайс-лист'!$T$11:$T$310,0)),"")</f>
        <v/>
      </c>
      <c r="C145" s="15" t="str">
        <f>IFERROR(INDEX('Прайс-лист'!$B$11:$B$310,MATCH(ROWS($A$16:A145),'Прайс-лист'!$T$11:$T$310,0)),"")</f>
        <v/>
      </c>
      <c r="D145" s="15" t="str">
        <f>IFERROR(INDEX('Прайс-лист'!$C$11:$C$310,MATCH(ROWS($A$16:A145),'Прайс-лист'!$T$11:$T$310,0)),"")</f>
        <v/>
      </c>
      <c r="E145" s="15" t="str">
        <f>IFERROR(INDEX('Прайс-лист'!$E$11:$E$310,MATCH(ROWS($A$16:A145),'Прайс-лист'!$T$11:$T$310,0)),"")</f>
        <v/>
      </c>
      <c r="F145" s="15" t="str">
        <f>IFERROR(INDEX('Прайс-лист'!$F$11:$F$310,MATCH(ROWS($A$16:A145),'Прайс-лист'!$T$11:$T$310,0)),"")</f>
        <v/>
      </c>
      <c r="G145" s="16" t="str">
        <f>IFERROR(INDEX('Прайс-лист'!$R$11:$R$310,MATCH(ROWS($A$16:A145),'Прайс-лист'!$T$11:$T$310,0)),"")</f>
        <v/>
      </c>
      <c r="H145" s="15" t="str">
        <f>IFERROR(INDEX('Прайс-лист'!$P$11:$P$310,MATCH(ROWS($A$16:A145),'Прайс-лист'!$T$11:$T$310,0)),"")</f>
        <v/>
      </c>
      <c r="I145" s="16" t="str">
        <f>IFERROR(INDEX('Прайс-лист'!$S$11:$S$310,MATCH(ROWS($A$16:A145),'Прайс-лист'!$T$11:$T$310,0)),"")</f>
        <v/>
      </c>
      <c r="J145" s="15" t="str">
        <f>IFERROR(INDEX('Прайс-лист'!$Q$11:$Q$310,MATCH(ROWS($A$16:A145),'Прайс-лист'!$T$11:$T$310,0)),"")</f>
        <v/>
      </c>
    </row>
    <row r="146" spans="1:10" ht="13.5" customHeight="1" x14ac:dyDescent="0.2">
      <c r="A146" s="15" t="str">
        <f>IFERROR(IF(INDEX('Прайс-лист'!$T$11:$T$310,MATCH(ROWS($A$16:A146),'Прайс-лист'!$T$11:$T$310,0))="","",ROWS($A$16:A146)),"")</f>
        <v/>
      </c>
      <c r="B146" s="15" t="str">
        <f>IFERROR(INDEX('Прайс-лист'!$A$11:$A$310,MATCH(ROWS($A$16:A146),'Прайс-лист'!$T$11:$T$310,0)),"")</f>
        <v/>
      </c>
      <c r="C146" s="15" t="str">
        <f>IFERROR(INDEX('Прайс-лист'!$B$11:$B$310,MATCH(ROWS($A$16:A146),'Прайс-лист'!$T$11:$T$310,0)),"")</f>
        <v/>
      </c>
      <c r="D146" s="15" t="str">
        <f>IFERROR(INDEX('Прайс-лист'!$C$11:$C$310,MATCH(ROWS($A$16:A146),'Прайс-лист'!$T$11:$T$310,0)),"")</f>
        <v/>
      </c>
      <c r="E146" s="15" t="str">
        <f>IFERROR(INDEX('Прайс-лист'!$E$11:$E$310,MATCH(ROWS($A$16:A146),'Прайс-лист'!$T$11:$T$310,0)),"")</f>
        <v/>
      </c>
      <c r="F146" s="15" t="str">
        <f>IFERROR(INDEX('Прайс-лист'!$F$11:$F$310,MATCH(ROWS($A$16:A146),'Прайс-лист'!$T$11:$T$310,0)),"")</f>
        <v/>
      </c>
      <c r="G146" s="16" t="str">
        <f>IFERROR(INDEX('Прайс-лист'!$R$11:$R$310,MATCH(ROWS($A$16:A146),'Прайс-лист'!$T$11:$T$310,0)),"")</f>
        <v/>
      </c>
      <c r="H146" s="15" t="str">
        <f>IFERROR(INDEX('Прайс-лист'!$P$11:$P$310,MATCH(ROWS($A$16:A146),'Прайс-лист'!$T$11:$T$310,0)),"")</f>
        <v/>
      </c>
      <c r="I146" s="16" t="str">
        <f>IFERROR(INDEX('Прайс-лист'!$S$11:$S$310,MATCH(ROWS($A$16:A146),'Прайс-лист'!$T$11:$T$310,0)),"")</f>
        <v/>
      </c>
      <c r="J146" s="15" t="str">
        <f>IFERROR(INDEX('Прайс-лист'!$Q$11:$Q$310,MATCH(ROWS($A$16:A146),'Прайс-лист'!$T$11:$T$310,0)),"")</f>
        <v/>
      </c>
    </row>
    <row r="147" spans="1:10" ht="13.5" customHeight="1" x14ac:dyDescent="0.2">
      <c r="A147" s="15" t="str">
        <f>IFERROR(IF(INDEX('Прайс-лист'!$T$11:$T$310,MATCH(ROWS($A$16:A147),'Прайс-лист'!$T$11:$T$310,0))="","",ROWS($A$16:A147)),"")</f>
        <v/>
      </c>
      <c r="B147" s="15" t="str">
        <f>IFERROR(INDEX('Прайс-лист'!$A$11:$A$310,MATCH(ROWS($A$16:A147),'Прайс-лист'!$T$11:$T$310,0)),"")</f>
        <v/>
      </c>
      <c r="C147" s="15" t="str">
        <f>IFERROR(INDEX('Прайс-лист'!$B$11:$B$310,MATCH(ROWS($A$16:A147),'Прайс-лист'!$T$11:$T$310,0)),"")</f>
        <v/>
      </c>
      <c r="D147" s="15" t="str">
        <f>IFERROR(INDEX('Прайс-лист'!$C$11:$C$310,MATCH(ROWS($A$16:A147),'Прайс-лист'!$T$11:$T$310,0)),"")</f>
        <v/>
      </c>
      <c r="E147" s="15" t="str">
        <f>IFERROR(INDEX('Прайс-лист'!$E$11:$E$310,MATCH(ROWS($A$16:A147),'Прайс-лист'!$T$11:$T$310,0)),"")</f>
        <v/>
      </c>
      <c r="F147" s="15" t="str">
        <f>IFERROR(INDEX('Прайс-лист'!$F$11:$F$310,MATCH(ROWS($A$16:A147),'Прайс-лист'!$T$11:$T$310,0)),"")</f>
        <v/>
      </c>
      <c r="G147" s="16" t="str">
        <f>IFERROR(INDEX('Прайс-лист'!$R$11:$R$310,MATCH(ROWS($A$16:A147),'Прайс-лист'!$T$11:$T$310,0)),"")</f>
        <v/>
      </c>
      <c r="H147" s="15" t="str">
        <f>IFERROR(INDEX('Прайс-лист'!$P$11:$P$310,MATCH(ROWS($A$16:A147),'Прайс-лист'!$T$11:$T$310,0)),"")</f>
        <v/>
      </c>
      <c r="I147" s="16" t="str">
        <f>IFERROR(INDEX('Прайс-лист'!$S$11:$S$310,MATCH(ROWS($A$16:A147),'Прайс-лист'!$T$11:$T$310,0)),"")</f>
        <v/>
      </c>
      <c r="J147" s="15" t="str">
        <f>IFERROR(INDEX('Прайс-лист'!$Q$11:$Q$310,MATCH(ROWS($A$16:A147),'Прайс-лист'!$T$11:$T$310,0)),"")</f>
        <v/>
      </c>
    </row>
    <row r="148" spans="1:10" ht="13.5" customHeight="1" x14ac:dyDescent="0.2">
      <c r="A148" s="15" t="str">
        <f>IFERROR(IF(INDEX('Прайс-лист'!$T$11:$T$310,MATCH(ROWS($A$16:A148),'Прайс-лист'!$T$11:$T$310,0))="","",ROWS($A$16:A148)),"")</f>
        <v/>
      </c>
      <c r="B148" s="15" t="str">
        <f>IFERROR(INDEX('Прайс-лист'!$A$11:$A$310,MATCH(ROWS($A$16:A148),'Прайс-лист'!$T$11:$T$310,0)),"")</f>
        <v/>
      </c>
      <c r="C148" s="15" t="str">
        <f>IFERROR(INDEX('Прайс-лист'!$B$11:$B$310,MATCH(ROWS($A$16:A148),'Прайс-лист'!$T$11:$T$310,0)),"")</f>
        <v/>
      </c>
      <c r="D148" s="15" t="str">
        <f>IFERROR(INDEX('Прайс-лист'!$C$11:$C$310,MATCH(ROWS($A$16:A148),'Прайс-лист'!$T$11:$T$310,0)),"")</f>
        <v/>
      </c>
      <c r="E148" s="15" t="str">
        <f>IFERROR(INDEX('Прайс-лист'!$E$11:$E$310,MATCH(ROWS($A$16:A148),'Прайс-лист'!$T$11:$T$310,0)),"")</f>
        <v/>
      </c>
      <c r="F148" s="15" t="str">
        <f>IFERROR(INDEX('Прайс-лист'!$F$11:$F$310,MATCH(ROWS($A$16:A148),'Прайс-лист'!$T$11:$T$310,0)),"")</f>
        <v/>
      </c>
      <c r="G148" s="16" t="str">
        <f>IFERROR(INDEX('Прайс-лист'!$R$11:$R$310,MATCH(ROWS($A$16:A148),'Прайс-лист'!$T$11:$T$310,0)),"")</f>
        <v/>
      </c>
      <c r="H148" s="15" t="str">
        <f>IFERROR(INDEX('Прайс-лист'!$P$11:$P$310,MATCH(ROWS($A$16:A148),'Прайс-лист'!$T$11:$T$310,0)),"")</f>
        <v/>
      </c>
      <c r="I148" s="16" t="str">
        <f>IFERROR(INDEX('Прайс-лист'!$S$11:$S$310,MATCH(ROWS($A$16:A148),'Прайс-лист'!$T$11:$T$310,0)),"")</f>
        <v/>
      </c>
      <c r="J148" s="15" t="str">
        <f>IFERROR(INDEX('Прайс-лист'!$Q$11:$Q$310,MATCH(ROWS($A$16:A148),'Прайс-лист'!$T$11:$T$310,0)),"")</f>
        <v/>
      </c>
    </row>
    <row r="149" spans="1:10" ht="13.5" customHeight="1" x14ac:dyDescent="0.2">
      <c r="A149" s="15" t="str">
        <f>IFERROR(IF(INDEX('Прайс-лист'!$T$11:$T$310,MATCH(ROWS($A$16:A149),'Прайс-лист'!$T$11:$T$310,0))="","",ROWS($A$16:A149)),"")</f>
        <v/>
      </c>
      <c r="B149" s="15" t="str">
        <f>IFERROR(INDEX('Прайс-лист'!$A$11:$A$310,MATCH(ROWS($A$16:A149),'Прайс-лист'!$T$11:$T$310,0)),"")</f>
        <v/>
      </c>
      <c r="C149" s="15" t="str">
        <f>IFERROR(INDEX('Прайс-лист'!$B$11:$B$310,MATCH(ROWS($A$16:A149),'Прайс-лист'!$T$11:$T$310,0)),"")</f>
        <v/>
      </c>
      <c r="D149" s="15" t="str">
        <f>IFERROR(INDEX('Прайс-лист'!$C$11:$C$310,MATCH(ROWS($A$16:A149),'Прайс-лист'!$T$11:$T$310,0)),"")</f>
        <v/>
      </c>
      <c r="E149" s="15" t="str">
        <f>IFERROR(INDEX('Прайс-лист'!$E$11:$E$310,MATCH(ROWS($A$16:A149),'Прайс-лист'!$T$11:$T$310,0)),"")</f>
        <v/>
      </c>
      <c r="F149" s="15" t="str">
        <f>IFERROR(INDEX('Прайс-лист'!$F$11:$F$310,MATCH(ROWS($A$16:A149),'Прайс-лист'!$T$11:$T$310,0)),"")</f>
        <v/>
      </c>
      <c r="G149" s="16" t="str">
        <f>IFERROR(INDEX('Прайс-лист'!$R$11:$R$310,MATCH(ROWS($A$16:A149),'Прайс-лист'!$T$11:$T$310,0)),"")</f>
        <v/>
      </c>
      <c r="H149" s="15" t="str">
        <f>IFERROR(INDEX('Прайс-лист'!$P$11:$P$310,MATCH(ROWS($A$16:A149),'Прайс-лист'!$T$11:$T$310,0)),"")</f>
        <v/>
      </c>
      <c r="I149" s="16" t="str">
        <f>IFERROR(INDEX('Прайс-лист'!$S$11:$S$310,MATCH(ROWS($A$16:A149),'Прайс-лист'!$T$11:$T$310,0)),"")</f>
        <v/>
      </c>
      <c r="J149" s="15" t="str">
        <f>IFERROR(INDEX('Прайс-лист'!$Q$11:$Q$310,MATCH(ROWS($A$16:A149),'Прайс-лист'!$T$11:$T$310,0)),"")</f>
        <v/>
      </c>
    </row>
    <row r="150" spans="1:10" ht="13.5" customHeight="1" x14ac:dyDescent="0.2">
      <c r="A150" s="15" t="str">
        <f>IFERROR(IF(INDEX('Прайс-лист'!$T$11:$T$310,MATCH(ROWS($A$16:A150),'Прайс-лист'!$T$11:$T$310,0))="","",ROWS($A$16:A150)),"")</f>
        <v/>
      </c>
      <c r="B150" s="15" t="str">
        <f>IFERROR(INDEX('Прайс-лист'!$A$11:$A$310,MATCH(ROWS($A$16:A150),'Прайс-лист'!$T$11:$T$310,0)),"")</f>
        <v/>
      </c>
      <c r="C150" s="15" t="str">
        <f>IFERROR(INDEX('Прайс-лист'!$B$11:$B$310,MATCH(ROWS($A$16:A150),'Прайс-лист'!$T$11:$T$310,0)),"")</f>
        <v/>
      </c>
      <c r="D150" s="15" t="str">
        <f>IFERROR(INDEX('Прайс-лист'!$C$11:$C$310,MATCH(ROWS($A$16:A150),'Прайс-лист'!$T$11:$T$310,0)),"")</f>
        <v/>
      </c>
      <c r="E150" s="15" t="str">
        <f>IFERROR(INDEX('Прайс-лист'!$E$11:$E$310,MATCH(ROWS($A$16:A150),'Прайс-лист'!$T$11:$T$310,0)),"")</f>
        <v/>
      </c>
      <c r="F150" s="15" t="str">
        <f>IFERROR(INDEX('Прайс-лист'!$F$11:$F$310,MATCH(ROWS($A$16:A150),'Прайс-лист'!$T$11:$T$310,0)),"")</f>
        <v/>
      </c>
      <c r="G150" s="16" t="str">
        <f>IFERROR(INDEX('Прайс-лист'!$R$11:$R$310,MATCH(ROWS($A$16:A150),'Прайс-лист'!$T$11:$T$310,0)),"")</f>
        <v/>
      </c>
      <c r="H150" s="15" t="str">
        <f>IFERROR(INDEX('Прайс-лист'!$P$11:$P$310,MATCH(ROWS($A$16:A150),'Прайс-лист'!$T$11:$T$310,0)),"")</f>
        <v/>
      </c>
      <c r="I150" s="16" t="str">
        <f>IFERROR(INDEX('Прайс-лист'!$S$11:$S$310,MATCH(ROWS($A$16:A150),'Прайс-лист'!$T$11:$T$310,0)),"")</f>
        <v/>
      </c>
      <c r="J150" s="15" t="str">
        <f>IFERROR(INDEX('Прайс-лист'!$Q$11:$Q$310,MATCH(ROWS($A$16:A150),'Прайс-лист'!$T$11:$T$310,0)),"")</f>
        <v/>
      </c>
    </row>
    <row r="151" spans="1:10" ht="13.5" customHeight="1" x14ac:dyDescent="0.2">
      <c r="A151" s="15" t="str">
        <f>IFERROR(IF(INDEX('Прайс-лист'!$T$11:$T$310,MATCH(ROWS($A$16:A151),'Прайс-лист'!$T$11:$T$310,0))="","",ROWS($A$16:A151)),"")</f>
        <v/>
      </c>
      <c r="B151" s="15" t="str">
        <f>IFERROR(INDEX('Прайс-лист'!$A$11:$A$310,MATCH(ROWS($A$16:A151),'Прайс-лист'!$T$11:$T$310,0)),"")</f>
        <v/>
      </c>
      <c r="C151" s="15" t="str">
        <f>IFERROR(INDEX('Прайс-лист'!$B$11:$B$310,MATCH(ROWS($A$16:A151),'Прайс-лист'!$T$11:$T$310,0)),"")</f>
        <v/>
      </c>
      <c r="D151" s="15" t="str">
        <f>IFERROR(INDEX('Прайс-лист'!$C$11:$C$310,MATCH(ROWS($A$16:A151),'Прайс-лист'!$T$11:$T$310,0)),"")</f>
        <v/>
      </c>
      <c r="E151" s="15" t="str">
        <f>IFERROR(INDEX('Прайс-лист'!$E$11:$E$310,MATCH(ROWS($A$16:A151),'Прайс-лист'!$T$11:$T$310,0)),"")</f>
        <v/>
      </c>
      <c r="F151" s="15" t="str">
        <f>IFERROR(INDEX('Прайс-лист'!$F$11:$F$310,MATCH(ROWS($A$16:A151),'Прайс-лист'!$T$11:$T$310,0)),"")</f>
        <v/>
      </c>
      <c r="G151" s="16" t="str">
        <f>IFERROR(INDEX('Прайс-лист'!$R$11:$R$310,MATCH(ROWS($A$16:A151),'Прайс-лист'!$T$11:$T$310,0)),"")</f>
        <v/>
      </c>
      <c r="H151" s="15" t="str">
        <f>IFERROR(INDEX('Прайс-лист'!$P$11:$P$310,MATCH(ROWS($A$16:A151),'Прайс-лист'!$T$11:$T$310,0)),"")</f>
        <v/>
      </c>
      <c r="I151" s="16" t="str">
        <f>IFERROR(INDEX('Прайс-лист'!$S$11:$S$310,MATCH(ROWS($A$16:A151),'Прайс-лист'!$T$11:$T$310,0)),"")</f>
        <v/>
      </c>
      <c r="J151" s="15" t="str">
        <f>IFERROR(INDEX('Прайс-лист'!$Q$11:$Q$310,MATCH(ROWS($A$16:A151),'Прайс-лист'!$T$11:$T$310,0)),"")</f>
        <v/>
      </c>
    </row>
    <row r="152" spans="1:10" ht="13.5" customHeight="1" x14ac:dyDescent="0.2">
      <c r="A152" s="15" t="str">
        <f>IFERROR(IF(INDEX('Прайс-лист'!$T$11:$T$310,MATCH(ROWS($A$16:A152),'Прайс-лист'!$T$11:$T$310,0))="","",ROWS($A$16:A152)),"")</f>
        <v/>
      </c>
      <c r="B152" s="15" t="str">
        <f>IFERROR(INDEX('Прайс-лист'!$A$11:$A$310,MATCH(ROWS($A$16:A152),'Прайс-лист'!$T$11:$T$310,0)),"")</f>
        <v/>
      </c>
      <c r="C152" s="15" t="str">
        <f>IFERROR(INDEX('Прайс-лист'!$B$11:$B$310,MATCH(ROWS($A$16:A152),'Прайс-лист'!$T$11:$T$310,0)),"")</f>
        <v/>
      </c>
      <c r="D152" s="15" t="str">
        <f>IFERROR(INDEX('Прайс-лист'!$C$11:$C$310,MATCH(ROWS($A$16:A152),'Прайс-лист'!$T$11:$T$310,0)),"")</f>
        <v/>
      </c>
      <c r="E152" s="15" t="str">
        <f>IFERROR(INDEX('Прайс-лист'!$E$11:$E$310,MATCH(ROWS($A$16:A152),'Прайс-лист'!$T$11:$T$310,0)),"")</f>
        <v/>
      </c>
      <c r="F152" s="15" t="str">
        <f>IFERROR(INDEX('Прайс-лист'!$F$11:$F$310,MATCH(ROWS($A$16:A152),'Прайс-лист'!$T$11:$T$310,0)),"")</f>
        <v/>
      </c>
      <c r="G152" s="16" t="str">
        <f>IFERROR(INDEX('Прайс-лист'!$R$11:$R$310,MATCH(ROWS($A$16:A152),'Прайс-лист'!$T$11:$T$310,0)),"")</f>
        <v/>
      </c>
      <c r="H152" s="15" t="str">
        <f>IFERROR(INDEX('Прайс-лист'!$P$11:$P$310,MATCH(ROWS($A$16:A152),'Прайс-лист'!$T$11:$T$310,0)),"")</f>
        <v/>
      </c>
      <c r="I152" s="16" t="str">
        <f>IFERROR(INDEX('Прайс-лист'!$S$11:$S$310,MATCH(ROWS($A$16:A152),'Прайс-лист'!$T$11:$T$310,0)),"")</f>
        <v/>
      </c>
      <c r="J152" s="15" t="str">
        <f>IFERROR(INDEX('Прайс-лист'!$Q$11:$Q$310,MATCH(ROWS($A$16:A152),'Прайс-лист'!$T$11:$T$310,0)),"")</f>
        <v/>
      </c>
    </row>
    <row r="153" spans="1:10" ht="13.5" customHeight="1" x14ac:dyDescent="0.2">
      <c r="A153" s="15" t="str">
        <f>IFERROR(IF(INDEX('Прайс-лист'!$T$11:$T$310,MATCH(ROWS($A$16:A153),'Прайс-лист'!$T$11:$T$310,0))="","",ROWS($A$16:A153)),"")</f>
        <v/>
      </c>
      <c r="B153" s="15" t="str">
        <f>IFERROR(INDEX('Прайс-лист'!$A$11:$A$310,MATCH(ROWS($A$16:A153),'Прайс-лист'!$T$11:$T$310,0)),"")</f>
        <v/>
      </c>
      <c r="C153" s="15" t="str">
        <f>IFERROR(INDEX('Прайс-лист'!$B$11:$B$310,MATCH(ROWS($A$16:A153),'Прайс-лист'!$T$11:$T$310,0)),"")</f>
        <v/>
      </c>
      <c r="D153" s="15" t="str">
        <f>IFERROR(INDEX('Прайс-лист'!$C$11:$C$310,MATCH(ROWS($A$16:A153),'Прайс-лист'!$T$11:$T$310,0)),"")</f>
        <v/>
      </c>
      <c r="E153" s="15" t="str">
        <f>IFERROR(INDEX('Прайс-лист'!$E$11:$E$310,MATCH(ROWS($A$16:A153),'Прайс-лист'!$T$11:$T$310,0)),"")</f>
        <v/>
      </c>
      <c r="F153" s="15" t="str">
        <f>IFERROR(INDEX('Прайс-лист'!$F$11:$F$310,MATCH(ROWS($A$16:A153),'Прайс-лист'!$T$11:$T$310,0)),"")</f>
        <v/>
      </c>
      <c r="G153" s="16" t="str">
        <f>IFERROR(INDEX('Прайс-лист'!$R$11:$R$310,MATCH(ROWS($A$16:A153),'Прайс-лист'!$T$11:$T$310,0)),"")</f>
        <v/>
      </c>
      <c r="H153" s="15" t="str">
        <f>IFERROR(INDEX('Прайс-лист'!$P$11:$P$310,MATCH(ROWS($A$16:A153),'Прайс-лист'!$T$11:$T$310,0)),"")</f>
        <v/>
      </c>
      <c r="I153" s="16" t="str">
        <f>IFERROR(INDEX('Прайс-лист'!$S$11:$S$310,MATCH(ROWS($A$16:A153),'Прайс-лист'!$T$11:$T$310,0)),"")</f>
        <v/>
      </c>
      <c r="J153" s="15" t="str">
        <f>IFERROR(INDEX('Прайс-лист'!$Q$11:$Q$310,MATCH(ROWS($A$16:A153),'Прайс-лист'!$T$11:$T$310,0)),"")</f>
        <v/>
      </c>
    </row>
    <row r="154" spans="1:10" ht="13.5" customHeight="1" x14ac:dyDescent="0.2">
      <c r="A154" s="15" t="str">
        <f>IFERROR(IF(INDEX('Прайс-лист'!$T$11:$T$310,MATCH(ROWS($A$16:A154),'Прайс-лист'!$T$11:$T$310,0))="","",ROWS($A$16:A154)),"")</f>
        <v/>
      </c>
      <c r="B154" s="15" t="str">
        <f>IFERROR(INDEX('Прайс-лист'!$A$11:$A$310,MATCH(ROWS($A$16:A154),'Прайс-лист'!$T$11:$T$310,0)),"")</f>
        <v/>
      </c>
      <c r="C154" s="15" t="str">
        <f>IFERROR(INDEX('Прайс-лист'!$B$11:$B$310,MATCH(ROWS($A$16:A154),'Прайс-лист'!$T$11:$T$310,0)),"")</f>
        <v/>
      </c>
      <c r="D154" s="15" t="str">
        <f>IFERROR(INDEX('Прайс-лист'!$C$11:$C$310,MATCH(ROWS($A$16:A154),'Прайс-лист'!$T$11:$T$310,0)),"")</f>
        <v/>
      </c>
      <c r="E154" s="15" t="str">
        <f>IFERROR(INDEX('Прайс-лист'!$E$11:$E$310,MATCH(ROWS($A$16:A154),'Прайс-лист'!$T$11:$T$310,0)),"")</f>
        <v/>
      </c>
      <c r="F154" s="15" t="str">
        <f>IFERROR(INDEX('Прайс-лист'!$F$11:$F$310,MATCH(ROWS($A$16:A154),'Прайс-лист'!$T$11:$T$310,0)),"")</f>
        <v/>
      </c>
      <c r="G154" s="16" t="str">
        <f>IFERROR(INDEX('Прайс-лист'!$R$11:$R$310,MATCH(ROWS($A$16:A154),'Прайс-лист'!$T$11:$T$310,0)),"")</f>
        <v/>
      </c>
      <c r="H154" s="15" t="str">
        <f>IFERROR(INDEX('Прайс-лист'!$P$11:$P$310,MATCH(ROWS($A$16:A154),'Прайс-лист'!$T$11:$T$310,0)),"")</f>
        <v/>
      </c>
      <c r="I154" s="16" t="str">
        <f>IFERROR(INDEX('Прайс-лист'!$S$11:$S$310,MATCH(ROWS($A$16:A154),'Прайс-лист'!$T$11:$T$310,0)),"")</f>
        <v/>
      </c>
      <c r="J154" s="15" t="str">
        <f>IFERROR(INDEX('Прайс-лист'!$Q$11:$Q$310,MATCH(ROWS($A$16:A154),'Прайс-лист'!$T$11:$T$310,0)),"")</f>
        <v/>
      </c>
    </row>
    <row r="155" spans="1:10" ht="13.5" customHeight="1" x14ac:dyDescent="0.2">
      <c r="A155" s="15" t="str">
        <f>IFERROR(IF(INDEX('Прайс-лист'!$T$11:$T$310,MATCH(ROWS($A$16:A155),'Прайс-лист'!$T$11:$T$310,0))="","",ROWS($A$16:A155)),"")</f>
        <v/>
      </c>
      <c r="B155" s="15" t="str">
        <f>IFERROR(INDEX('Прайс-лист'!$A$11:$A$310,MATCH(ROWS($A$16:A155),'Прайс-лист'!$T$11:$T$310,0)),"")</f>
        <v/>
      </c>
      <c r="C155" s="15" t="str">
        <f>IFERROR(INDEX('Прайс-лист'!$B$11:$B$310,MATCH(ROWS($A$16:A155),'Прайс-лист'!$T$11:$T$310,0)),"")</f>
        <v/>
      </c>
      <c r="D155" s="15" t="str">
        <f>IFERROR(INDEX('Прайс-лист'!$C$11:$C$310,MATCH(ROWS($A$16:A155),'Прайс-лист'!$T$11:$T$310,0)),"")</f>
        <v/>
      </c>
      <c r="E155" s="15" t="str">
        <f>IFERROR(INDEX('Прайс-лист'!$E$11:$E$310,MATCH(ROWS($A$16:A155),'Прайс-лист'!$T$11:$T$310,0)),"")</f>
        <v/>
      </c>
      <c r="F155" s="15" t="str">
        <f>IFERROR(INDEX('Прайс-лист'!$F$11:$F$310,MATCH(ROWS($A$16:A155),'Прайс-лист'!$T$11:$T$310,0)),"")</f>
        <v/>
      </c>
      <c r="G155" s="16" t="str">
        <f>IFERROR(INDEX('Прайс-лист'!$R$11:$R$310,MATCH(ROWS($A$16:A155),'Прайс-лист'!$T$11:$T$310,0)),"")</f>
        <v/>
      </c>
      <c r="H155" s="15" t="str">
        <f>IFERROR(INDEX('Прайс-лист'!$P$11:$P$310,MATCH(ROWS($A$16:A155),'Прайс-лист'!$T$11:$T$310,0)),"")</f>
        <v/>
      </c>
      <c r="I155" s="16" t="str">
        <f>IFERROR(INDEX('Прайс-лист'!$S$11:$S$310,MATCH(ROWS($A$16:A155),'Прайс-лист'!$T$11:$T$310,0)),"")</f>
        <v/>
      </c>
      <c r="J155" s="15" t="str">
        <f>IFERROR(INDEX('Прайс-лист'!$Q$11:$Q$310,MATCH(ROWS($A$16:A155),'Прайс-лист'!$T$11:$T$310,0)),"")</f>
        <v/>
      </c>
    </row>
    <row r="156" spans="1:10" ht="13.5" customHeight="1" x14ac:dyDescent="0.2">
      <c r="A156" s="15" t="str">
        <f>IFERROR(IF(INDEX('Прайс-лист'!$T$11:$T$310,MATCH(ROWS($A$16:A156),'Прайс-лист'!$T$11:$T$310,0))="","",ROWS($A$16:A156)),"")</f>
        <v/>
      </c>
      <c r="B156" s="15" t="str">
        <f>IFERROR(INDEX('Прайс-лист'!$A$11:$A$310,MATCH(ROWS($A$16:A156),'Прайс-лист'!$T$11:$T$310,0)),"")</f>
        <v/>
      </c>
      <c r="C156" s="15" t="str">
        <f>IFERROR(INDEX('Прайс-лист'!$B$11:$B$310,MATCH(ROWS($A$16:A156),'Прайс-лист'!$T$11:$T$310,0)),"")</f>
        <v/>
      </c>
      <c r="D156" s="15" t="str">
        <f>IFERROR(INDEX('Прайс-лист'!$C$11:$C$310,MATCH(ROWS($A$16:A156),'Прайс-лист'!$T$11:$T$310,0)),"")</f>
        <v/>
      </c>
      <c r="E156" s="15" t="str">
        <f>IFERROR(INDEX('Прайс-лист'!$E$11:$E$310,MATCH(ROWS($A$16:A156),'Прайс-лист'!$T$11:$T$310,0)),"")</f>
        <v/>
      </c>
      <c r="F156" s="15" t="str">
        <f>IFERROR(INDEX('Прайс-лист'!$F$11:$F$310,MATCH(ROWS($A$16:A156),'Прайс-лист'!$T$11:$T$310,0)),"")</f>
        <v/>
      </c>
      <c r="G156" s="16" t="str">
        <f>IFERROR(INDEX('Прайс-лист'!$R$11:$R$310,MATCH(ROWS($A$16:A156),'Прайс-лист'!$T$11:$T$310,0)),"")</f>
        <v/>
      </c>
      <c r="H156" s="15" t="str">
        <f>IFERROR(INDEX('Прайс-лист'!$P$11:$P$310,MATCH(ROWS($A$16:A156),'Прайс-лист'!$T$11:$T$310,0)),"")</f>
        <v/>
      </c>
      <c r="I156" s="16" t="str">
        <f>IFERROR(INDEX('Прайс-лист'!$S$11:$S$310,MATCH(ROWS($A$16:A156),'Прайс-лист'!$T$11:$T$310,0)),"")</f>
        <v/>
      </c>
      <c r="J156" s="15" t="str">
        <f>IFERROR(INDEX('Прайс-лист'!$Q$11:$Q$310,MATCH(ROWS($A$16:A156),'Прайс-лист'!$T$11:$T$310,0)),"")</f>
        <v/>
      </c>
    </row>
    <row r="157" spans="1:10" ht="13.5" customHeight="1" x14ac:dyDescent="0.2">
      <c r="A157" s="15" t="str">
        <f>IFERROR(IF(INDEX('Прайс-лист'!$T$11:$T$310,MATCH(ROWS($A$16:A157),'Прайс-лист'!$T$11:$T$310,0))="","",ROWS($A$16:A157)),"")</f>
        <v/>
      </c>
      <c r="B157" s="15" t="str">
        <f>IFERROR(INDEX('Прайс-лист'!$A$11:$A$310,MATCH(ROWS($A$16:A157),'Прайс-лист'!$T$11:$T$310,0)),"")</f>
        <v/>
      </c>
      <c r="C157" s="15" t="str">
        <f>IFERROR(INDEX('Прайс-лист'!$B$11:$B$310,MATCH(ROWS($A$16:A157),'Прайс-лист'!$T$11:$T$310,0)),"")</f>
        <v/>
      </c>
      <c r="D157" s="15" t="str">
        <f>IFERROR(INDEX('Прайс-лист'!$C$11:$C$310,MATCH(ROWS($A$16:A157),'Прайс-лист'!$T$11:$T$310,0)),"")</f>
        <v/>
      </c>
      <c r="E157" s="15" t="str">
        <f>IFERROR(INDEX('Прайс-лист'!$E$11:$E$310,MATCH(ROWS($A$16:A157),'Прайс-лист'!$T$11:$T$310,0)),"")</f>
        <v/>
      </c>
      <c r="F157" s="15" t="str">
        <f>IFERROR(INDEX('Прайс-лист'!$F$11:$F$310,MATCH(ROWS($A$16:A157),'Прайс-лист'!$T$11:$T$310,0)),"")</f>
        <v/>
      </c>
      <c r="G157" s="16" t="str">
        <f>IFERROR(INDEX('Прайс-лист'!$R$11:$R$310,MATCH(ROWS($A$16:A157),'Прайс-лист'!$T$11:$T$310,0)),"")</f>
        <v/>
      </c>
      <c r="H157" s="15" t="str">
        <f>IFERROR(INDEX('Прайс-лист'!$P$11:$P$310,MATCH(ROWS($A$16:A157),'Прайс-лист'!$T$11:$T$310,0)),"")</f>
        <v/>
      </c>
      <c r="I157" s="16" t="str">
        <f>IFERROR(INDEX('Прайс-лист'!$S$11:$S$310,MATCH(ROWS($A$16:A157),'Прайс-лист'!$T$11:$T$310,0)),"")</f>
        <v/>
      </c>
      <c r="J157" s="15" t="str">
        <f>IFERROR(INDEX('Прайс-лист'!$Q$11:$Q$310,MATCH(ROWS($A$16:A157),'Прайс-лист'!$T$11:$T$310,0)),"")</f>
        <v/>
      </c>
    </row>
    <row r="158" spans="1:10" ht="13.5" customHeight="1" x14ac:dyDescent="0.2">
      <c r="A158" s="15" t="str">
        <f>IFERROR(IF(INDEX('Прайс-лист'!$T$11:$T$310,MATCH(ROWS($A$16:A158),'Прайс-лист'!$T$11:$T$310,0))="","",ROWS($A$16:A158)),"")</f>
        <v/>
      </c>
      <c r="B158" s="15" t="str">
        <f>IFERROR(INDEX('Прайс-лист'!$A$11:$A$310,MATCH(ROWS($A$16:A158),'Прайс-лист'!$T$11:$T$310,0)),"")</f>
        <v/>
      </c>
      <c r="C158" s="15" t="str">
        <f>IFERROR(INDEX('Прайс-лист'!$B$11:$B$310,MATCH(ROWS($A$16:A158),'Прайс-лист'!$T$11:$T$310,0)),"")</f>
        <v/>
      </c>
      <c r="D158" s="15" t="str">
        <f>IFERROR(INDEX('Прайс-лист'!$C$11:$C$310,MATCH(ROWS($A$16:A158),'Прайс-лист'!$T$11:$T$310,0)),"")</f>
        <v/>
      </c>
      <c r="E158" s="15" t="str">
        <f>IFERROR(INDEX('Прайс-лист'!$E$11:$E$310,MATCH(ROWS($A$16:A158),'Прайс-лист'!$T$11:$T$310,0)),"")</f>
        <v/>
      </c>
      <c r="F158" s="15" t="str">
        <f>IFERROR(INDEX('Прайс-лист'!$F$11:$F$310,MATCH(ROWS($A$16:A158),'Прайс-лист'!$T$11:$T$310,0)),"")</f>
        <v/>
      </c>
      <c r="G158" s="16" t="str">
        <f>IFERROR(INDEX('Прайс-лист'!$R$11:$R$310,MATCH(ROWS($A$16:A158),'Прайс-лист'!$T$11:$T$310,0)),"")</f>
        <v/>
      </c>
      <c r="H158" s="15" t="str">
        <f>IFERROR(INDEX('Прайс-лист'!$P$11:$P$310,MATCH(ROWS($A$16:A158),'Прайс-лист'!$T$11:$T$310,0)),"")</f>
        <v/>
      </c>
      <c r="I158" s="16" t="str">
        <f>IFERROR(INDEX('Прайс-лист'!$S$11:$S$310,MATCH(ROWS($A$16:A158),'Прайс-лист'!$T$11:$T$310,0)),"")</f>
        <v/>
      </c>
      <c r="J158" s="15" t="str">
        <f>IFERROR(INDEX('Прайс-лист'!$Q$11:$Q$310,MATCH(ROWS($A$16:A158),'Прайс-лист'!$T$11:$T$310,0)),"")</f>
        <v/>
      </c>
    </row>
    <row r="159" spans="1:10" ht="13.5" customHeight="1" x14ac:dyDescent="0.2">
      <c r="A159" s="15" t="str">
        <f>IFERROR(IF(INDEX('Прайс-лист'!$T$11:$T$310,MATCH(ROWS($A$16:A159),'Прайс-лист'!$T$11:$T$310,0))="","",ROWS($A$16:A159)),"")</f>
        <v/>
      </c>
      <c r="B159" s="15" t="str">
        <f>IFERROR(INDEX('Прайс-лист'!$A$11:$A$310,MATCH(ROWS($A$16:A159),'Прайс-лист'!$T$11:$T$310,0)),"")</f>
        <v/>
      </c>
      <c r="C159" s="15" t="str">
        <f>IFERROR(INDEX('Прайс-лист'!$B$11:$B$310,MATCH(ROWS($A$16:A159),'Прайс-лист'!$T$11:$T$310,0)),"")</f>
        <v/>
      </c>
      <c r="D159" s="15" t="str">
        <f>IFERROR(INDEX('Прайс-лист'!$C$11:$C$310,MATCH(ROWS($A$16:A159),'Прайс-лист'!$T$11:$T$310,0)),"")</f>
        <v/>
      </c>
      <c r="E159" s="15" t="str">
        <f>IFERROR(INDEX('Прайс-лист'!$E$11:$E$310,MATCH(ROWS($A$16:A159),'Прайс-лист'!$T$11:$T$310,0)),"")</f>
        <v/>
      </c>
      <c r="F159" s="15" t="str">
        <f>IFERROR(INDEX('Прайс-лист'!$F$11:$F$310,MATCH(ROWS($A$16:A159),'Прайс-лист'!$T$11:$T$310,0)),"")</f>
        <v/>
      </c>
      <c r="G159" s="16" t="str">
        <f>IFERROR(INDEX('Прайс-лист'!$R$11:$R$310,MATCH(ROWS($A$16:A159),'Прайс-лист'!$T$11:$T$310,0)),"")</f>
        <v/>
      </c>
      <c r="H159" s="15" t="str">
        <f>IFERROR(INDEX('Прайс-лист'!$P$11:$P$310,MATCH(ROWS($A$16:A159),'Прайс-лист'!$T$11:$T$310,0)),"")</f>
        <v/>
      </c>
      <c r="I159" s="16" t="str">
        <f>IFERROR(INDEX('Прайс-лист'!$S$11:$S$310,MATCH(ROWS($A$16:A159),'Прайс-лист'!$T$11:$T$310,0)),"")</f>
        <v/>
      </c>
      <c r="J159" s="15" t="str">
        <f>IFERROR(INDEX('Прайс-лист'!$Q$11:$Q$310,MATCH(ROWS($A$16:A159),'Прайс-лист'!$T$11:$T$310,0)),"")</f>
        <v/>
      </c>
    </row>
    <row r="160" spans="1:10" ht="13.5" customHeight="1" x14ac:dyDescent="0.2">
      <c r="A160" s="15" t="str">
        <f>IFERROR(IF(INDEX('Прайс-лист'!$T$11:$T$310,MATCH(ROWS($A$16:A160),'Прайс-лист'!$T$11:$T$310,0))="","",ROWS($A$16:A160)),"")</f>
        <v/>
      </c>
      <c r="B160" s="15" t="str">
        <f>IFERROR(INDEX('Прайс-лист'!$A$11:$A$310,MATCH(ROWS($A$16:A160),'Прайс-лист'!$T$11:$T$310,0)),"")</f>
        <v/>
      </c>
      <c r="C160" s="15" t="str">
        <f>IFERROR(INDEX('Прайс-лист'!$B$11:$B$310,MATCH(ROWS($A$16:A160),'Прайс-лист'!$T$11:$T$310,0)),"")</f>
        <v/>
      </c>
      <c r="D160" s="15" t="str">
        <f>IFERROR(INDEX('Прайс-лист'!$C$11:$C$310,MATCH(ROWS($A$16:A160),'Прайс-лист'!$T$11:$T$310,0)),"")</f>
        <v/>
      </c>
      <c r="E160" s="15" t="str">
        <f>IFERROR(INDEX('Прайс-лист'!$E$11:$E$310,MATCH(ROWS($A$16:A160),'Прайс-лист'!$T$11:$T$310,0)),"")</f>
        <v/>
      </c>
      <c r="F160" s="15" t="str">
        <f>IFERROR(INDEX('Прайс-лист'!$F$11:$F$310,MATCH(ROWS($A$16:A160),'Прайс-лист'!$T$11:$T$310,0)),"")</f>
        <v/>
      </c>
      <c r="G160" s="16" t="str">
        <f>IFERROR(INDEX('Прайс-лист'!$R$11:$R$310,MATCH(ROWS($A$16:A160),'Прайс-лист'!$T$11:$T$310,0)),"")</f>
        <v/>
      </c>
      <c r="H160" s="15" t="str">
        <f>IFERROR(INDEX('Прайс-лист'!$P$11:$P$310,MATCH(ROWS($A$16:A160),'Прайс-лист'!$T$11:$T$310,0)),"")</f>
        <v/>
      </c>
      <c r="I160" s="16" t="str">
        <f>IFERROR(INDEX('Прайс-лист'!$S$11:$S$310,MATCH(ROWS($A$16:A160),'Прайс-лист'!$T$11:$T$310,0)),"")</f>
        <v/>
      </c>
      <c r="J160" s="15" t="str">
        <f>IFERROR(INDEX('Прайс-лист'!$Q$11:$Q$310,MATCH(ROWS($A$16:A160),'Прайс-лист'!$T$11:$T$310,0)),"")</f>
        <v/>
      </c>
    </row>
    <row r="161" spans="1:10" ht="13.5" customHeight="1" x14ac:dyDescent="0.2">
      <c r="A161" s="15" t="str">
        <f>IFERROR(IF(INDEX('Прайс-лист'!$T$11:$T$310,MATCH(ROWS($A$16:A161),'Прайс-лист'!$T$11:$T$310,0))="","",ROWS($A$16:A161)),"")</f>
        <v/>
      </c>
      <c r="B161" s="15" t="str">
        <f>IFERROR(INDEX('Прайс-лист'!$A$11:$A$310,MATCH(ROWS($A$16:A161),'Прайс-лист'!$T$11:$T$310,0)),"")</f>
        <v/>
      </c>
      <c r="C161" s="15" t="str">
        <f>IFERROR(INDEX('Прайс-лист'!$B$11:$B$310,MATCH(ROWS($A$16:A161),'Прайс-лист'!$T$11:$T$310,0)),"")</f>
        <v/>
      </c>
      <c r="D161" s="15" t="str">
        <f>IFERROR(INDEX('Прайс-лист'!$C$11:$C$310,MATCH(ROWS($A$16:A161),'Прайс-лист'!$T$11:$T$310,0)),"")</f>
        <v/>
      </c>
      <c r="E161" s="15" t="str">
        <f>IFERROR(INDEX('Прайс-лист'!$E$11:$E$310,MATCH(ROWS($A$16:A161),'Прайс-лист'!$T$11:$T$310,0)),"")</f>
        <v/>
      </c>
      <c r="F161" s="15" t="str">
        <f>IFERROR(INDEX('Прайс-лист'!$F$11:$F$310,MATCH(ROWS($A$16:A161),'Прайс-лист'!$T$11:$T$310,0)),"")</f>
        <v/>
      </c>
      <c r="G161" s="16" t="str">
        <f>IFERROR(INDEX('Прайс-лист'!$R$11:$R$310,MATCH(ROWS($A$16:A161),'Прайс-лист'!$T$11:$T$310,0)),"")</f>
        <v/>
      </c>
      <c r="H161" s="15" t="str">
        <f>IFERROR(INDEX('Прайс-лист'!$P$11:$P$310,MATCH(ROWS($A$16:A161),'Прайс-лист'!$T$11:$T$310,0)),"")</f>
        <v/>
      </c>
      <c r="I161" s="16" t="str">
        <f>IFERROR(INDEX('Прайс-лист'!$S$11:$S$310,MATCH(ROWS($A$16:A161),'Прайс-лист'!$T$11:$T$310,0)),"")</f>
        <v/>
      </c>
      <c r="J161" s="15" t="str">
        <f>IFERROR(INDEX('Прайс-лист'!$Q$11:$Q$310,MATCH(ROWS($A$16:A161),'Прайс-лист'!$T$11:$T$310,0)),"")</f>
        <v/>
      </c>
    </row>
    <row r="162" spans="1:10" ht="13.5" customHeight="1" x14ac:dyDescent="0.2">
      <c r="A162" s="15" t="str">
        <f>IFERROR(IF(INDEX('Прайс-лист'!$T$11:$T$310,MATCH(ROWS($A$16:A162),'Прайс-лист'!$T$11:$T$310,0))="","",ROWS($A$16:A162)),"")</f>
        <v/>
      </c>
      <c r="B162" s="15" t="str">
        <f>IFERROR(INDEX('Прайс-лист'!$A$11:$A$310,MATCH(ROWS($A$16:A162),'Прайс-лист'!$T$11:$T$310,0)),"")</f>
        <v/>
      </c>
      <c r="C162" s="15" t="str">
        <f>IFERROR(INDEX('Прайс-лист'!$B$11:$B$310,MATCH(ROWS($A$16:A162),'Прайс-лист'!$T$11:$T$310,0)),"")</f>
        <v/>
      </c>
      <c r="D162" s="15" t="str">
        <f>IFERROR(INDEX('Прайс-лист'!$C$11:$C$310,MATCH(ROWS($A$16:A162),'Прайс-лист'!$T$11:$T$310,0)),"")</f>
        <v/>
      </c>
      <c r="E162" s="15" t="str">
        <f>IFERROR(INDEX('Прайс-лист'!$E$11:$E$310,MATCH(ROWS($A$16:A162),'Прайс-лист'!$T$11:$T$310,0)),"")</f>
        <v/>
      </c>
      <c r="F162" s="15" t="str">
        <f>IFERROR(INDEX('Прайс-лист'!$F$11:$F$310,MATCH(ROWS($A$16:A162),'Прайс-лист'!$T$11:$T$310,0)),"")</f>
        <v/>
      </c>
      <c r="G162" s="16" t="str">
        <f>IFERROR(INDEX('Прайс-лист'!$R$11:$R$310,MATCH(ROWS($A$16:A162),'Прайс-лист'!$T$11:$T$310,0)),"")</f>
        <v/>
      </c>
      <c r="H162" s="15" t="str">
        <f>IFERROR(INDEX('Прайс-лист'!$P$11:$P$310,MATCH(ROWS($A$16:A162),'Прайс-лист'!$T$11:$T$310,0)),"")</f>
        <v/>
      </c>
      <c r="I162" s="16" t="str">
        <f>IFERROR(INDEX('Прайс-лист'!$S$11:$S$310,MATCH(ROWS($A$16:A162),'Прайс-лист'!$T$11:$T$310,0)),"")</f>
        <v/>
      </c>
      <c r="J162" s="15" t="str">
        <f>IFERROR(INDEX('Прайс-лист'!$Q$11:$Q$310,MATCH(ROWS($A$16:A162),'Прайс-лист'!$T$11:$T$310,0)),"")</f>
        <v/>
      </c>
    </row>
    <row r="163" spans="1:10" ht="13.5" customHeight="1" x14ac:dyDescent="0.2">
      <c r="A163" s="15" t="str">
        <f>IFERROR(IF(INDEX('Прайс-лист'!$T$11:$T$310,MATCH(ROWS($A$16:A163),'Прайс-лист'!$T$11:$T$310,0))="","",ROWS($A$16:A163)),"")</f>
        <v/>
      </c>
      <c r="B163" s="15" t="str">
        <f>IFERROR(INDEX('Прайс-лист'!$A$11:$A$310,MATCH(ROWS($A$16:A163),'Прайс-лист'!$T$11:$T$310,0)),"")</f>
        <v/>
      </c>
      <c r="C163" s="15" t="str">
        <f>IFERROR(INDEX('Прайс-лист'!$B$11:$B$310,MATCH(ROWS($A$16:A163),'Прайс-лист'!$T$11:$T$310,0)),"")</f>
        <v/>
      </c>
      <c r="D163" s="15" t="str">
        <f>IFERROR(INDEX('Прайс-лист'!$C$11:$C$310,MATCH(ROWS($A$16:A163),'Прайс-лист'!$T$11:$T$310,0)),"")</f>
        <v/>
      </c>
      <c r="E163" s="15" t="str">
        <f>IFERROR(INDEX('Прайс-лист'!$E$11:$E$310,MATCH(ROWS($A$16:A163),'Прайс-лист'!$T$11:$T$310,0)),"")</f>
        <v/>
      </c>
      <c r="F163" s="15" t="str">
        <f>IFERROR(INDEX('Прайс-лист'!$F$11:$F$310,MATCH(ROWS($A$16:A163),'Прайс-лист'!$T$11:$T$310,0)),"")</f>
        <v/>
      </c>
      <c r="G163" s="16" t="str">
        <f>IFERROR(INDEX('Прайс-лист'!$R$11:$R$310,MATCH(ROWS($A$16:A163),'Прайс-лист'!$T$11:$T$310,0)),"")</f>
        <v/>
      </c>
      <c r="H163" s="15" t="str">
        <f>IFERROR(INDEX('Прайс-лист'!$P$11:$P$310,MATCH(ROWS($A$16:A163),'Прайс-лист'!$T$11:$T$310,0)),"")</f>
        <v/>
      </c>
      <c r="I163" s="16" t="str">
        <f>IFERROR(INDEX('Прайс-лист'!$S$11:$S$310,MATCH(ROWS($A$16:A163),'Прайс-лист'!$T$11:$T$310,0)),"")</f>
        <v/>
      </c>
      <c r="J163" s="15" t="str">
        <f>IFERROR(INDEX('Прайс-лист'!$Q$11:$Q$310,MATCH(ROWS($A$16:A163),'Прайс-лист'!$T$11:$T$310,0)),"")</f>
        <v/>
      </c>
    </row>
    <row r="164" spans="1:10" ht="13.5" customHeight="1" x14ac:dyDescent="0.2">
      <c r="A164" s="15" t="str">
        <f>IFERROR(IF(INDEX('Прайс-лист'!$T$11:$T$310,MATCH(ROWS($A$16:A164),'Прайс-лист'!$T$11:$T$310,0))="","",ROWS($A$16:A164)),"")</f>
        <v/>
      </c>
      <c r="B164" s="15" t="str">
        <f>IFERROR(INDEX('Прайс-лист'!$A$11:$A$310,MATCH(ROWS($A$16:A164),'Прайс-лист'!$T$11:$T$310,0)),"")</f>
        <v/>
      </c>
      <c r="C164" s="15" t="str">
        <f>IFERROR(INDEX('Прайс-лист'!$B$11:$B$310,MATCH(ROWS($A$16:A164),'Прайс-лист'!$T$11:$T$310,0)),"")</f>
        <v/>
      </c>
      <c r="D164" s="15" t="str">
        <f>IFERROR(INDEX('Прайс-лист'!$C$11:$C$310,MATCH(ROWS($A$16:A164),'Прайс-лист'!$T$11:$T$310,0)),"")</f>
        <v/>
      </c>
      <c r="E164" s="15" t="str">
        <f>IFERROR(INDEX('Прайс-лист'!$E$11:$E$310,MATCH(ROWS($A$16:A164),'Прайс-лист'!$T$11:$T$310,0)),"")</f>
        <v/>
      </c>
      <c r="F164" s="15" t="str">
        <f>IFERROR(INDEX('Прайс-лист'!$F$11:$F$310,MATCH(ROWS($A$16:A164),'Прайс-лист'!$T$11:$T$310,0)),"")</f>
        <v/>
      </c>
      <c r="G164" s="16" t="str">
        <f>IFERROR(INDEX('Прайс-лист'!$R$11:$R$310,MATCH(ROWS($A$16:A164),'Прайс-лист'!$T$11:$T$310,0)),"")</f>
        <v/>
      </c>
      <c r="H164" s="15" t="str">
        <f>IFERROR(INDEX('Прайс-лист'!$P$11:$P$310,MATCH(ROWS($A$16:A164),'Прайс-лист'!$T$11:$T$310,0)),"")</f>
        <v/>
      </c>
      <c r="I164" s="16" t="str">
        <f>IFERROR(INDEX('Прайс-лист'!$S$11:$S$310,MATCH(ROWS($A$16:A164),'Прайс-лист'!$T$11:$T$310,0)),"")</f>
        <v/>
      </c>
      <c r="J164" s="15" t="str">
        <f>IFERROR(INDEX('Прайс-лист'!$Q$11:$Q$310,MATCH(ROWS($A$16:A164),'Прайс-лист'!$T$11:$T$310,0)),"")</f>
        <v/>
      </c>
    </row>
    <row r="165" spans="1:10" ht="13.5" customHeight="1" x14ac:dyDescent="0.2">
      <c r="A165" s="15" t="str">
        <f>IFERROR(IF(INDEX('Прайс-лист'!$T$11:$T$310,MATCH(ROWS($A$16:A165),'Прайс-лист'!$T$11:$T$310,0))="","",ROWS($A$16:A165)),"")</f>
        <v/>
      </c>
      <c r="B165" s="15" t="str">
        <f>IFERROR(INDEX('Прайс-лист'!$A$11:$A$310,MATCH(ROWS($A$16:A165),'Прайс-лист'!$T$11:$T$310,0)),"")</f>
        <v/>
      </c>
      <c r="C165" s="15" t="str">
        <f>IFERROR(INDEX('Прайс-лист'!$B$11:$B$310,MATCH(ROWS($A$16:A165),'Прайс-лист'!$T$11:$T$310,0)),"")</f>
        <v/>
      </c>
      <c r="D165" s="15" t="str">
        <f>IFERROR(INDEX('Прайс-лист'!$C$11:$C$310,MATCH(ROWS($A$16:A165),'Прайс-лист'!$T$11:$T$310,0)),"")</f>
        <v/>
      </c>
      <c r="E165" s="15" t="str">
        <f>IFERROR(INDEX('Прайс-лист'!$E$11:$E$310,MATCH(ROWS($A$16:A165),'Прайс-лист'!$T$11:$T$310,0)),"")</f>
        <v/>
      </c>
      <c r="F165" s="15" t="str">
        <f>IFERROR(INDEX('Прайс-лист'!$F$11:$F$310,MATCH(ROWS($A$16:A165),'Прайс-лист'!$T$11:$T$310,0)),"")</f>
        <v/>
      </c>
      <c r="G165" s="16" t="str">
        <f>IFERROR(INDEX('Прайс-лист'!$R$11:$R$310,MATCH(ROWS($A$16:A165),'Прайс-лист'!$T$11:$T$310,0)),"")</f>
        <v/>
      </c>
      <c r="H165" s="15" t="str">
        <f>IFERROR(INDEX('Прайс-лист'!$P$11:$P$310,MATCH(ROWS($A$16:A165),'Прайс-лист'!$T$11:$T$310,0)),"")</f>
        <v/>
      </c>
      <c r="I165" s="16" t="str">
        <f>IFERROR(INDEX('Прайс-лист'!$S$11:$S$310,MATCH(ROWS($A$16:A165),'Прайс-лист'!$T$11:$T$310,0)),"")</f>
        <v/>
      </c>
      <c r="J165" s="15" t="str">
        <f>IFERROR(INDEX('Прайс-лист'!$Q$11:$Q$310,MATCH(ROWS($A$16:A165),'Прайс-лист'!$T$11:$T$310,0)),"")</f>
        <v/>
      </c>
    </row>
    <row r="166" spans="1:10" ht="13.5" customHeight="1" x14ac:dyDescent="0.2">
      <c r="A166" s="15" t="str">
        <f>IFERROR(IF(INDEX('Прайс-лист'!$T$11:$T$310,MATCH(ROWS($A$16:A166),'Прайс-лист'!$T$11:$T$310,0))="","",ROWS($A$16:A166)),"")</f>
        <v/>
      </c>
      <c r="B166" s="15" t="str">
        <f>IFERROR(INDEX('Прайс-лист'!$A$11:$A$310,MATCH(ROWS($A$16:A166),'Прайс-лист'!$T$11:$T$310,0)),"")</f>
        <v/>
      </c>
      <c r="C166" s="15" t="str">
        <f>IFERROR(INDEX('Прайс-лист'!$B$11:$B$310,MATCH(ROWS($A$16:A166),'Прайс-лист'!$T$11:$T$310,0)),"")</f>
        <v/>
      </c>
      <c r="D166" s="15" t="str">
        <f>IFERROR(INDEX('Прайс-лист'!$C$11:$C$310,MATCH(ROWS($A$16:A166),'Прайс-лист'!$T$11:$T$310,0)),"")</f>
        <v/>
      </c>
      <c r="E166" s="15" t="str">
        <f>IFERROR(INDEX('Прайс-лист'!$E$11:$E$310,MATCH(ROWS($A$16:A166),'Прайс-лист'!$T$11:$T$310,0)),"")</f>
        <v/>
      </c>
      <c r="F166" s="15" t="str">
        <f>IFERROR(INDEX('Прайс-лист'!$F$11:$F$310,MATCH(ROWS($A$16:A166),'Прайс-лист'!$T$11:$T$310,0)),"")</f>
        <v/>
      </c>
      <c r="G166" s="16" t="str">
        <f>IFERROR(INDEX('Прайс-лист'!$R$11:$R$310,MATCH(ROWS($A$16:A166),'Прайс-лист'!$T$11:$T$310,0)),"")</f>
        <v/>
      </c>
      <c r="H166" s="15" t="str">
        <f>IFERROR(INDEX('Прайс-лист'!$P$11:$P$310,MATCH(ROWS($A$16:A166),'Прайс-лист'!$T$11:$T$310,0)),"")</f>
        <v/>
      </c>
      <c r="I166" s="16" t="str">
        <f>IFERROR(INDEX('Прайс-лист'!$S$11:$S$310,MATCH(ROWS($A$16:A166),'Прайс-лист'!$T$11:$T$310,0)),"")</f>
        <v/>
      </c>
      <c r="J166" s="15" t="str">
        <f>IFERROR(INDEX('Прайс-лист'!$Q$11:$Q$310,MATCH(ROWS($A$16:A166),'Прайс-лист'!$T$11:$T$310,0)),"")</f>
        <v/>
      </c>
    </row>
    <row r="167" spans="1:10" ht="13.5" customHeight="1" x14ac:dyDescent="0.2">
      <c r="A167" s="15" t="str">
        <f>IFERROR(IF(INDEX('Прайс-лист'!$T$11:$T$310,MATCH(ROWS($A$16:A167),'Прайс-лист'!$T$11:$T$310,0))="","",ROWS($A$16:A167)),"")</f>
        <v/>
      </c>
      <c r="B167" s="15" t="str">
        <f>IFERROR(INDEX('Прайс-лист'!$A$11:$A$310,MATCH(ROWS($A$16:A167),'Прайс-лист'!$T$11:$T$310,0)),"")</f>
        <v/>
      </c>
      <c r="C167" s="15" t="str">
        <f>IFERROR(INDEX('Прайс-лист'!$B$11:$B$310,MATCH(ROWS($A$16:A167),'Прайс-лист'!$T$11:$T$310,0)),"")</f>
        <v/>
      </c>
      <c r="D167" s="15" t="str">
        <f>IFERROR(INDEX('Прайс-лист'!$C$11:$C$310,MATCH(ROWS($A$16:A167),'Прайс-лист'!$T$11:$T$310,0)),"")</f>
        <v/>
      </c>
      <c r="E167" s="15" t="str">
        <f>IFERROR(INDEX('Прайс-лист'!$E$11:$E$310,MATCH(ROWS($A$16:A167),'Прайс-лист'!$T$11:$T$310,0)),"")</f>
        <v/>
      </c>
      <c r="F167" s="15" t="str">
        <f>IFERROR(INDEX('Прайс-лист'!$F$11:$F$310,MATCH(ROWS($A$16:A167),'Прайс-лист'!$T$11:$T$310,0)),"")</f>
        <v/>
      </c>
      <c r="G167" s="16" t="str">
        <f>IFERROR(INDEX('Прайс-лист'!$R$11:$R$310,MATCH(ROWS($A$16:A167),'Прайс-лист'!$T$11:$T$310,0)),"")</f>
        <v/>
      </c>
      <c r="H167" s="15" t="str">
        <f>IFERROR(INDEX('Прайс-лист'!$P$11:$P$310,MATCH(ROWS($A$16:A167),'Прайс-лист'!$T$11:$T$310,0)),"")</f>
        <v/>
      </c>
      <c r="I167" s="16" t="str">
        <f>IFERROR(INDEX('Прайс-лист'!$S$11:$S$310,MATCH(ROWS($A$16:A167),'Прайс-лист'!$T$11:$T$310,0)),"")</f>
        <v/>
      </c>
      <c r="J167" s="15" t="str">
        <f>IFERROR(INDEX('Прайс-лист'!$Q$11:$Q$310,MATCH(ROWS($A$16:A167),'Прайс-лист'!$T$11:$T$310,0)),"")</f>
        <v/>
      </c>
    </row>
    <row r="168" spans="1:10" ht="13.5" customHeight="1" x14ac:dyDescent="0.2">
      <c r="A168" s="15" t="str">
        <f>IFERROR(IF(INDEX('Прайс-лист'!$T$11:$T$310,MATCH(ROWS($A$16:A168),'Прайс-лист'!$T$11:$T$310,0))="","",ROWS($A$16:A168)),"")</f>
        <v/>
      </c>
      <c r="B168" s="15" t="str">
        <f>IFERROR(INDEX('Прайс-лист'!$A$11:$A$310,MATCH(ROWS($A$16:A168),'Прайс-лист'!$T$11:$T$310,0)),"")</f>
        <v/>
      </c>
      <c r="C168" s="15" t="str">
        <f>IFERROR(INDEX('Прайс-лист'!$B$11:$B$310,MATCH(ROWS($A$16:A168),'Прайс-лист'!$T$11:$T$310,0)),"")</f>
        <v/>
      </c>
      <c r="D168" s="15" t="str">
        <f>IFERROR(INDEX('Прайс-лист'!$C$11:$C$310,MATCH(ROWS($A$16:A168),'Прайс-лист'!$T$11:$T$310,0)),"")</f>
        <v/>
      </c>
      <c r="E168" s="15" t="str">
        <f>IFERROR(INDEX('Прайс-лист'!$E$11:$E$310,MATCH(ROWS($A$16:A168),'Прайс-лист'!$T$11:$T$310,0)),"")</f>
        <v/>
      </c>
      <c r="F168" s="15" t="str">
        <f>IFERROR(INDEX('Прайс-лист'!$F$11:$F$310,MATCH(ROWS($A$16:A168),'Прайс-лист'!$T$11:$T$310,0)),"")</f>
        <v/>
      </c>
      <c r="G168" s="16" t="str">
        <f>IFERROR(INDEX('Прайс-лист'!$R$11:$R$310,MATCH(ROWS($A$16:A168),'Прайс-лист'!$T$11:$T$310,0)),"")</f>
        <v/>
      </c>
      <c r="H168" s="15" t="str">
        <f>IFERROR(INDEX('Прайс-лист'!$P$11:$P$310,MATCH(ROWS($A$16:A168),'Прайс-лист'!$T$11:$T$310,0)),"")</f>
        <v/>
      </c>
      <c r="I168" s="16" t="str">
        <f>IFERROR(INDEX('Прайс-лист'!$S$11:$S$310,MATCH(ROWS($A$16:A168),'Прайс-лист'!$T$11:$T$310,0)),"")</f>
        <v/>
      </c>
      <c r="J168" s="15" t="str">
        <f>IFERROR(INDEX('Прайс-лист'!$Q$11:$Q$310,MATCH(ROWS($A$16:A168),'Прайс-лист'!$T$11:$T$310,0)),"")</f>
        <v/>
      </c>
    </row>
    <row r="169" spans="1:10" ht="13.5" customHeight="1" x14ac:dyDescent="0.2">
      <c r="A169" s="15" t="str">
        <f>IFERROR(IF(INDEX('Прайс-лист'!$T$11:$T$310,MATCH(ROWS($A$16:A169),'Прайс-лист'!$T$11:$T$310,0))="","",ROWS($A$16:A169)),"")</f>
        <v/>
      </c>
      <c r="B169" s="15" t="str">
        <f>IFERROR(INDEX('Прайс-лист'!$A$11:$A$310,MATCH(ROWS($A$16:A169),'Прайс-лист'!$T$11:$T$310,0)),"")</f>
        <v/>
      </c>
      <c r="C169" s="15" t="str">
        <f>IFERROR(INDEX('Прайс-лист'!$B$11:$B$310,MATCH(ROWS($A$16:A169),'Прайс-лист'!$T$11:$T$310,0)),"")</f>
        <v/>
      </c>
      <c r="D169" s="15" t="str">
        <f>IFERROR(INDEX('Прайс-лист'!$C$11:$C$310,MATCH(ROWS($A$16:A169),'Прайс-лист'!$T$11:$T$310,0)),"")</f>
        <v/>
      </c>
      <c r="E169" s="15" t="str">
        <f>IFERROR(INDEX('Прайс-лист'!$E$11:$E$310,MATCH(ROWS($A$16:A169),'Прайс-лист'!$T$11:$T$310,0)),"")</f>
        <v/>
      </c>
      <c r="F169" s="15" t="str">
        <f>IFERROR(INDEX('Прайс-лист'!$F$11:$F$310,MATCH(ROWS($A$16:A169),'Прайс-лист'!$T$11:$T$310,0)),"")</f>
        <v/>
      </c>
      <c r="G169" s="16" t="str">
        <f>IFERROR(INDEX('Прайс-лист'!$R$11:$R$310,MATCH(ROWS($A$16:A169),'Прайс-лист'!$T$11:$T$310,0)),"")</f>
        <v/>
      </c>
      <c r="H169" s="15" t="str">
        <f>IFERROR(INDEX('Прайс-лист'!$P$11:$P$310,MATCH(ROWS($A$16:A169),'Прайс-лист'!$T$11:$T$310,0)),"")</f>
        <v/>
      </c>
      <c r="I169" s="16" t="str">
        <f>IFERROR(INDEX('Прайс-лист'!$S$11:$S$310,MATCH(ROWS($A$16:A169),'Прайс-лист'!$T$11:$T$310,0)),"")</f>
        <v/>
      </c>
      <c r="J169" s="15" t="str">
        <f>IFERROR(INDEX('Прайс-лист'!$Q$11:$Q$310,MATCH(ROWS($A$16:A169),'Прайс-лист'!$T$11:$T$310,0)),"")</f>
        <v/>
      </c>
    </row>
    <row r="170" spans="1:10" ht="13.5" customHeight="1" x14ac:dyDescent="0.2">
      <c r="A170" s="15" t="str">
        <f>IFERROR(IF(INDEX('Прайс-лист'!$T$11:$T$310,MATCH(ROWS($A$16:A170),'Прайс-лист'!$T$11:$T$310,0))="","",ROWS($A$16:A170)),"")</f>
        <v/>
      </c>
      <c r="B170" s="15" t="str">
        <f>IFERROR(INDEX('Прайс-лист'!$A$11:$A$310,MATCH(ROWS($A$16:A170),'Прайс-лист'!$T$11:$T$310,0)),"")</f>
        <v/>
      </c>
      <c r="C170" s="15" t="str">
        <f>IFERROR(INDEX('Прайс-лист'!$B$11:$B$310,MATCH(ROWS($A$16:A170),'Прайс-лист'!$T$11:$T$310,0)),"")</f>
        <v/>
      </c>
      <c r="D170" s="15" t="str">
        <f>IFERROR(INDEX('Прайс-лист'!$C$11:$C$310,MATCH(ROWS($A$16:A170),'Прайс-лист'!$T$11:$T$310,0)),"")</f>
        <v/>
      </c>
      <c r="E170" s="15" t="str">
        <f>IFERROR(INDEX('Прайс-лист'!$E$11:$E$310,MATCH(ROWS($A$16:A170),'Прайс-лист'!$T$11:$T$310,0)),"")</f>
        <v/>
      </c>
      <c r="F170" s="15" t="str">
        <f>IFERROR(INDEX('Прайс-лист'!$F$11:$F$310,MATCH(ROWS($A$16:A170),'Прайс-лист'!$T$11:$T$310,0)),"")</f>
        <v/>
      </c>
      <c r="G170" s="16" t="str">
        <f>IFERROR(INDEX('Прайс-лист'!$R$11:$R$310,MATCH(ROWS($A$16:A170),'Прайс-лист'!$T$11:$T$310,0)),"")</f>
        <v/>
      </c>
      <c r="H170" s="15" t="str">
        <f>IFERROR(INDEX('Прайс-лист'!$P$11:$P$310,MATCH(ROWS($A$16:A170),'Прайс-лист'!$T$11:$T$310,0)),"")</f>
        <v/>
      </c>
      <c r="I170" s="16" t="str">
        <f>IFERROR(INDEX('Прайс-лист'!$S$11:$S$310,MATCH(ROWS($A$16:A170),'Прайс-лист'!$T$11:$T$310,0)),"")</f>
        <v/>
      </c>
      <c r="J170" s="15" t="str">
        <f>IFERROR(INDEX('Прайс-лист'!$Q$11:$Q$310,MATCH(ROWS($A$16:A170),'Прайс-лист'!$T$11:$T$310,0)),"")</f>
        <v/>
      </c>
    </row>
    <row r="171" spans="1:10" ht="13.5" customHeight="1" x14ac:dyDescent="0.2">
      <c r="A171" s="15" t="str">
        <f>IFERROR(IF(INDEX('Прайс-лист'!$T$11:$T$310,MATCH(ROWS($A$16:A171),'Прайс-лист'!$T$11:$T$310,0))="","",ROWS($A$16:A171)),"")</f>
        <v/>
      </c>
      <c r="B171" s="15" t="str">
        <f>IFERROR(INDEX('Прайс-лист'!$A$11:$A$310,MATCH(ROWS($A$16:A171),'Прайс-лист'!$T$11:$T$310,0)),"")</f>
        <v/>
      </c>
      <c r="C171" s="15" t="str">
        <f>IFERROR(INDEX('Прайс-лист'!$B$11:$B$310,MATCH(ROWS($A$16:A171),'Прайс-лист'!$T$11:$T$310,0)),"")</f>
        <v/>
      </c>
      <c r="D171" s="15" t="str">
        <f>IFERROR(INDEX('Прайс-лист'!$C$11:$C$310,MATCH(ROWS($A$16:A171),'Прайс-лист'!$T$11:$T$310,0)),"")</f>
        <v/>
      </c>
      <c r="E171" s="15" t="str">
        <f>IFERROR(INDEX('Прайс-лист'!$E$11:$E$310,MATCH(ROWS($A$16:A171),'Прайс-лист'!$T$11:$T$310,0)),"")</f>
        <v/>
      </c>
      <c r="F171" s="15" t="str">
        <f>IFERROR(INDEX('Прайс-лист'!$F$11:$F$310,MATCH(ROWS($A$16:A171),'Прайс-лист'!$T$11:$T$310,0)),"")</f>
        <v/>
      </c>
      <c r="G171" s="16" t="str">
        <f>IFERROR(INDEX('Прайс-лист'!$R$11:$R$310,MATCH(ROWS($A$16:A171),'Прайс-лист'!$T$11:$T$310,0)),"")</f>
        <v/>
      </c>
      <c r="H171" s="15" t="str">
        <f>IFERROR(INDEX('Прайс-лист'!$P$11:$P$310,MATCH(ROWS($A$16:A171),'Прайс-лист'!$T$11:$T$310,0)),"")</f>
        <v/>
      </c>
      <c r="I171" s="16" t="str">
        <f>IFERROR(INDEX('Прайс-лист'!$S$11:$S$310,MATCH(ROWS($A$16:A171),'Прайс-лист'!$T$11:$T$310,0)),"")</f>
        <v/>
      </c>
      <c r="J171" s="15" t="str">
        <f>IFERROR(INDEX('Прайс-лист'!$Q$11:$Q$310,MATCH(ROWS($A$16:A171),'Прайс-лист'!$T$11:$T$310,0)),"")</f>
        <v/>
      </c>
    </row>
    <row r="172" spans="1:10" ht="13.5" customHeight="1" x14ac:dyDescent="0.2">
      <c r="A172" s="15" t="str">
        <f>IFERROR(IF(INDEX('Прайс-лист'!$T$11:$T$310,MATCH(ROWS($A$16:A172),'Прайс-лист'!$T$11:$T$310,0))="","",ROWS($A$16:A172)),"")</f>
        <v/>
      </c>
      <c r="B172" s="15" t="str">
        <f>IFERROR(INDEX('Прайс-лист'!$A$11:$A$310,MATCH(ROWS($A$16:A172),'Прайс-лист'!$T$11:$T$310,0)),"")</f>
        <v/>
      </c>
      <c r="C172" s="15" t="str">
        <f>IFERROR(INDEX('Прайс-лист'!$B$11:$B$310,MATCH(ROWS($A$16:A172),'Прайс-лист'!$T$11:$T$310,0)),"")</f>
        <v/>
      </c>
      <c r="D172" s="15" t="str">
        <f>IFERROR(INDEX('Прайс-лист'!$C$11:$C$310,MATCH(ROWS($A$16:A172),'Прайс-лист'!$T$11:$T$310,0)),"")</f>
        <v/>
      </c>
      <c r="E172" s="15" t="str">
        <f>IFERROR(INDEX('Прайс-лист'!$E$11:$E$310,MATCH(ROWS($A$16:A172),'Прайс-лист'!$T$11:$T$310,0)),"")</f>
        <v/>
      </c>
      <c r="F172" s="15" t="str">
        <f>IFERROR(INDEX('Прайс-лист'!$F$11:$F$310,MATCH(ROWS($A$16:A172),'Прайс-лист'!$T$11:$T$310,0)),"")</f>
        <v/>
      </c>
      <c r="G172" s="16" t="str">
        <f>IFERROR(INDEX('Прайс-лист'!$R$11:$R$310,MATCH(ROWS($A$16:A172),'Прайс-лист'!$T$11:$T$310,0)),"")</f>
        <v/>
      </c>
      <c r="H172" s="15" t="str">
        <f>IFERROR(INDEX('Прайс-лист'!$P$11:$P$310,MATCH(ROWS($A$16:A172),'Прайс-лист'!$T$11:$T$310,0)),"")</f>
        <v/>
      </c>
      <c r="I172" s="16" t="str">
        <f>IFERROR(INDEX('Прайс-лист'!$S$11:$S$310,MATCH(ROWS($A$16:A172),'Прайс-лист'!$T$11:$T$310,0)),"")</f>
        <v/>
      </c>
      <c r="J172" s="15" t="str">
        <f>IFERROR(INDEX('Прайс-лист'!$Q$11:$Q$310,MATCH(ROWS($A$16:A172),'Прайс-лист'!$T$11:$T$310,0)),"")</f>
        <v/>
      </c>
    </row>
    <row r="173" spans="1:10" ht="13.5" customHeight="1" x14ac:dyDescent="0.2">
      <c r="A173" s="15" t="str">
        <f>IFERROR(IF(INDEX('Прайс-лист'!$T$11:$T$310,MATCH(ROWS($A$16:A173),'Прайс-лист'!$T$11:$T$310,0))="","",ROWS($A$16:A173)),"")</f>
        <v/>
      </c>
      <c r="B173" s="15" t="str">
        <f>IFERROR(INDEX('Прайс-лист'!$A$11:$A$310,MATCH(ROWS($A$16:A173),'Прайс-лист'!$T$11:$T$310,0)),"")</f>
        <v/>
      </c>
      <c r="C173" s="15" t="str">
        <f>IFERROR(INDEX('Прайс-лист'!$B$11:$B$310,MATCH(ROWS($A$16:A173),'Прайс-лист'!$T$11:$T$310,0)),"")</f>
        <v/>
      </c>
      <c r="D173" s="15" t="str">
        <f>IFERROR(INDEX('Прайс-лист'!$C$11:$C$310,MATCH(ROWS($A$16:A173),'Прайс-лист'!$T$11:$T$310,0)),"")</f>
        <v/>
      </c>
      <c r="E173" s="15" t="str">
        <f>IFERROR(INDEX('Прайс-лист'!$E$11:$E$310,MATCH(ROWS($A$16:A173),'Прайс-лист'!$T$11:$T$310,0)),"")</f>
        <v/>
      </c>
      <c r="F173" s="15" t="str">
        <f>IFERROR(INDEX('Прайс-лист'!$F$11:$F$310,MATCH(ROWS($A$16:A173),'Прайс-лист'!$T$11:$T$310,0)),"")</f>
        <v/>
      </c>
      <c r="G173" s="16" t="str">
        <f>IFERROR(INDEX('Прайс-лист'!$R$11:$R$310,MATCH(ROWS($A$16:A173),'Прайс-лист'!$T$11:$T$310,0)),"")</f>
        <v/>
      </c>
      <c r="H173" s="15" t="str">
        <f>IFERROR(INDEX('Прайс-лист'!$P$11:$P$310,MATCH(ROWS($A$16:A173),'Прайс-лист'!$T$11:$T$310,0)),"")</f>
        <v/>
      </c>
      <c r="I173" s="16" t="str">
        <f>IFERROR(INDEX('Прайс-лист'!$S$11:$S$310,MATCH(ROWS($A$16:A173),'Прайс-лист'!$T$11:$T$310,0)),"")</f>
        <v/>
      </c>
      <c r="J173" s="15" t="str">
        <f>IFERROR(INDEX('Прайс-лист'!$Q$11:$Q$310,MATCH(ROWS($A$16:A173),'Прайс-лист'!$T$11:$T$310,0)),"")</f>
        <v/>
      </c>
    </row>
    <row r="174" spans="1:10" ht="13.5" customHeight="1" x14ac:dyDescent="0.2">
      <c r="A174" s="15" t="str">
        <f>IFERROR(IF(INDEX('Прайс-лист'!$T$11:$T$310,MATCH(ROWS($A$16:A174),'Прайс-лист'!$T$11:$T$310,0))="","",ROWS($A$16:A174)),"")</f>
        <v/>
      </c>
      <c r="B174" s="15" t="str">
        <f>IFERROR(INDEX('Прайс-лист'!$A$11:$A$310,MATCH(ROWS($A$16:A174),'Прайс-лист'!$T$11:$T$310,0)),"")</f>
        <v/>
      </c>
      <c r="C174" s="15" t="str">
        <f>IFERROR(INDEX('Прайс-лист'!$B$11:$B$310,MATCH(ROWS($A$16:A174),'Прайс-лист'!$T$11:$T$310,0)),"")</f>
        <v/>
      </c>
      <c r="D174" s="15" t="str">
        <f>IFERROR(INDEX('Прайс-лист'!$C$11:$C$310,MATCH(ROWS($A$16:A174),'Прайс-лист'!$T$11:$T$310,0)),"")</f>
        <v/>
      </c>
      <c r="E174" s="15" t="str">
        <f>IFERROR(INDEX('Прайс-лист'!$E$11:$E$310,MATCH(ROWS($A$16:A174),'Прайс-лист'!$T$11:$T$310,0)),"")</f>
        <v/>
      </c>
      <c r="F174" s="15" t="str">
        <f>IFERROR(INDEX('Прайс-лист'!$F$11:$F$310,MATCH(ROWS($A$16:A174),'Прайс-лист'!$T$11:$T$310,0)),"")</f>
        <v/>
      </c>
      <c r="G174" s="16" t="str">
        <f>IFERROR(INDEX('Прайс-лист'!$R$11:$R$310,MATCH(ROWS($A$16:A174),'Прайс-лист'!$T$11:$T$310,0)),"")</f>
        <v/>
      </c>
      <c r="H174" s="15" t="str">
        <f>IFERROR(INDEX('Прайс-лист'!$P$11:$P$310,MATCH(ROWS($A$16:A174),'Прайс-лист'!$T$11:$T$310,0)),"")</f>
        <v/>
      </c>
      <c r="I174" s="16" t="str">
        <f>IFERROR(INDEX('Прайс-лист'!$S$11:$S$310,MATCH(ROWS($A$16:A174),'Прайс-лист'!$T$11:$T$310,0)),"")</f>
        <v/>
      </c>
      <c r="J174" s="15" t="str">
        <f>IFERROR(INDEX('Прайс-лист'!$Q$11:$Q$310,MATCH(ROWS($A$16:A174),'Прайс-лист'!$T$11:$T$310,0)),"")</f>
        <v/>
      </c>
    </row>
    <row r="175" spans="1:10" ht="13.5" customHeight="1" x14ac:dyDescent="0.2">
      <c r="A175" s="15" t="str">
        <f>IFERROR(IF(INDEX('Прайс-лист'!$T$11:$T$310,MATCH(ROWS($A$16:A175),'Прайс-лист'!$T$11:$T$310,0))="","",ROWS($A$16:A175)),"")</f>
        <v/>
      </c>
      <c r="B175" s="15" t="str">
        <f>IFERROR(INDEX('Прайс-лист'!$A$11:$A$310,MATCH(ROWS($A$16:A175),'Прайс-лист'!$T$11:$T$310,0)),"")</f>
        <v/>
      </c>
      <c r="C175" s="15" t="str">
        <f>IFERROR(INDEX('Прайс-лист'!$B$11:$B$310,MATCH(ROWS($A$16:A175),'Прайс-лист'!$T$11:$T$310,0)),"")</f>
        <v/>
      </c>
      <c r="D175" s="15" t="str">
        <f>IFERROR(INDEX('Прайс-лист'!$C$11:$C$310,MATCH(ROWS($A$16:A175),'Прайс-лист'!$T$11:$T$310,0)),"")</f>
        <v/>
      </c>
      <c r="E175" s="15" t="str">
        <f>IFERROR(INDEX('Прайс-лист'!$E$11:$E$310,MATCH(ROWS($A$16:A175),'Прайс-лист'!$T$11:$T$310,0)),"")</f>
        <v/>
      </c>
      <c r="F175" s="15" t="str">
        <f>IFERROR(INDEX('Прайс-лист'!$F$11:$F$310,MATCH(ROWS($A$16:A175),'Прайс-лист'!$T$11:$T$310,0)),"")</f>
        <v/>
      </c>
      <c r="G175" s="16" t="str">
        <f>IFERROR(INDEX('Прайс-лист'!$R$11:$R$310,MATCH(ROWS($A$16:A175),'Прайс-лист'!$T$11:$T$310,0)),"")</f>
        <v/>
      </c>
      <c r="H175" s="15" t="str">
        <f>IFERROR(INDEX('Прайс-лист'!$P$11:$P$310,MATCH(ROWS($A$16:A175),'Прайс-лист'!$T$11:$T$310,0)),"")</f>
        <v/>
      </c>
      <c r="I175" s="16" t="str">
        <f>IFERROR(INDEX('Прайс-лист'!$S$11:$S$310,MATCH(ROWS($A$16:A175),'Прайс-лист'!$T$11:$T$310,0)),"")</f>
        <v/>
      </c>
      <c r="J175" s="15" t="str">
        <f>IFERROR(INDEX('Прайс-лист'!$Q$11:$Q$310,MATCH(ROWS($A$16:A175),'Прайс-лист'!$T$11:$T$310,0)),"")</f>
        <v/>
      </c>
    </row>
    <row r="176" spans="1:10" ht="13.5" customHeight="1" x14ac:dyDescent="0.2">
      <c r="A176" s="15" t="str">
        <f>IFERROR(IF(INDEX('Прайс-лист'!$T$11:$T$310,MATCH(ROWS($A$16:A176),'Прайс-лист'!$T$11:$T$310,0))="","",ROWS($A$16:A176)),"")</f>
        <v/>
      </c>
      <c r="B176" s="15" t="str">
        <f>IFERROR(INDEX('Прайс-лист'!$A$11:$A$310,MATCH(ROWS($A$16:A176),'Прайс-лист'!$T$11:$T$310,0)),"")</f>
        <v/>
      </c>
      <c r="C176" s="15" t="str">
        <f>IFERROR(INDEX('Прайс-лист'!$B$11:$B$310,MATCH(ROWS($A$16:A176),'Прайс-лист'!$T$11:$T$310,0)),"")</f>
        <v/>
      </c>
      <c r="D176" s="15" t="str">
        <f>IFERROR(INDEX('Прайс-лист'!$C$11:$C$310,MATCH(ROWS($A$16:A176),'Прайс-лист'!$T$11:$T$310,0)),"")</f>
        <v/>
      </c>
      <c r="E176" s="15" t="str">
        <f>IFERROR(INDEX('Прайс-лист'!$E$11:$E$310,MATCH(ROWS($A$16:A176),'Прайс-лист'!$T$11:$T$310,0)),"")</f>
        <v/>
      </c>
      <c r="F176" s="15" t="str">
        <f>IFERROR(INDEX('Прайс-лист'!$F$11:$F$310,MATCH(ROWS($A$16:A176),'Прайс-лист'!$T$11:$T$310,0)),"")</f>
        <v/>
      </c>
      <c r="G176" s="16" t="str">
        <f>IFERROR(INDEX('Прайс-лист'!$R$11:$R$310,MATCH(ROWS($A$16:A176),'Прайс-лист'!$T$11:$T$310,0)),"")</f>
        <v/>
      </c>
      <c r="H176" s="15" t="str">
        <f>IFERROR(INDEX('Прайс-лист'!$P$11:$P$310,MATCH(ROWS($A$16:A176),'Прайс-лист'!$T$11:$T$310,0)),"")</f>
        <v/>
      </c>
      <c r="I176" s="16" t="str">
        <f>IFERROR(INDEX('Прайс-лист'!$S$11:$S$310,MATCH(ROWS($A$16:A176),'Прайс-лист'!$T$11:$T$310,0)),"")</f>
        <v/>
      </c>
      <c r="J176" s="15" t="str">
        <f>IFERROR(INDEX('Прайс-лист'!$Q$11:$Q$310,MATCH(ROWS($A$16:A176),'Прайс-лист'!$T$11:$T$310,0)),"")</f>
        <v/>
      </c>
    </row>
    <row r="177" spans="1:10" ht="13.5" customHeight="1" x14ac:dyDescent="0.2">
      <c r="A177" s="15" t="str">
        <f>IFERROR(IF(INDEX('Прайс-лист'!$T$11:$T$310,MATCH(ROWS($A$16:A177),'Прайс-лист'!$T$11:$T$310,0))="","",ROWS($A$16:A177)),"")</f>
        <v/>
      </c>
      <c r="B177" s="15" t="str">
        <f>IFERROR(INDEX('Прайс-лист'!$A$11:$A$310,MATCH(ROWS($A$16:A177),'Прайс-лист'!$T$11:$T$310,0)),"")</f>
        <v/>
      </c>
      <c r="C177" s="15" t="str">
        <f>IFERROR(INDEX('Прайс-лист'!$B$11:$B$310,MATCH(ROWS($A$16:A177),'Прайс-лист'!$T$11:$T$310,0)),"")</f>
        <v/>
      </c>
      <c r="D177" s="15" t="str">
        <f>IFERROR(INDEX('Прайс-лист'!$C$11:$C$310,MATCH(ROWS($A$16:A177),'Прайс-лист'!$T$11:$T$310,0)),"")</f>
        <v/>
      </c>
      <c r="E177" s="15" t="str">
        <f>IFERROR(INDEX('Прайс-лист'!$E$11:$E$310,MATCH(ROWS($A$16:A177),'Прайс-лист'!$T$11:$T$310,0)),"")</f>
        <v/>
      </c>
      <c r="F177" s="15" t="str">
        <f>IFERROR(INDEX('Прайс-лист'!$F$11:$F$310,MATCH(ROWS($A$16:A177),'Прайс-лист'!$T$11:$T$310,0)),"")</f>
        <v/>
      </c>
      <c r="G177" s="16" t="str">
        <f>IFERROR(INDEX('Прайс-лист'!$R$11:$R$310,MATCH(ROWS($A$16:A177),'Прайс-лист'!$T$11:$T$310,0)),"")</f>
        <v/>
      </c>
      <c r="H177" s="15" t="str">
        <f>IFERROR(INDEX('Прайс-лист'!$P$11:$P$310,MATCH(ROWS($A$16:A177),'Прайс-лист'!$T$11:$T$310,0)),"")</f>
        <v/>
      </c>
      <c r="I177" s="16" t="str">
        <f>IFERROR(INDEX('Прайс-лист'!$S$11:$S$310,MATCH(ROWS($A$16:A177),'Прайс-лист'!$T$11:$T$310,0)),"")</f>
        <v/>
      </c>
      <c r="J177" s="15" t="str">
        <f>IFERROR(INDEX('Прайс-лист'!$Q$11:$Q$310,MATCH(ROWS($A$16:A177),'Прайс-лист'!$T$11:$T$310,0)),"")</f>
        <v/>
      </c>
    </row>
    <row r="178" spans="1:10" ht="13.5" customHeight="1" x14ac:dyDescent="0.2">
      <c r="A178" s="15" t="str">
        <f>IFERROR(IF(INDEX('Прайс-лист'!$T$11:$T$310,MATCH(ROWS($A$16:A178),'Прайс-лист'!$T$11:$T$310,0))="","",ROWS($A$16:A178)),"")</f>
        <v/>
      </c>
      <c r="B178" s="15" t="str">
        <f>IFERROR(INDEX('Прайс-лист'!$A$11:$A$310,MATCH(ROWS($A$16:A178),'Прайс-лист'!$T$11:$T$310,0)),"")</f>
        <v/>
      </c>
      <c r="C178" s="15" t="str">
        <f>IFERROR(INDEX('Прайс-лист'!$B$11:$B$310,MATCH(ROWS($A$16:A178),'Прайс-лист'!$T$11:$T$310,0)),"")</f>
        <v/>
      </c>
      <c r="D178" s="15" t="str">
        <f>IFERROR(INDEX('Прайс-лист'!$C$11:$C$310,MATCH(ROWS($A$16:A178),'Прайс-лист'!$T$11:$T$310,0)),"")</f>
        <v/>
      </c>
      <c r="E178" s="15" t="str">
        <f>IFERROR(INDEX('Прайс-лист'!$E$11:$E$310,MATCH(ROWS($A$16:A178),'Прайс-лист'!$T$11:$T$310,0)),"")</f>
        <v/>
      </c>
      <c r="F178" s="15" t="str">
        <f>IFERROR(INDEX('Прайс-лист'!$F$11:$F$310,MATCH(ROWS($A$16:A178),'Прайс-лист'!$T$11:$T$310,0)),"")</f>
        <v/>
      </c>
      <c r="G178" s="16" t="str">
        <f>IFERROR(INDEX('Прайс-лист'!$R$11:$R$310,MATCH(ROWS($A$16:A178),'Прайс-лист'!$T$11:$T$310,0)),"")</f>
        <v/>
      </c>
      <c r="H178" s="15" t="str">
        <f>IFERROR(INDEX('Прайс-лист'!$P$11:$P$310,MATCH(ROWS($A$16:A178),'Прайс-лист'!$T$11:$T$310,0)),"")</f>
        <v/>
      </c>
      <c r="I178" s="16" t="str">
        <f>IFERROR(INDEX('Прайс-лист'!$S$11:$S$310,MATCH(ROWS($A$16:A178),'Прайс-лист'!$T$11:$T$310,0)),"")</f>
        <v/>
      </c>
      <c r="J178" s="15" t="str">
        <f>IFERROR(INDEX('Прайс-лист'!$Q$11:$Q$310,MATCH(ROWS($A$16:A178),'Прайс-лист'!$T$11:$T$310,0)),"")</f>
        <v/>
      </c>
    </row>
    <row r="179" spans="1:10" ht="13.5" customHeight="1" x14ac:dyDescent="0.2">
      <c r="A179" s="15" t="str">
        <f>IFERROR(IF(INDEX('Прайс-лист'!$T$11:$T$310,MATCH(ROWS($A$16:A179),'Прайс-лист'!$T$11:$T$310,0))="","",ROWS($A$16:A179)),"")</f>
        <v/>
      </c>
      <c r="B179" s="15" t="str">
        <f>IFERROR(INDEX('Прайс-лист'!$A$11:$A$310,MATCH(ROWS($A$16:A179),'Прайс-лист'!$T$11:$T$310,0)),"")</f>
        <v/>
      </c>
      <c r="C179" s="15" t="str">
        <f>IFERROR(INDEX('Прайс-лист'!$B$11:$B$310,MATCH(ROWS($A$16:A179),'Прайс-лист'!$T$11:$T$310,0)),"")</f>
        <v/>
      </c>
      <c r="D179" s="15" t="str">
        <f>IFERROR(INDEX('Прайс-лист'!$C$11:$C$310,MATCH(ROWS($A$16:A179),'Прайс-лист'!$T$11:$T$310,0)),"")</f>
        <v/>
      </c>
      <c r="E179" s="15" t="str">
        <f>IFERROR(INDEX('Прайс-лист'!$E$11:$E$310,MATCH(ROWS($A$16:A179),'Прайс-лист'!$T$11:$T$310,0)),"")</f>
        <v/>
      </c>
      <c r="F179" s="15" t="str">
        <f>IFERROR(INDEX('Прайс-лист'!$F$11:$F$310,MATCH(ROWS($A$16:A179),'Прайс-лист'!$T$11:$T$310,0)),"")</f>
        <v/>
      </c>
      <c r="G179" s="16" t="str">
        <f>IFERROR(INDEX('Прайс-лист'!$R$11:$R$310,MATCH(ROWS($A$16:A179),'Прайс-лист'!$T$11:$T$310,0)),"")</f>
        <v/>
      </c>
      <c r="H179" s="15" t="str">
        <f>IFERROR(INDEX('Прайс-лист'!$P$11:$P$310,MATCH(ROWS($A$16:A179),'Прайс-лист'!$T$11:$T$310,0)),"")</f>
        <v/>
      </c>
      <c r="I179" s="16" t="str">
        <f>IFERROR(INDEX('Прайс-лист'!$S$11:$S$310,MATCH(ROWS($A$16:A179),'Прайс-лист'!$T$11:$T$310,0)),"")</f>
        <v/>
      </c>
      <c r="J179" s="15" t="str">
        <f>IFERROR(INDEX('Прайс-лист'!$Q$11:$Q$310,MATCH(ROWS($A$16:A179),'Прайс-лист'!$T$11:$T$310,0)),"")</f>
        <v/>
      </c>
    </row>
    <row r="180" spans="1:10" ht="13.5" customHeight="1" x14ac:dyDescent="0.2">
      <c r="A180" s="15" t="str">
        <f>IFERROR(IF(INDEX('Прайс-лист'!$T$11:$T$310,MATCH(ROWS($A$16:A180),'Прайс-лист'!$T$11:$T$310,0))="","",ROWS($A$16:A180)),"")</f>
        <v/>
      </c>
      <c r="B180" s="15" t="str">
        <f>IFERROR(INDEX('Прайс-лист'!$A$11:$A$310,MATCH(ROWS($A$16:A180),'Прайс-лист'!$T$11:$T$310,0)),"")</f>
        <v/>
      </c>
      <c r="C180" s="15" t="str">
        <f>IFERROR(INDEX('Прайс-лист'!$B$11:$B$310,MATCH(ROWS($A$16:A180),'Прайс-лист'!$T$11:$T$310,0)),"")</f>
        <v/>
      </c>
      <c r="D180" s="15" t="str">
        <f>IFERROR(INDEX('Прайс-лист'!$C$11:$C$310,MATCH(ROWS($A$16:A180),'Прайс-лист'!$T$11:$T$310,0)),"")</f>
        <v/>
      </c>
      <c r="E180" s="15" t="str">
        <f>IFERROR(INDEX('Прайс-лист'!$E$11:$E$310,MATCH(ROWS($A$16:A180),'Прайс-лист'!$T$11:$T$310,0)),"")</f>
        <v/>
      </c>
      <c r="F180" s="15" t="str">
        <f>IFERROR(INDEX('Прайс-лист'!$F$11:$F$310,MATCH(ROWS($A$16:A180),'Прайс-лист'!$T$11:$T$310,0)),"")</f>
        <v/>
      </c>
      <c r="G180" s="16" t="str">
        <f>IFERROR(INDEX('Прайс-лист'!$R$11:$R$310,MATCH(ROWS($A$16:A180),'Прайс-лист'!$T$11:$T$310,0)),"")</f>
        <v/>
      </c>
      <c r="H180" s="15" t="str">
        <f>IFERROR(INDEX('Прайс-лист'!$P$11:$P$310,MATCH(ROWS($A$16:A180),'Прайс-лист'!$T$11:$T$310,0)),"")</f>
        <v/>
      </c>
      <c r="I180" s="16" t="str">
        <f>IFERROR(INDEX('Прайс-лист'!$S$11:$S$310,MATCH(ROWS($A$16:A180),'Прайс-лист'!$T$11:$T$310,0)),"")</f>
        <v/>
      </c>
      <c r="J180" s="15" t="str">
        <f>IFERROR(INDEX('Прайс-лист'!$Q$11:$Q$310,MATCH(ROWS($A$16:A180),'Прайс-лист'!$T$11:$T$310,0)),"")</f>
        <v/>
      </c>
    </row>
    <row r="181" spans="1:10" ht="13.5" customHeight="1" x14ac:dyDescent="0.2">
      <c r="A181" s="15" t="str">
        <f>IFERROR(IF(INDEX('Прайс-лист'!$T$11:$T$310,MATCH(ROWS($A$16:A181),'Прайс-лист'!$T$11:$T$310,0))="","",ROWS($A$16:A181)),"")</f>
        <v/>
      </c>
      <c r="B181" s="15" t="str">
        <f>IFERROR(INDEX('Прайс-лист'!$A$11:$A$310,MATCH(ROWS($A$16:A181),'Прайс-лист'!$T$11:$T$310,0)),"")</f>
        <v/>
      </c>
      <c r="C181" s="15" t="str">
        <f>IFERROR(INDEX('Прайс-лист'!$B$11:$B$310,MATCH(ROWS($A$16:A181),'Прайс-лист'!$T$11:$T$310,0)),"")</f>
        <v/>
      </c>
      <c r="D181" s="15" t="str">
        <f>IFERROR(INDEX('Прайс-лист'!$C$11:$C$310,MATCH(ROWS($A$16:A181),'Прайс-лист'!$T$11:$T$310,0)),"")</f>
        <v/>
      </c>
      <c r="E181" s="15" t="str">
        <f>IFERROR(INDEX('Прайс-лист'!$E$11:$E$310,MATCH(ROWS($A$16:A181),'Прайс-лист'!$T$11:$T$310,0)),"")</f>
        <v/>
      </c>
      <c r="F181" s="15" t="str">
        <f>IFERROR(INDEX('Прайс-лист'!$F$11:$F$310,MATCH(ROWS($A$16:A181),'Прайс-лист'!$T$11:$T$310,0)),"")</f>
        <v/>
      </c>
      <c r="G181" s="16" t="str">
        <f>IFERROR(INDEX('Прайс-лист'!$R$11:$R$310,MATCH(ROWS($A$16:A181),'Прайс-лист'!$T$11:$T$310,0)),"")</f>
        <v/>
      </c>
      <c r="H181" s="15" t="str">
        <f>IFERROR(INDEX('Прайс-лист'!$P$11:$P$310,MATCH(ROWS($A$16:A181),'Прайс-лист'!$T$11:$T$310,0)),"")</f>
        <v/>
      </c>
      <c r="I181" s="16" t="str">
        <f>IFERROR(INDEX('Прайс-лист'!$S$11:$S$310,MATCH(ROWS($A$16:A181),'Прайс-лист'!$T$11:$T$310,0)),"")</f>
        <v/>
      </c>
      <c r="J181" s="15" t="str">
        <f>IFERROR(INDEX('Прайс-лист'!$Q$11:$Q$310,MATCH(ROWS($A$16:A181),'Прайс-лист'!$T$11:$T$310,0)),"")</f>
        <v/>
      </c>
    </row>
    <row r="182" spans="1:10" ht="13.5" customHeight="1" x14ac:dyDescent="0.2">
      <c r="A182" s="15" t="str">
        <f>IFERROR(IF(INDEX('Прайс-лист'!$T$11:$T$310,MATCH(ROWS($A$16:A182),'Прайс-лист'!$T$11:$T$310,0))="","",ROWS($A$16:A182)),"")</f>
        <v/>
      </c>
      <c r="B182" s="15" t="str">
        <f>IFERROR(INDEX('Прайс-лист'!$A$11:$A$310,MATCH(ROWS($A$16:A182),'Прайс-лист'!$T$11:$T$310,0)),"")</f>
        <v/>
      </c>
      <c r="C182" s="15" t="str">
        <f>IFERROR(INDEX('Прайс-лист'!$B$11:$B$310,MATCH(ROWS($A$16:A182),'Прайс-лист'!$T$11:$T$310,0)),"")</f>
        <v/>
      </c>
      <c r="D182" s="15" t="str">
        <f>IFERROR(INDEX('Прайс-лист'!$C$11:$C$310,MATCH(ROWS($A$16:A182),'Прайс-лист'!$T$11:$T$310,0)),"")</f>
        <v/>
      </c>
      <c r="E182" s="15" t="str">
        <f>IFERROR(INDEX('Прайс-лист'!$E$11:$E$310,MATCH(ROWS($A$16:A182),'Прайс-лист'!$T$11:$T$310,0)),"")</f>
        <v/>
      </c>
      <c r="F182" s="15" t="str">
        <f>IFERROR(INDEX('Прайс-лист'!$F$11:$F$310,MATCH(ROWS($A$16:A182),'Прайс-лист'!$T$11:$T$310,0)),"")</f>
        <v/>
      </c>
      <c r="G182" s="16" t="str">
        <f>IFERROR(INDEX('Прайс-лист'!$R$11:$R$310,MATCH(ROWS($A$16:A182),'Прайс-лист'!$T$11:$T$310,0)),"")</f>
        <v/>
      </c>
      <c r="H182" s="15" t="str">
        <f>IFERROR(INDEX('Прайс-лист'!$P$11:$P$310,MATCH(ROWS($A$16:A182),'Прайс-лист'!$T$11:$T$310,0)),"")</f>
        <v/>
      </c>
      <c r="I182" s="16" t="str">
        <f>IFERROR(INDEX('Прайс-лист'!$S$11:$S$310,MATCH(ROWS($A$16:A182),'Прайс-лист'!$T$11:$T$310,0)),"")</f>
        <v/>
      </c>
      <c r="J182" s="15" t="str">
        <f>IFERROR(INDEX('Прайс-лист'!$Q$11:$Q$310,MATCH(ROWS($A$16:A182),'Прайс-лист'!$T$11:$T$310,0)),"")</f>
        <v/>
      </c>
    </row>
    <row r="183" spans="1:10" ht="13.5" customHeight="1" x14ac:dyDescent="0.2">
      <c r="A183" s="15" t="str">
        <f>IFERROR(IF(INDEX('Прайс-лист'!$T$11:$T$310,MATCH(ROWS($A$16:A183),'Прайс-лист'!$T$11:$T$310,0))="","",ROWS($A$16:A183)),"")</f>
        <v/>
      </c>
      <c r="B183" s="15" t="str">
        <f>IFERROR(INDEX('Прайс-лист'!$A$11:$A$310,MATCH(ROWS($A$16:A183),'Прайс-лист'!$T$11:$T$310,0)),"")</f>
        <v/>
      </c>
      <c r="C183" s="15" t="str">
        <f>IFERROR(INDEX('Прайс-лист'!$B$11:$B$310,MATCH(ROWS($A$16:A183),'Прайс-лист'!$T$11:$T$310,0)),"")</f>
        <v/>
      </c>
      <c r="D183" s="15" t="str">
        <f>IFERROR(INDEX('Прайс-лист'!$C$11:$C$310,MATCH(ROWS($A$16:A183),'Прайс-лист'!$T$11:$T$310,0)),"")</f>
        <v/>
      </c>
      <c r="E183" s="15" t="str">
        <f>IFERROR(INDEX('Прайс-лист'!$E$11:$E$310,MATCH(ROWS($A$16:A183),'Прайс-лист'!$T$11:$T$310,0)),"")</f>
        <v/>
      </c>
      <c r="F183" s="15" t="str">
        <f>IFERROR(INDEX('Прайс-лист'!$F$11:$F$310,MATCH(ROWS($A$16:A183),'Прайс-лист'!$T$11:$T$310,0)),"")</f>
        <v/>
      </c>
      <c r="G183" s="16" t="str">
        <f>IFERROR(INDEX('Прайс-лист'!$R$11:$R$310,MATCH(ROWS($A$16:A183),'Прайс-лист'!$T$11:$T$310,0)),"")</f>
        <v/>
      </c>
      <c r="H183" s="15" t="str">
        <f>IFERROR(INDEX('Прайс-лист'!$P$11:$P$310,MATCH(ROWS($A$16:A183),'Прайс-лист'!$T$11:$T$310,0)),"")</f>
        <v/>
      </c>
      <c r="I183" s="16" t="str">
        <f>IFERROR(INDEX('Прайс-лист'!$S$11:$S$310,MATCH(ROWS($A$16:A183),'Прайс-лист'!$T$11:$T$310,0)),"")</f>
        <v/>
      </c>
      <c r="J183" s="15" t="str">
        <f>IFERROR(INDEX('Прайс-лист'!$Q$11:$Q$310,MATCH(ROWS($A$16:A183),'Прайс-лист'!$T$11:$T$310,0)),"")</f>
        <v/>
      </c>
    </row>
    <row r="184" spans="1:10" ht="13.5" customHeight="1" x14ac:dyDescent="0.2">
      <c r="A184" s="15" t="str">
        <f>IFERROR(IF(INDEX('Прайс-лист'!$T$11:$T$310,MATCH(ROWS($A$16:A184),'Прайс-лист'!$T$11:$T$310,0))="","",ROWS($A$16:A184)),"")</f>
        <v/>
      </c>
      <c r="B184" s="15" t="str">
        <f>IFERROR(INDEX('Прайс-лист'!$A$11:$A$310,MATCH(ROWS($A$16:A184),'Прайс-лист'!$T$11:$T$310,0)),"")</f>
        <v/>
      </c>
      <c r="C184" s="15" t="str">
        <f>IFERROR(INDEX('Прайс-лист'!$B$11:$B$310,MATCH(ROWS($A$16:A184),'Прайс-лист'!$T$11:$T$310,0)),"")</f>
        <v/>
      </c>
      <c r="D184" s="15" t="str">
        <f>IFERROR(INDEX('Прайс-лист'!$C$11:$C$310,MATCH(ROWS($A$16:A184),'Прайс-лист'!$T$11:$T$310,0)),"")</f>
        <v/>
      </c>
      <c r="E184" s="15" t="str">
        <f>IFERROR(INDEX('Прайс-лист'!$E$11:$E$310,MATCH(ROWS($A$16:A184),'Прайс-лист'!$T$11:$T$310,0)),"")</f>
        <v/>
      </c>
      <c r="F184" s="15" t="str">
        <f>IFERROR(INDEX('Прайс-лист'!$F$11:$F$310,MATCH(ROWS($A$16:A184),'Прайс-лист'!$T$11:$T$310,0)),"")</f>
        <v/>
      </c>
      <c r="G184" s="16" t="str">
        <f>IFERROR(INDEX('Прайс-лист'!$R$11:$R$310,MATCH(ROWS($A$16:A184),'Прайс-лист'!$T$11:$T$310,0)),"")</f>
        <v/>
      </c>
      <c r="H184" s="15" t="str">
        <f>IFERROR(INDEX('Прайс-лист'!$P$11:$P$310,MATCH(ROWS($A$16:A184),'Прайс-лист'!$T$11:$T$310,0)),"")</f>
        <v/>
      </c>
      <c r="I184" s="16" t="str">
        <f>IFERROR(INDEX('Прайс-лист'!$S$11:$S$310,MATCH(ROWS($A$16:A184),'Прайс-лист'!$T$11:$T$310,0)),"")</f>
        <v/>
      </c>
      <c r="J184" s="15" t="str">
        <f>IFERROR(INDEX('Прайс-лист'!$Q$11:$Q$310,MATCH(ROWS($A$16:A184),'Прайс-лист'!$T$11:$T$310,0)),"")</f>
        <v/>
      </c>
    </row>
    <row r="185" spans="1:10" ht="13.5" customHeight="1" x14ac:dyDescent="0.2">
      <c r="A185" s="15" t="str">
        <f>IFERROR(IF(INDEX('Прайс-лист'!$T$11:$T$310,MATCH(ROWS($A$16:A185),'Прайс-лист'!$T$11:$T$310,0))="","",ROWS($A$16:A185)),"")</f>
        <v/>
      </c>
      <c r="B185" s="15" t="str">
        <f>IFERROR(INDEX('Прайс-лист'!$A$11:$A$310,MATCH(ROWS($A$16:A185),'Прайс-лист'!$T$11:$T$310,0)),"")</f>
        <v/>
      </c>
      <c r="C185" s="15" t="str">
        <f>IFERROR(INDEX('Прайс-лист'!$B$11:$B$310,MATCH(ROWS($A$16:A185),'Прайс-лист'!$T$11:$T$310,0)),"")</f>
        <v/>
      </c>
      <c r="D185" s="15" t="str">
        <f>IFERROR(INDEX('Прайс-лист'!$C$11:$C$310,MATCH(ROWS($A$16:A185),'Прайс-лист'!$T$11:$T$310,0)),"")</f>
        <v/>
      </c>
      <c r="E185" s="15" t="str">
        <f>IFERROR(INDEX('Прайс-лист'!$E$11:$E$310,MATCH(ROWS($A$16:A185),'Прайс-лист'!$T$11:$T$310,0)),"")</f>
        <v/>
      </c>
      <c r="F185" s="15" t="str">
        <f>IFERROR(INDEX('Прайс-лист'!$F$11:$F$310,MATCH(ROWS($A$16:A185),'Прайс-лист'!$T$11:$T$310,0)),"")</f>
        <v/>
      </c>
      <c r="G185" s="16" t="str">
        <f>IFERROR(INDEX('Прайс-лист'!$R$11:$R$310,MATCH(ROWS($A$16:A185),'Прайс-лист'!$T$11:$T$310,0)),"")</f>
        <v/>
      </c>
      <c r="H185" s="15" t="str">
        <f>IFERROR(INDEX('Прайс-лист'!$P$11:$P$310,MATCH(ROWS($A$16:A185),'Прайс-лист'!$T$11:$T$310,0)),"")</f>
        <v/>
      </c>
      <c r="I185" s="16" t="str">
        <f>IFERROR(INDEX('Прайс-лист'!$S$11:$S$310,MATCH(ROWS($A$16:A185),'Прайс-лист'!$T$11:$T$310,0)),"")</f>
        <v/>
      </c>
      <c r="J185" s="15" t="str">
        <f>IFERROR(INDEX('Прайс-лист'!$Q$11:$Q$310,MATCH(ROWS($A$16:A185),'Прайс-лист'!$T$11:$T$310,0)),"")</f>
        <v/>
      </c>
    </row>
    <row r="186" spans="1:10" ht="13.5" customHeight="1" x14ac:dyDescent="0.2">
      <c r="A186" s="15" t="str">
        <f>IFERROR(IF(INDEX('Прайс-лист'!$T$11:$T$310,MATCH(ROWS($A$16:A186),'Прайс-лист'!$T$11:$T$310,0))="","",ROWS($A$16:A186)),"")</f>
        <v/>
      </c>
      <c r="B186" s="15" t="str">
        <f>IFERROR(INDEX('Прайс-лист'!$A$11:$A$310,MATCH(ROWS($A$16:A186),'Прайс-лист'!$T$11:$T$310,0)),"")</f>
        <v/>
      </c>
      <c r="C186" s="15" t="str">
        <f>IFERROR(INDEX('Прайс-лист'!$B$11:$B$310,MATCH(ROWS($A$16:A186),'Прайс-лист'!$T$11:$T$310,0)),"")</f>
        <v/>
      </c>
      <c r="D186" s="15" t="str">
        <f>IFERROR(INDEX('Прайс-лист'!$C$11:$C$310,MATCH(ROWS($A$16:A186),'Прайс-лист'!$T$11:$T$310,0)),"")</f>
        <v/>
      </c>
      <c r="E186" s="15" t="str">
        <f>IFERROR(INDEX('Прайс-лист'!$E$11:$E$310,MATCH(ROWS($A$16:A186),'Прайс-лист'!$T$11:$T$310,0)),"")</f>
        <v/>
      </c>
      <c r="F186" s="15" t="str">
        <f>IFERROR(INDEX('Прайс-лист'!$F$11:$F$310,MATCH(ROWS($A$16:A186),'Прайс-лист'!$T$11:$T$310,0)),"")</f>
        <v/>
      </c>
      <c r="G186" s="16" t="str">
        <f>IFERROR(INDEX('Прайс-лист'!$R$11:$R$310,MATCH(ROWS($A$16:A186),'Прайс-лист'!$T$11:$T$310,0)),"")</f>
        <v/>
      </c>
      <c r="H186" s="15" t="str">
        <f>IFERROR(INDEX('Прайс-лист'!$P$11:$P$310,MATCH(ROWS($A$16:A186),'Прайс-лист'!$T$11:$T$310,0)),"")</f>
        <v/>
      </c>
      <c r="I186" s="16" t="str">
        <f>IFERROR(INDEX('Прайс-лист'!$S$11:$S$310,MATCH(ROWS($A$16:A186),'Прайс-лист'!$T$11:$T$310,0)),"")</f>
        <v/>
      </c>
      <c r="J186" s="15" t="str">
        <f>IFERROR(INDEX('Прайс-лист'!$Q$11:$Q$310,MATCH(ROWS($A$16:A186),'Прайс-лист'!$T$11:$T$310,0)),"")</f>
        <v/>
      </c>
    </row>
    <row r="187" spans="1:10" ht="13.5" customHeight="1" x14ac:dyDescent="0.2">
      <c r="A187" s="15" t="str">
        <f>IFERROR(IF(INDEX('Прайс-лист'!$T$11:$T$310,MATCH(ROWS($A$16:A187),'Прайс-лист'!$T$11:$T$310,0))="","",ROWS($A$16:A187)),"")</f>
        <v/>
      </c>
      <c r="B187" s="15" t="str">
        <f>IFERROR(INDEX('Прайс-лист'!$A$11:$A$310,MATCH(ROWS($A$16:A187),'Прайс-лист'!$T$11:$T$310,0)),"")</f>
        <v/>
      </c>
      <c r="C187" s="15" t="str">
        <f>IFERROR(INDEX('Прайс-лист'!$B$11:$B$310,MATCH(ROWS($A$16:A187),'Прайс-лист'!$T$11:$T$310,0)),"")</f>
        <v/>
      </c>
      <c r="D187" s="15" t="str">
        <f>IFERROR(INDEX('Прайс-лист'!$C$11:$C$310,MATCH(ROWS($A$16:A187),'Прайс-лист'!$T$11:$T$310,0)),"")</f>
        <v/>
      </c>
      <c r="E187" s="15" t="str">
        <f>IFERROR(INDEX('Прайс-лист'!$E$11:$E$310,MATCH(ROWS($A$16:A187),'Прайс-лист'!$T$11:$T$310,0)),"")</f>
        <v/>
      </c>
      <c r="F187" s="15" t="str">
        <f>IFERROR(INDEX('Прайс-лист'!$F$11:$F$310,MATCH(ROWS($A$16:A187),'Прайс-лист'!$T$11:$T$310,0)),"")</f>
        <v/>
      </c>
      <c r="G187" s="16" t="str">
        <f>IFERROR(INDEX('Прайс-лист'!$R$11:$R$310,MATCH(ROWS($A$16:A187),'Прайс-лист'!$T$11:$T$310,0)),"")</f>
        <v/>
      </c>
      <c r="H187" s="15" t="str">
        <f>IFERROR(INDEX('Прайс-лист'!$P$11:$P$310,MATCH(ROWS($A$16:A187),'Прайс-лист'!$T$11:$T$310,0)),"")</f>
        <v/>
      </c>
      <c r="I187" s="16" t="str">
        <f>IFERROR(INDEX('Прайс-лист'!$S$11:$S$310,MATCH(ROWS($A$16:A187),'Прайс-лист'!$T$11:$T$310,0)),"")</f>
        <v/>
      </c>
      <c r="J187" s="15" t="str">
        <f>IFERROR(INDEX('Прайс-лист'!$Q$11:$Q$310,MATCH(ROWS($A$16:A187),'Прайс-лист'!$T$11:$T$310,0)),"")</f>
        <v/>
      </c>
    </row>
    <row r="188" spans="1:10" ht="13.5" customHeight="1" x14ac:dyDescent="0.2">
      <c r="A188" s="15" t="str">
        <f>IFERROR(IF(INDEX('Прайс-лист'!$T$11:$T$310,MATCH(ROWS($A$16:A188),'Прайс-лист'!$T$11:$T$310,0))="","",ROWS($A$16:A188)),"")</f>
        <v/>
      </c>
      <c r="B188" s="15" t="str">
        <f>IFERROR(INDEX('Прайс-лист'!$A$11:$A$310,MATCH(ROWS($A$16:A188),'Прайс-лист'!$T$11:$T$310,0)),"")</f>
        <v/>
      </c>
      <c r="C188" s="15" t="str">
        <f>IFERROR(INDEX('Прайс-лист'!$B$11:$B$310,MATCH(ROWS($A$16:A188),'Прайс-лист'!$T$11:$T$310,0)),"")</f>
        <v/>
      </c>
      <c r="D188" s="15" t="str">
        <f>IFERROR(INDEX('Прайс-лист'!$C$11:$C$310,MATCH(ROWS($A$16:A188),'Прайс-лист'!$T$11:$T$310,0)),"")</f>
        <v/>
      </c>
      <c r="E188" s="15" t="str">
        <f>IFERROR(INDEX('Прайс-лист'!$E$11:$E$310,MATCH(ROWS($A$16:A188),'Прайс-лист'!$T$11:$T$310,0)),"")</f>
        <v/>
      </c>
      <c r="F188" s="15" t="str">
        <f>IFERROR(INDEX('Прайс-лист'!$F$11:$F$310,MATCH(ROWS($A$16:A188),'Прайс-лист'!$T$11:$T$310,0)),"")</f>
        <v/>
      </c>
      <c r="G188" s="16" t="str">
        <f>IFERROR(INDEX('Прайс-лист'!$R$11:$R$310,MATCH(ROWS($A$16:A188),'Прайс-лист'!$T$11:$T$310,0)),"")</f>
        <v/>
      </c>
      <c r="H188" s="15" t="str">
        <f>IFERROR(INDEX('Прайс-лист'!$P$11:$P$310,MATCH(ROWS($A$16:A188),'Прайс-лист'!$T$11:$T$310,0)),"")</f>
        <v/>
      </c>
      <c r="I188" s="16" t="str">
        <f>IFERROR(INDEX('Прайс-лист'!$S$11:$S$310,MATCH(ROWS($A$16:A188),'Прайс-лист'!$T$11:$T$310,0)),"")</f>
        <v/>
      </c>
      <c r="J188" s="15" t="str">
        <f>IFERROR(INDEX('Прайс-лист'!$Q$11:$Q$310,MATCH(ROWS($A$16:A188),'Прайс-лист'!$T$11:$T$310,0)),"")</f>
        <v/>
      </c>
    </row>
    <row r="189" spans="1:10" ht="13.5" customHeight="1" x14ac:dyDescent="0.2">
      <c r="A189" s="15" t="str">
        <f>IFERROR(IF(INDEX('Прайс-лист'!$T$11:$T$310,MATCH(ROWS($A$16:A189),'Прайс-лист'!$T$11:$T$310,0))="","",ROWS($A$16:A189)),"")</f>
        <v/>
      </c>
      <c r="B189" s="15" t="str">
        <f>IFERROR(INDEX('Прайс-лист'!$A$11:$A$310,MATCH(ROWS($A$16:A189),'Прайс-лист'!$T$11:$T$310,0)),"")</f>
        <v/>
      </c>
      <c r="C189" s="15" t="str">
        <f>IFERROR(INDEX('Прайс-лист'!$B$11:$B$310,MATCH(ROWS($A$16:A189),'Прайс-лист'!$T$11:$T$310,0)),"")</f>
        <v/>
      </c>
      <c r="D189" s="15" t="str">
        <f>IFERROR(INDEX('Прайс-лист'!$C$11:$C$310,MATCH(ROWS($A$16:A189),'Прайс-лист'!$T$11:$T$310,0)),"")</f>
        <v/>
      </c>
      <c r="E189" s="15" t="str">
        <f>IFERROR(INDEX('Прайс-лист'!$E$11:$E$310,MATCH(ROWS($A$16:A189),'Прайс-лист'!$T$11:$T$310,0)),"")</f>
        <v/>
      </c>
      <c r="F189" s="15" t="str">
        <f>IFERROR(INDEX('Прайс-лист'!$F$11:$F$310,MATCH(ROWS($A$16:A189),'Прайс-лист'!$T$11:$T$310,0)),"")</f>
        <v/>
      </c>
      <c r="G189" s="16" t="str">
        <f>IFERROR(INDEX('Прайс-лист'!$R$11:$R$310,MATCH(ROWS($A$16:A189),'Прайс-лист'!$T$11:$T$310,0)),"")</f>
        <v/>
      </c>
      <c r="H189" s="15" t="str">
        <f>IFERROR(INDEX('Прайс-лист'!$P$11:$P$310,MATCH(ROWS($A$16:A189),'Прайс-лист'!$T$11:$T$310,0)),"")</f>
        <v/>
      </c>
      <c r="I189" s="16" t="str">
        <f>IFERROR(INDEX('Прайс-лист'!$S$11:$S$310,MATCH(ROWS($A$16:A189),'Прайс-лист'!$T$11:$T$310,0)),"")</f>
        <v/>
      </c>
      <c r="J189" s="15" t="str">
        <f>IFERROR(INDEX('Прайс-лист'!$Q$11:$Q$310,MATCH(ROWS($A$16:A189),'Прайс-лист'!$T$11:$T$310,0)),"")</f>
        <v/>
      </c>
    </row>
    <row r="190" spans="1:10" ht="13.5" customHeight="1" x14ac:dyDescent="0.2">
      <c r="A190" s="15" t="str">
        <f>IFERROR(IF(INDEX('Прайс-лист'!$T$11:$T$310,MATCH(ROWS($A$16:A190),'Прайс-лист'!$T$11:$T$310,0))="","",ROWS($A$16:A190)),"")</f>
        <v/>
      </c>
      <c r="B190" s="15" t="str">
        <f>IFERROR(INDEX('Прайс-лист'!$A$11:$A$310,MATCH(ROWS($A$16:A190),'Прайс-лист'!$T$11:$T$310,0)),"")</f>
        <v/>
      </c>
      <c r="C190" s="15" t="str">
        <f>IFERROR(INDEX('Прайс-лист'!$B$11:$B$310,MATCH(ROWS($A$16:A190),'Прайс-лист'!$T$11:$T$310,0)),"")</f>
        <v/>
      </c>
      <c r="D190" s="15" t="str">
        <f>IFERROR(INDEX('Прайс-лист'!$C$11:$C$310,MATCH(ROWS($A$16:A190),'Прайс-лист'!$T$11:$T$310,0)),"")</f>
        <v/>
      </c>
      <c r="E190" s="15" t="str">
        <f>IFERROR(INDEX('Прайс-лист'!$E$11:$E$310,MATCH(ROWS($A$16:A190),'Прайс-лист'!$T$11:$T$310,0)),"")</f>
        <v/>
      </c>
      <c r="F190" s="15" t="str">
        <f>IFERROR(INDEX('Прайс-лист'!$F$11:$F$310,MATCH(ROWS($A$16:A190),'Прайс-лист'!$T$11:$T$310,0)),"")</f>
        <v/>
      </c>
      <c r="G190" s="16" t="str">
        <f>IFERROR(INDEX('Прайс-лист'!$R$11:$R$310,MATCH(ROWS($A$16:A190),'Прайс-лист'!$T$11:$T$310,0)),"")</f>
        <v/>
      </c>
      <c r="H190" s="15" t="str">
        <f>IFERROR(INDEX('Прайс-лист'!$P$11:$P$310,MATCH(ROWS($A$16:A190),'Прайс-лист'!$T$11:$T$310,0)),"")</f>
        <v/>
      </c>
      <c r="I190" s="16" t="str">
        <f>IFERROR(INDEX('Прайс-лист'!$S$11:$S$310,MATCH(ROWS($A$16:A190),'Прайс-лист'!$T$11:$T$310,0)),"")</f>
        <v/>
      </c>
      <c r="J190" s="15" t="str">
        <f>IFERROR(INDEX('Прайс-лист'!$Q$11:$Q$310,MATCH(ROWS($A$16:A190),'Прайс-лист'!$T$11:$T$310,0)),"")</f>
        <v/>
      </c>
    </row>
    <row r="191" spans="1:10" ht="13.5" customHeight="1" x14ac:dyDescent="0.2">
      <c r="A191" s="15" t="str">
        <f>IFERROR(IF(INDEX('Прайс-лист'!$T$11:$T$310,MATCH(ROWS($A$16:A191),'Прайс-лист'!$T$11:$T$310,0))="","",ROWS($A$16:A191)),"")</f>
        <v/>
      </c>
      <c r="B191" s="15" t="str">
        <f>IFERROR(INDEX('Прайс-лист'!$A$11:$A$310,MATCH(ROWS($A$16:A191),'Прайс-лист'!$T$11:$T$310,0)),"")</f>
        <v/>
      </c>
      <c r="C191" s="15" t="str">
        <f>IFERROR(INDEX('Прайс-лист'!$B$11:$B$310,MATCH(ROWS($A$16:A191),'Прайс-лист'!$T$11:$T$310,0)),"")</f>
        <v/>
      </c>
      <c r="D191" s="15" t="str">
        <f>IFERROR(INDEX('Прайс-лист'!$C$11:$C$310,MATCH(ROWS($A$16:A191),'Прайс-лист'!$T$11:$T$310,0)),"")</f>
        <v/>
      </c>
      <c r="E191" s="15" t="str">
        <f>IFERROR(INDEX('Прайс-лист'!$E$11:$E$310,MATCH(ROWS($A$16:A191),'Прайс-лист'!$T$11:$T$310,0)),"")</f>
        <v/>
      </c>
      <c r="F191" s="15" t="str">
        <f>IFERROR(INDEX('Прайс-лист'!$F$11:$F$310,MATCH(ROWS($A$16:A191),'Прайс-лист'!$T$11:$T$310,0)),"")</f>
        <v/>
      </c>
      <c r="G191" s="16" t="str">
        <f>IFERROR(INDEX('Прайс-лист'!$R$11:$R$310,MATCH(ROWS($A$16:A191),'Прайс-лист'!$T$11:$T$310,0)),"")</f>
        <v/>
      </c>
      <c r="H191" s="15" t="str">
        <f>IFERROR(INDEX('Прайс-лист'!$P$11:$P$310,MATCH(ROWS($A$16:A191),'Прайс-лист'!$T$11:$T$310,0)),"")</f>
        <v/>
      </c>
      <c r="I191" s="16" t="str">
        <f>IFERROR(INDEX('Прайс-лист'!$S$11:$S$310,MATCH(ROWS($A$16:A191),'Прайс-лист'!$T$11:$T$310,0)),"")</f>
        <v/>
      </c>
      <c r="J191" s="15" t="str">
        <f>IFERROR(INDEX('Прайс-лист'!$Q$11:$Q$310,MATCH(ROWS($A$16:A191),'Прайс-лист'!$T$11:$T$310,0)),"")</f>
        <v/>
      </c>
    </row>
    <row r="192" spans="1:10" ht="13.5" customHeight="1" x14ac:dyDescent="0.2">
      <c r="A192" s="15" t="str">
        <f>IFERROR(IF(INDEX('Прайс-лист'!$T$11:$T$310,MATCH(ROWS($A$16:A192),'Прайс-лист'!$T$11:$T$310,0))="","",ROWS($A$16:A192)),"")</f>
        <v/>
      </c>
      <c r="B192" s="15" t="str">
        <f>IFERROR(INDEX('Прайс-лист'!$A$11:$A$310,MATCH(ROWS($A$16:A192),'Прайс-лист'!$T$11:$T$310,0)),"")</f>
        <v/>
      </c>
      <c r="C192" s="15" t="str">
        <f>IFERROR(INDEX('Прайс-лист'!$B$11:$B$310,MATCH(ROWS($A$16:A192),'Прайс-лист'!$T$11:$T$310,0)),"")</f>
        <v/>
      </c>
      <c r="D192" s="15" t="str">
        <f>IFERROR(INDEX('Прайс-лист'!$C$11:$C$310,MATCH(ROWS($A$16:A192),'Прайс-лист'!$T$11:$T$310,0)),"")</f>
        <v/>
      </c>
      <c r="E192" s="15" t="str">
        <f>IFERROR(INDEX('Прайс-лист'!$E$11:$E$310,MATCH(ROWS($A$16:A192),'Прайс-лист'!$T$11:$T$310,0)),"")</f>
        <v/>
      </c>
      <c r="F192" s="15" t="str">
        <f>IFERROR(INDEX('Прайс-лист'!$F$11:$F$310,MATCH(ROWS($A$16:A192),'Прайс-лист'!$T$11:$T$310,0)),"")</f>
        <v/>
      </c>
      <c r="G192" s="16" t="str">
        <f>IFERROR(INDEX('Прайс-лист'!$R$11:$R$310,MATCH(ROWS($A$16:A192),'Прайс-лист'!$T$11:$T$310,0)),"")</f>
        <v/>
      </c>
      <c r="H192" s="15" t="str">
        <f>IFERROR(INDEX('Прайс-лист'!$P$11:$P$310,MATCH(ROWS($A$16:A192),'Прайс-лист'!$T$11:$T$310,0)),"")</f>
        <v/>
      </c>
      <c r="I192" s="16" t="str">
        <f>IFERROR(INDEX('Прайс-лист'!$S$11:$S$310,MATCH(ROWS($A$16:A192),'Прайс-лист'!$T$11:$T$310,0)),"")</f>
        <v/>
      </c>
      <c r="J192" s="15" t="str">
        <f>IFERROR(INDEX('Прайс-лист'!$Q$11:$Q$310,MATCH(ROWS($A$16:A192),'Прайс-лист'!$T$11:$T$310,0)),"")</f>
        <v/>
      </c>
    </row>
    <row r="193" spans="1:10" ht="13.5" customHeight="1" x14ac:dyDescent="0.2">
      <c r="A193" s="15" t="str">
        <f>IFERROR(IF(INDEX('Прайс-лист'!$T$11:$T$310,MATCH(ROWS($A$16:A193),'Прайс-лист'!$T$11:$T$310,0))="","",ROWS($A$16:A193)),"")</f>
        <v/>
      </c>
      <c r="B193" s="15" t="str">
        <f>IFERROR(INDEX('Прайс-лист'!$A$11:$A$310,MATCH(ROWS($A$16:A193),'Прайс-лист'!$T$11:$T$310,0)),"")</f>
        <v/>
      </c>
      <c r="C193" s="15" t="str">
        <f>IFERROR(INDEX('Прайс-лист'!$B$11:$B$310,MATCH(ROWS($A$16:A193),'Прайс-лист'!$T$11:$T$310,0)),"")</f>
        <v/>
      </c>
      <c r="D193" s="15" t="str">
        <f>IFERROR(INDEX('Прайс-лист'!$C$11:$C$310,MATCH(ROWS($A$16:A193),'Прайс-лист'!$T$11:$T$310,0)),"")</f>
        <v/>
      </c>
      <c r="E193" s="15" t="str">
        <f>IFERROR(INDEX('Прайс-лист'!$E$11:$E$310,MATCH(ROWS($A$16:A193),'Прайс-лист'!$T$11:$T$310,0)),"")</f>
        <v/>
      </c>
      <c r="F193" s="15" t="str">
        <f>IFERROR(INDEX('Прайс-лист'!$F$11:$F$310,MATCH(ROWS($A$16:A193),'Прайс-лист'!$T$11:$T$310,0)),"")</f>
        <v/>
      </c>
      <c r="G193" s="16" t="str">
        <f>IFERROR(INDEX('Прайс-лист'!$R$11:$R$310,MATCH(ROWS($A$16:A193),'Прайс-лист'!$T$11:$T$310,0)),"")</f>
        <v/>
      </c>
      <c r="H193" s="15" t="str">
        <f>IFERROR(INDEX('Прайс-лист'!$P$11:$P$310,MATCH(ROWS($A$16:A193),'Прайс-лист'!$T$11:$T$310,0)),"")</f>
        <v/>
      </c>
      <c r="I193" s="16" t="str">
        <f>IFERROR(INDEX('Прайс-лист'!$S$11:$S$310,MATCH(ROWS($A$16:A193),'Прайс-лист'!$T$11:$T$310,0)),"")</f>
        <v/>
      </c>
      <c r="J193" s="15" t="str">
        <f>IFERROR(INDEX('Прайс-лист'!$Q$11:$Q$310,MATCH(ROWS($A$16:A193),'Прайс-лист'!$T$11:$T$310,0)),"")</f>
        <v/>
      </c>
    </row>
    <row r="194" spans="1:10" ht="13.5" customHeight="1" x14ac:dyDescent="0.2">
      <c r="A194" s="15" t="str">
        <f>IFERROR(IF(INDEX('Прайс-лист'!$T$11:$T$310,MATCH(ROWS($A$16:A194),'Прайс-лист'!$T$11:$T$310,0))="","",ROWS($A$16:A194)),"")</f>
        <v/>
      </c>
      <c r="B194" s="15" t="str">
        <f>IFERROR(INDEX('Прайс-лист'!$A$11:$A$310,MATCH(ROWS($A$16:A194),'Прайс-лист'!$T$11:$T$310,0)),"")</f>
        <v/>
      </c>
      <c r="C194" s="15" t="str">
        <f>IFERROR(INDEX('Прайс-лист'!$B$11:$B$310,MATCH(ROWS($A$16:A194),'Прайс-лист'!$T$11:$T$310,0)),"")</f>
        <v/>
      </c>
      <c r="D194" s="15" t="str">
        <f>IFERROR(INDEX('Прайс-лист'!$C$11:$C$310,MATCH(ROWS($A$16:A194),'Прайс-лист'!$T$11:$T$310,0)),"")</f>
        <v/>
      </c>
      <c r="E194" s="15" t="str">
        <f>IFERROR(INDEX('Прайс-лист'!$E$11:$E$310,MATCH(ROWS($A$16:A194),'Прайс-лист'!$T$11:$T$310,0)),"")</f>
        <v/>
      </c>
      <c r="F194" s="15" t="str">
        <f>IFERROR(INDEX('Прайс-лист'!$F$11:$F$310,MATCH(ROWS($A$16:A194),'Прайс-лист'!$T$11:$T$310,0)),"")</f>
        <v/>
      </c>
      <c r="G194" s="16" t="str">
        <f>IFERROR(INDEX('Прайс-лист'!$R$11:$R$310,MATCH(ROWS($A$16:A194),'Прайс-лист'!$T$11:$T$310,0)),"")</f>
        <v/>
      </c>
      <c r="H194" s="15" t="str">
        <f>IFERROR(INDEX('Прайс-лист'!$P$11:$P$310,MATCH(ROWS($A$16:A194),'Прайс-лист'!$T$11:$T$310,0)),"")</f>
        <v/>
      </c>
      <c r="I194" s="16" t="str">
        <f>IFERROR(INDEX('Прайс-лист'!$S$11:$S$310,MATCH(ROWS($A$16:A194),'Прайс-лист'!$T$11:$T$310,0)),"")</f>
        <v/>
      </c>
      <c r="J194" s="15" t="str">
        <f>IFERROR(INDEX('Прайс-лист'!$Q$11:$Q$310,MATCH(ROWS($A$16:A194),'Прайс-лист'!$T$11:$T$310,0)),"")</f>
        <v/>
      </c>
    </row>
    <row r="195" spans="1:10" ht="13.5" customHeight="1" x14ac:dyDescent="0.2">
      <c r="A195" s="15" t="str">
        <f>IFERROR(IF(INDEX('Прайс-лист'!$T$11:$T$310,MATCH(ROWS($A$16:A195),'Прайс-лист'!$T$11:$T$310,0))="","",ROWS($A$16:A195)),"")</f>
        <v/>
      </c>
      <c r="B195" s="15" t="str">
        <f>IFERROR(INDEX('Прайс-лист'!$A$11:$A$310,MATCH(ROWS($A$16:A195),'Прайс-лист'!$T$11:$T$310,0)),"")</f>
        <v/>
      </c>
      <c r="C195" s="15" t="str">
        <f>IFERROR(INDEX('Прайс-лист'!$B$11:$B$310,MATCH(ROWS($A$16:A195),'Прайс-лист'!$T$11:$T$310,0)),"")</f>
        <v/>
      </c>
      <c r="D195" s="15" t="str">
        <f>IFERROR(INDEX('Прайс-лист'!$C$11:$C$310,MATCH(ROWS($A$16:A195),'Прайс-лист'!$T$11:$T$310,0)),"")</f>
        <v/>
      </c>
      <c r="E195" s="15" t="str">
        <f>IFERROR(INDEX('Прайс-лист'!$E$11:$E$310,MATCH(ROWS($A$16:A195),'Прайс-лист'!$T$11:$T$310,0)),"")</f>
        <v/>
      </c>
      <c r="F195" s="15" t="str">
        <f>IFERROR(INDEX('Прайс-лист'!$F$11:$F$310,MATCH(ROWS($A$16:A195),'Прайс-лист'!$T$11:$T$310,0)),"")</f>
        <v/>
      </c>
      <c r="G195" s="16" t="str">
        <f>IFERROR(INDEX('Прайс-лист'!$R$11:$R$310,MATCH(ROWS($A$16:A195),'Прайс-лист'!$T$11:$T$310,0)),"")</f>
        <v/>
      </c>
      <c r="H195" s="15" t="str">
        <f>IFERROR(INDEX('Прайс-лист'!$P$11:$P$310,MATCH(ROWS($A$16:A195),'Прайс-лист'!$T$11:$T$310,0)),"")</f>
        <v/>
      </c>
      <c r="I195" s="16" t="str">
        <f>IFERROR(INDEX('Прайс-лист'!$S$11:$S$310,MATCH(ROWS($A$16:A195),'Прайс-лист'!$T$11:$T$310,0)),"")</f>
        <v/>
      </c>
      <c r="J195" s="15" t="str">
        <f>IFERROR(INDEX('Прайс-лист'!$Q$11:$Q$310,MATCH(ROWS($A$16:A195),'Прайс-лист'!$T$11:$T$310,0)),"")</f>
        <v/>
      </c>
    </row>
    <row r="196" spans="1:10" ht="13.5" customHeight="1" x14ac:dyDescent="0.2">
      <c r="A196" s="15" t="str">
        <f>IFERROR(IF(INDEX('Прайс-лист'!$T$11:$T$310,MATCH(ROWS($A$16:A196),'Прайс-лист'!$T$11:$T$310,0))="","",ROWS($A$16:A196)),"")</f>
        <v/>
      </c>
      <c r="B196" s="15" t="str">
        <f>IFERROR(INDEX('Прайс-лист'!$A$11:$A$310,MATCH(ROWS($A$16:A196),'Прайс-лист'!$T$11:$T$310,0)),"")</f>
        <v/>
      </c>
      <c r="C196" s="15" t="str">
        <f>IFERROR(INDEX('Прайс-лист'!$B$11:$B$310,MATCH(ROWS($A$16:A196),'Прайс-лист'!$T$11:$T$310,0)),"")</f>
        <v/>
      </c>
      <c r="D196" s="15" t="str">
        <f>IFERROR(INDEX('Прайс-лист'!$C$11:$C$310,MATCH(ROWS($A$16:A196),'Прайс-лист'!$T$11:$T$310,0)),"")</f>
        <v/>
      </c>
      <c r="E196" s="15" t="str">
        <f>IFERROR(INDEX('Прайс-лист'!$E$11:$E$310,MATCH(ROWS($A$16:A196),'Прайс-лист'!$T$11:$T$310,0)),"")</f>
        <v/>
      </c>
      <c r="F196" s="15" t="str">
        <f>IFERROR(INDEX('Прайс-лист'!$F$11:$F$310,MATCH(ROWS($A$16:A196),'Прайс-лист'!$T$11:$T$310,0)),"")</f>
        <v/>
      </c>
      <c r="G196" s="16" t="str">
        <f>IFERROR(INDEX('Прайс-лист'!$R$11:$R$310,MATCH(ROWS($A$16:A196),'Прайс-лист'!$T$11:$T$310,0)),"")</f>
        <v/>
      </c>
      <c r="H196" s="15" t="str">
        <f>IFERROR(INDEX('Прайс-лист'!$P$11:$P$310,MATCH(ROWS($A$16:A196),'Прайс-лист'!$T$11:$T$310,0)),"")</f>
        <v/>
      </c>
      <c r="I196" s="16" t="str">
        <f>IFERROR(INDEX('Прайс-лист'!$S$11:$S$310,MATCH(ROWS($A$16:A196),'Прайс-лист'!$T$11:$T$310,0)),"")</f>
        <v/>
      </c>
      <c r="J196" s="15" t="str">
        <f>IFERROR(INDEX('Прайс-лист'!$Q$11:$Q$310,MATCH(ROWS($A$16:A196),'Прайс-лист'!$T$11:$T$310,0)),"")</f>
        <v/>
      </c>
    </row>
    <row r="197" spans="1:10" ht="13.5" customHeight="1" x14ac:dyDescent="0.2">
      <c r="A197" s="15" t="str">
        <f>IFERROR(IF(INDEX('Прайс-лист'!$T$11:$T$310,MATCH(ROWS($A$16:A197),'Прайс-лист'!$T$11:$T$310,0))="","",ROWS($A$16:A197)),"")</f>
        <v/>
      </c>
      <c r="B197" s="15" t="str">
        <f>IFERROR(INDEX('Прайс-лист'!$A$11:$A$310,MATCH(ROWS($A$16:A197),'Прайс-лист'!$T$11:$T$310,0)),"")</f>
        <v/>
      </c>
      <c r="C197" s="15" t="str">
        <f>IFERROR(INDEX('Прайс-лист'!$B$11:$B$310,MATCH(ROWS($A$16:A197),'Прайс-лист'!$T$11:$T$310,0)),"")</f>
        <v/>
      </c>
      <c r="D197" s="15" t="str">
        <f>IFERROR(INDEX('Прайс-лист'!$C$11:$C$310,MATCH(ROWS($A$16:A197),'Прайс-лист'!$T$11:$T$310,0)),"")</f>
        <v/>
      </c>
      <c r="E197" s="15" t="str">
        <f>IFERROR(INDEX('Прайс-лист'!$E$11:$E$310,MATCH(ROWS($A$16:A197),'Прайс-лист'!$T$11:$T$310,0)),"")</f>
        <v/>
      </c>
      <c r="F197" s="15" t="str">
        <f>IFERROR(INDEX('Прайс-лист'!$F$11:$F$310,MATCH(ROWS($A$16:A197),'Прайс-лист'!$T$11:$T$310,0)),"")</f>
        <v/>
      </c>
      <c r="G197" s="16" t="str">
        <f>IFERROR(INDEX('Прайс-лист'!$R$11:$R$310,MATCH(ROWS($A$16:A197),'Прайс-лист'!$T$11:$T$310,0)),"")</f>
        <v/>
      </c>
      <c r="H197" s="15" t="str">
        <f>IFERROR(INDEX('Прайс-лист'!$P$11:$P$310,MATCH(ROWS($A$16:A197),'Прайс-лист'!$T$11:$T$310,0)),"")</f>
        <v/>
      </c>
      <c r="I197" s="16" t="str">
        <f>IFERROR(INDEX('Прайс-лист'!$S$11:$S$310,MATCH(ROWS($A$16:A197),'Прайс-лист'!$T$11:$T$310,0)),"")</f>
        <v/>
      </c>
      <c r="J197" s="15" t="str">
        <f>IFERROR(INDEX('Прайс-лист'!$Q$11:$Q$310,MATCH(ROWS($A$16:A197),'Прайс-лист'!$T$11:$T$310,0)),"")</f>
        <v/>
      </c>
    </row>
    <row r="198" spans="1:10" ht="13.5" customHeight="1" x14ac:dyDescent="0.2">
      <c r="A198" s="15" t="str">
        <f>IFERROR(IF(INDEX('Прайс-лист'!$T$11:$T$310,MATCH(ROWS($A$16:A198),'Прайс-лист'!$T$11:$T$310,0))="","",ROWS($A$16:A198)),"")</f>
        <v/>
      </c>
      <c r="B198" s="15" t="str">
        <f>IFERROR(INDEX('Прайс-лист'!$A$11:$A$310,MATCH(ROWS($A$16:A198),'Прайс-лист'!$T$11:$T$310,0)),"")</f>
        <v/>
      </c>
      <c r="C198" s="15" t="str">
        <f>IFERROR(INDEX('Прайс-лист'!$B$11:$B$310,MATCH(ROWS($A$16:A198),'Прайс-лист'!$T$11:$T$310,0)),"")</f>
        <v/>
      </c>
      <c r="D198" s="15" t="str">
        <f>IFERROR(INDEX('Прайс-лист'!$C$11:$C$310,MATCH(ROWS($A$16:A198),'Прайс-лист'!$T$11:$T$310,0)),"")</f>
        <v/>
      </c>
      <c r="E198" s="15" t="str">
        <f>IFERROR(INDEX('Прайс-лист'!$E$11:$E$310,MATCH(ROWS($A$16:A198),'Прайс-лист'!$T$11:$T$310,0)),"")</f>
        <v/>
      </c>
      <c r="F198" s="15" t="str">
        <f>IFERROR(INDEX('Прайс-лист'!$F$11:$F$310,MATCH(ROWS($A$16:A198),'Прайс-лист'!$T$11:$T$310,0)),"")</f>
        <v/>
      </c>
      <c r="G198" s="16" t="str">
        <f>IFERROR(INDEX('Прайс-лист'!$R$11:$R$310,MATCH(ROWS($A$16:A198),'Прайс-лист'!$T$11:$T$310,0)),"")</f>
        <v/>
      </c>
      <c r="H198" s="15" t="str">
        <f>IFERROR(INDEX('Прайс-лист'!$P$11:$P$310,MATCH(ROWS($A$16:A198),'Прайс-лист'!$T$11:$T$310,0)),"")</f>
        <v/>
      </c>
      <c r="I198" s="16" t="str">
        <f>IFERROR(INDEX('Прайс-лист'!$S$11:$S$310,MATCH(ROWS($A$16:A198),'Прайс-лист'!$T$11:$T$310,0)),"")</f>
        <v/>
      </c>
      <c r="J198" s="15" t="str">
        <f>IFERROR(INDEX('Прайс-лист'!$Q$11:$Q$310,MATCH(ROWS($A$16:A198),'Прайс-лист'!$T$11:$T$310,0)),"")</f>
        <v/>
      </c>
    </row>
    <row r="199" spans="1:10" ht="13.5" customHeight="1" x14ac:dyDescent="0.2">
      <c r="A199" s="15" t="str">
        <f>IFERROR(IF(INDEX('Прайс-лист'!$T$11:$T$310,MATCH(ROWS($A$16:A199),'Прайс-лист'!$T$11:$T$310,0))="","",ROWS($A$16:A199)),"")</f>
        <v/>
      </c>
      <c r="B199" s="15" t="str">
        <f>IFERROR(INDEX('Прайс-лист'!$A$11:$A$310,MATCH(ROWS($A$16:A199),'Прайс-лист'!$T$11:$T$310,0)),"")</f>
        <v/>
      </c>
      <c r="C199" s="15" t="str">
        <f>IFERROR(INDEX('Прайс-лист'!$B$11:$B$310,MATCH(ROWS($A$16:A199),'Прайс-лист'!$T$11:$T$310,0)),"")</f>
        <v/>
      </c>
      <c r="D199" s="15" t="str">
        <f>IFERROR(INDEX('Прайс-лист'!$C$11:$C$310,MATCH(ROWS($A$16:A199),'Прайс-лист'!$T$11:$T$310,0)),"")</f>
        <v/>
      </c>
      <c r="E199" s="15" t="str">
        <f>IFERROR(INDEX('Прайс-лист'!$E$11:$E$310,MATCH(ROWS($A$16:A199),'Прайс-лист'!$T$11:$T$310,0)),"")</f>
        <v/>
      </c>
      <c r="F199" s="15" t="str">
        <f>IFERROR(INDEX('Прайс-лист'!$F$11:$F$310,MATCH(ROWS($A$16:A199),'Прайс-лист'!$T$11:$T$310,0)),"")</f>
        <v/>
      </c>
      <c r="G199" s="16" t="str">
        <f>IFERROR(INDEX('Прайс-лист'!$R$11:$R$310,MATCH(ROWS($A$16:A199),'Прайс-лист'!$T$11:$T$310,0)),"")</f>
        <v/>
      </c>
      <c r="H199" s="15" t="str">
        <f>IFERROR(INDEX('Прайс-лист'!$P$11:$P$310,MATCH(ROWS($A$16:A199),'Прайс-лист'!$T$11:$T$310,0)),"")</f>
        <v/>
      </c>
      <c r="I199" s="16" t="str">
        <f>IFERROR(INDEX('Прайс-лист'!$S$11:$S$310,MATCH(ROWS($A$16:A199),'Прайс-лист'!$T$11:$T$310,0)),"")</f>
        <v/>
      </c>
      <c r="J199" s="15" t="str">
        <f>IFERROR(INDEX('Прайс-лист'!$Q$11:$Q$310,MATCH(ROWS($A$16:A199),'Прайс-лист'!$T$11:$T$310,0)),"")</f>
        <v/>
      </c>
    </row>
    <row r="200" spans="1:10" ht="13.5" customHeight="1" x14ac:dyDescent="0.2">
      <c r="A200" s="15" t="str">
        <f>IFERROR(IF(INDEX('Прайс-лист'!$T$11:$T$310,MATCH(ROWS($A$16:A200),'Прайс-лист'!$T$11:$T$310,0))="","",ROWS($A$16:A200)),"")</f>
        <v/>
      </c>
      <c r="B200" s="15" t="str">
        <f>IFERROR(INDEX('Прайс-лист'!$A$11:$A$310,MATCH(ROWS($A$16:A200),'Прайс-лист'!$T$11:$T$310,0)),"")</f>
        <v/>
      </c>
      <c r="C200" s="15" t="str">
        <f>IFERROR(INDEX('Прайс-лист'!$B$11:$B$310,MATCH(ROWS($A$16:A200),'Прайс-лист'!$T$11:$T$310,0)),"")</f>
        <v/>
      </c>
      <c r="D200" s="15" t="str">
        <f>IFERROR(INDEX('Прайс-лист'!$C$11:$C$310,MATCH(ROWS($A$16:A200),'Прайс-лист'!$T$11:$T$310,0)),"")</f>
        <v/>
      </c>
      <c r="E200" s="15" t="str">
        <f>IFERROR(INDEX('Прайс-лист'!$E$11:$E$310,MATCH(ROWS($A$16:A200),'Прайс-лист'!$T$11:$T$310,0)),"")</f>
        <v/>
      </c>
      <c r="F200" s="15" t="str">
        <f>IFERROR(INDEX('Прайс-лист'!$F$11:$F$310,MATCH(ROWS($A$16:A200),'Прайс-лист'!$T$11:$T$310,0)),"")</f>
        <v/>
      </c>
      <c r="G200" s="16" t="str">
        <f>IFERROR(INDEX('Прайс-лист'!$R$11:$R$310,MATCH(ROWS($A$16:A200),'Прайс-лист'!$T$11:$T$310,0)),"")</f>
        <v/>
      </c>
      <c r="H200" s="15" t="str">
        <f>IFERROR(INDEX('Прайс-лист'!$P$11:$P$310,MATCH(ROWS($A$16:A200),'Прайс-лист'!$T$11:$T$310,0)),"")</f>
        <v/>
      </c>
      <c r="I200" s="16" t="str">
        <f>IFERROR(INDEX('Прайс-лист'!$S$11:$S$310,MATCH(ROWS($A$16:A200),'Прайс-лист'!$T$11:$T$310,0)),"")</f>
        <v/>
      </c>
      <c r="J200" s="15" t="str">
        <f>IFERROR(INDEX('Прайс-лист'!$Q$11:$Q$310,MATCH(ROWS($A$16:A200),'Прайс-лист'!$T$11:$T$310,0)),"")</f>
        <v/>
      </c>
    </row>
    <row r="201" spans="1:10" ht="13.5" customHeight="1" x14ac:dyDescent="0.2">
      <c r="A201" s="15" t="str">
        <f>IFERROR(IF(INDEX('Прайс-лист'!$T$11:$T$310,MATCH(ROWS($A$16:A201),'Прайс-лист'!$T$11:$T$310,0))="","",ROWS($A$16:A201)),"")</f>
        <v/>
      </c>
      <c r="B201" s="15" t="str">
        <f>IFERROR(INDEX('Прайс-лист'!$A$11:$A$310,MATCH(ROWS($A$16:A201),'Прайс-лист'!$T$11:$T$310,0)),"")</f>
        <v/>
      </c>
      <c r="C201" s="15" t="str">
        <f>IFERROR(INDEX('Прайс-лист'!$B$11:$B$310,MATCH(ROWS($A$16:A201),'Прайс-лист'!$T$11:$T$310,0)),"")</f>
        <v/>
      </c>
      <c r="D201" s="15" t="str">
        <f>IFERROR(INDEX('Прайс-лист'!$C$11:$C$310,MATCH(ROWS($A$16:A201),'Прайс-лист'!$T$11:$T$310,0)),"")</f>
        <v/>
      </c>
      <c r="E201" s="15" t="str">
        <f>IFERROR(INDEX('Прайс-лист'!$E$11:$E$310,MATCH(ROWS($A$16:A201),'Прайс-лист'!$T$11:$T$310,0)),"")</f>
        <v/>
      </c>
      <c r="F201" s="15" t="str">
        <f>IFERROR(INDEX('Прайс-лист'!$F$11:$F$310,MATCH(ROWS($A$16:A201),'Прайс-лист'!$T$11:$T$310,0)),"")</f>
        <v/>
      </c>
      <c r="G201" s="16" t="str">
        <f>IFERROR(INDEX('Прайс-лист'!$R$11:$R$310,MATCH(ROWS($A$16:A201),'Прайс-лист'!$T$11:$T$310,0)),"")</f>
        <v/>
      </c>
      <c r="H201" s="15" t="str">
        <f>IFERROR(INDEX('Прайс-лист'!$P$11:$P$310,MATCH(ROWS($A$16:A201),'Прайс-лист'!$T$11:$T$310,0)),"")</f>
        <v/>
      </c>
      <c r="I201" s="16" t="str">
        <f>IFERROR(INDEX('Прайс-лист'!$S$11:$S$310,MATCH(ROWS($A$16:A201),'Прайс-лист'!$T$11:$T$310,0)),"")</f>
        <v/>
      </c>
      <c r="J201" s="15" t="str">
        <f>IFERROR(INDEX('Прайс-лист'!$Q$11:$Q$310,MATCH(ROWS($A$16:A201),'Прайс-лист'!$T$11:$T$310,0)),"")</f>
        <v/>
      </c>
    </row>
    <row r="202" spans="1:10" ht="13.5" customHeight="1" x14ac:dyDescent="0.2">
      <c r="A202" s="15" t="str">
        <f>IFERROR(IF(INDEX('Прайс-лист'!$T$11:$T$310,MATCH(ROWS($A$16:A202),'Прайс-лист'!$T$11:$T$310,0))="","",ROWS($A$16:A202)),"")</f>
        <v/>
      </c>
      <c r="B202" s="15" t="str">
        <f>IFERROR(INDEX('Прайс-лист'!$A$11:$A$310,MATCH(ROWS($A$16:A202),'Прайс-лист'!$T$11:$T$310,0)),"")</f>
        <v/>
      </c>
      <c r="C202" s="15" t="str">
        <f>IFERROR(INDEX('Прайс-лист'!$B$11:$B$310,MATCH(ROWS($A$16:A202),'Прайс-лист'!$T$11:$T$310,0)),"")</f>
        <v/>
      </c>
      <c r="D202" s="15" t="str">
        <f>IFERROR(INDEX('Прайс-лист'!$C$11:$C$310,MATCH(ROWS($A$16:A202),'Прайс-лист'!$T$11:$T$310,0)),"")</f>
        <v/>
      </c>
      <c r="E202" s="15" t="str">
        <f>IFERROR(INDEX('Прайс-лист'!$E$11:$E$310,MATCH(ROWS($A$16:A202),'Прайс-лист'!$T$11:$T$310,0)),"")</f>
        <v/>
      </c>
      <c r="F202" s="15" t="str">
        <f>IFERROR(INDEX('Прайс-лист'!$F$11:$F$310,MATCH(ROWS($A$16:A202),'Прайс-лист'!$T$11:$T$310,0)),"")</f>
        <v/>
      </c>
      <c r="G202" s="16" t="str">
        <f>IFERROR(INDEX('Прайс-лист'!$R$11:$R$310,MATCH(ROWS($A$16:A202),'Прайс-лист'!$T$11:$T$310,0)),"")</f>
        <v/>
      </c>
      <c r="H202" s="15" t="str">
        <f>IFERROR(INDEX('Прайс-лист'!$P$11:$P$310,MATCH(ROWS($A$16:A202),'Прайс-лист'!$T$11:$T$310,0)),"")</f>
        <v/>
      </c>
      <c r="I202" s="16" t="str">
        <f>IFERROR(INDEX('Прайс-лист'!$S$11:$S$310,MATCH(ROWS($A$16:A202),'Прайс-лист'!$T$11:$T$310,0)),"")</f>
        <v/>
      </c>
      <c r="J202" s="15" t="str">
        <f>IFERROR(INDEX('Прайс-лист'!$Q$11:$Q$310,MATCH(ROWS($A$16:A202),'Прайс-лист'!$T$11:$T$310,0)),"")</f>
        <v/>
      </c>
    </row>
    <row r="203" spans="1:10" ht="13.5" customHeight="1" x14ac:dyDescent="0.2">
      <c r="A203" s="15" t="str">
        <f>IFERROR(IF(INDEX('Прайс-лист'!$T$11:$T$310,MATCH(ROWS($A$16:A203),'Прайс-лист'!$T$11:$T$310,0))="","",ROWS($A$16:A203)),"")</f>
        <v/>
      </c>
      <c r="B203" s="15" t="str">
        <f>IFERROR(INDEX('Прайс-лист'!$A$11:$A$310,MATCH(ROWS($A$16:A203),'Прайс-лист'!$T$11:$T$310,0)),"")</f>
        <v/>
      </c>
      <c r="C203" s="15" t="str">
        <f>IFERROR(INDEX('Прайс-лист'!$B$11:$B$310,MATCH(ROWS($A$16:A203),'Прайс-лист'!$T$11:$T$310,0)),"")</f>
        <v/>
      </c>
      <c r="D203" s="15" t="str">
        <f>IFERROR(INDEX('Прайс-лист'!$C$11:$C$310,MATCH(ROWS($A$16:A203),'Прайс-лист'!$T$11:$T$310,0)),"")</f>
        <v/>
      </c>
      <c r="E203" s="15" t="str">
        <f>IFERROR(INDEX('Прайс-лист'!$E$11:$E$310,MATCH(ROWS($A$16:A203),'Прайс-лист'!$T$11:$T$310,0)),"")</f>
        <v/>
      </c>
      <c r="F203" s="15" t="str">
        <f>IFERROR(INDEX('Прайс-лист'!$F$11:$F$310,MATCH(ROWS($A$16:A203),'Прайс-лист'!$T$11:$T$310,0)),"")</f>
        <v/>
      </c>
      <c r="G203" s="16" t="str">
        <f>IFERROR(INDEX('Прайс-лист'!$R$11:$R$310,MATCH(ROWS($A$16:A203),'Прайс-лист'!$T$11:$T$310,0)),"")</f>
        <v/>
      </c>
      <c r="H203" s="15" t="str">
        <f>IFERROR(INDEX('Прайс-лист'!$P$11:$P$310,MATCH(ROWS($A$16:A203),'Прайс-лист'!$T$11:$T$310,0)),"")</f>
        <v/>
      </c>
      <c r="I203" s="16" t="str">
        <f>IFERROR(INDEX('Прайс-лист'!$S$11:$S$310,MATCH(ROWS($A$16:A203),'Прайс-лист'!$T$11:$T$310,0)),"")</f>
        <v/>
      </c>
      <c r="J203" s="15" t="str">
        <f>IFERROR(INDEX('Прайс-лист'!$Q$11:$Q$310,MATCH(ROWS($A$16:A203),'Прайс-лист'!$T$11:$T$310,0)),"")</f>
        <v/>
      </c>
    </row>
    <row r="204" spans="1:10" ht="13.5" customHeight="1" x14ac:dyDescent="0.2">
      <c r="A204" s="15" t="str">
        <f>IFERROR(IF(INDEX('Прайс-лист'!$T$11:$T$310,MATCH(ROWS($A$16:A204),'Прайс-лист'!$T$11:$T$310,0))="","",ROWS($A$16:A204)),"")</f>
        <v/>
      </c>
      <c r="B204" s="15" t="str">
        <f>IFERROR(INDEX('Прайс-лист'!$A$11:$A$310,MATCH(ROWS($A$16:A204),'Прайс-лист'!$T$11:$T$310,0)),"")</f>
        <v/>
      </c>
      <c r="C204" s="15" t="str">
        <f>IFERROR(INDEX('Прайс-лист'!$B$11:$B$310,MATCH(ROWS($A$16:A204),'Прайс-лист'!$T$11:$T$310,0)),"")</f>
        <v/>
      </c>
      <c r="D204" s="15" t="str">
        <f>IFERROR(INDEX('Прайс-лист'!$C$11:$C$310,MATCH(ROWS($A$16:A204),'Прайс-лист'!$T$11:$T$310,0)),"")</f>
        <v/>
      </c>
      <c r="E204" s="15" t="str">
        <f>IFERROR(INDEX('Прайс-лист'!$E$11:$E$310,MATCH(ROWS($A$16:A204),'Прайс-лист'!$T$11:$T$310,0)),"")</f>
        <v/>
      </c>
      <c r="F204" s="15" t="str">
        <f>IFERROR(INDEX('Прайс-лист'!$F$11:$F$310,MATCH(ROWS($A$16:A204),'Прайс-лист'!$T$11:$T$310,0)),"")</f>
        <v/>
      </c>
      <c r="G204" s="16" t="str">
        <f>IFERROR(INDEX('Прайс-лист'!$R$11:$R$310,MATCH(ROWS($A$16:A204),'Прайс-лист'!$T$11:$T$310,0)),"")</f>
        <v/>
      </c>
      <c r="H204" s="15" t="str">
        <f>IFERROR(INDEX('Прайс-лист'!$P$11:$P$310,MATCH(ROWS($A$16:A204),'Прайс-лист'!$T$11:$T$310,0)),"")</f>
        <v/>
      </c>
      <c r="I204" s="16" t="str">
        <f>IFERROR(INDEX('Прайс-лист'!$S$11:$S$310,MATCH(ROWS($A$16:A204),'Прайс-лист'!$T$11:$T$310,0)),"")</f>
        <v/>
      </c>
      <c r="J204" s="15" t="str">
        <f>IFERROR(INDEX('Прайс-лист'!$Q$11:$Q$310,MATCH(ROWS($A$16:A204),'Прайс-лист'!$T$11:$T$310,0)),"")</f>
        <v/>
      </c>
    </row>
    <row r="205" spans="1:10" ht="13.5" customHeight="1" x14ac:dyDescent="0.2">
      <c r="A205" s="15" t="str">
        <f>IFERROR(IF(INDEX('Прайс-лист'!$T$11:$T$310,MATCH(ROWS($A$16:A205),'Прайс-лист'!$T$11:$T$310,0))="","",ROWS($A$16:A205)),"")</f>
        <v/>
      </c>
      <c r="B205" s="15" t="str">
        <f>IFERROR(INDEX('Прайс-лист'!$A$11:$A$310,MATCH(ROWS($A$16:A205),'Прайс-лист'!$T$11:$T$310,0)),"")</f>
        <v/>
      </c>
      <c r="C205" s="15" t="str">
        <f>IFERROR(INDEX('Прайс-лист'!$B$11:$B$310,MATCH(ROWS($A$16:A205),'Прайс-лист'!$T$11:$T$310,0)),"")</f>
        <v/>
      </c>
      <c r="D205" s="15" t="str">
        <f>IFERROR(INDEX('Прайс-лист'!$C$11:$C$310,MATCH(ROWS($A$16:A205),'Прайс-лист'!$T$11:$T$310,0)),"")</f>
        <v/>
      </c>
      <c r="E205" s="15" t="str">
        <f>IFERROR(INDEX('Прайс-лист'!$E$11:$E$310,MATCH(ROWS($A$16:A205),'Прайс-лист'!$T$11:$T$310,0)),"")</f>
        <v/>
      </c>
      <c r="F205" s="15" t="str">
        <f>IFERROR(INDEX('Прайс-лист'!$F$11:$F$310,MATCH(ROWS($A$16:A205),'Прайс-лист'!$T$11:$T$310,0)),"")</f>
        <v/>
      </c>
      <c r="G205" s="16" t="str">
        <f>IFERROR(INDEX('Прайс-лист'!$R$11:$R$310,MATCH(ROWS($A$16:A205),'Прайс-лист'!$T$11:$T$310,0)),"")</f>
        <v/>
      </c>
      <c r="H205" s="15" t="str">
        <f>IFERROR(INDEX('Прайс-лист'!$P$11:$P$310,MATCH(ROWS($A$16:A205),'Прайс-лист'!$T$11:$T$310,0)),"")</f>
        <v/>
      </c>
      <c r="I205" s="16" t="str">
        <f>IFERROR(INDEX('Прайс-лист'!$S$11:$S$310,MATCH(ROWS($A$16:A205),'Прайс-лист'!$T$11:$T$310,0)),"")</f>
        <v/>
      </c>
      <c r="J205" s="15" t="str">
        <f>IFERROR(INDEX('Прайс-лист'!$Q$11:$Q$310,MATCH(ROWS($A$16:A205),'Прайс-лист'!$T$11:$T$310,0)),"")</f>
        <v/>
      </c>
    </row>
    <row r="206" spans="1:10" ht="13.5" customHeight="1" x14ac:dyDescent="0.2">
      <c r="A206" s="15" t="str">
        <f>IFERROR(IF(INDEX('Прайс-лист'!$T$11:$T$310,MATCH(ROWS($A$16:A206),'Прайс-лист'!$T$11:$T$310,0))="","",ROWS($A$16:A206)),"")</f>
        <v/>
      </c>
      <c r="B206" s="15" t="str">
        <f>IFERROR(INDEX('Прайс-лист'!$A$11:$A$310,MATCH(ROWS($A$16:A206),'Прайс-лист'!$T$11:$T$310,0)),"")</f>
        <v/>
      </c>
      <c r="C206" s="15" t="str">
        <f>IFERROR(INDEX('Прайс-лист'!$B$11:$B$310,MATCH(ROWS($A$16:A206),'Прайс-лист'!$T$11:$T$310,0)),"")</f>
        <v/>
      </c>
      <c r="D206" s="15" t="str">
        <f>IFERROR(INDEX('Прайс-лист'!$C$11:$C$310,MATCH(ROWS($A$16:A206),'Прайс-лист'!$T$11:$T$310,0)),"")</f>
        <v/>
      </c>
      <c r="E206" s="15" t="str">
        <f>IFERROR(INDEX('Прайс-лист'!$E$11:$E$310,MATCH(ROWS($A$16:A206),'Прайс-лист'!$T$11:$T$310,0)),"")</f>
        <v/>
      </c>
      <c r="F206" s="15" t="str">
        <f>IFERROR(INDEX('Прайс-лист'!$F$11:$F$310,MATCH(ROWS($A$16:A206),'Прайс-лист'!$T$11:$T$310,0)),"")</f>
        <v/>
      </c>
      <c r="G206" s="16" t="str">
        <f>IFERROR(INDEX('Прайс-лист'!$R$11:$R$310,MATCH(ROWS($A$16:A206),'Прайс-лист'!$T$11:$T$310,0)),"")</f>
        <v/>
      </c>
      <c r="H206" s="15" t="str">
        <f>IFERROR(INDEX('Прайс-лист'!$P$11:$P$310,MATCH(ROWS($A$16:A206),'Прайс-лист'!$T$11:$T$310,0)),"")</f>
        <v/>
      </c>
      <c r="I206" s="16" t="str">
        <f>IFERROR(INDEX('Прайс-лист'!$S$11:$S$310,MATCH(ROWS($A$16:A206),'Прайс-лист'!$T$11:$T$310,0)),"")</f>
        <v/>
      </c>
      <c r="J206" s="15" t="str">
        <f>IFERROR(INDEX('Прайс-лист'!$Q$11:$Q$310,MATCH(ROWS($A$16:A206),'Прайс-лист'!$T$11:$T$310,0)),"")</f>
        <v/>
      </c>
    </row>
    <row r="207" spans="1:10" ht="13.5" customHeight="1" x14ac:dyDescent="0.2">
      <c r="A207" s="15" t="str">
        <f>IFERROR(IF(INDEX('Прайс-лист'!$T$11:$T$310,MATCH(ROWS($A$16:A207),'Прайс-лист'!$T$11:$T$310,0))="","",ROWS($A$16:A207)),"")</f>
        <v/>
      </c>
      <c r="B207" s="15" t="str">
        <f>IFERROR(INDEX('Прайс-лист'!$A$11:$A$310,MATCH(ROWS($A$16:A207),'Прайс-лист'!$T$11:$T$310,0)),"")</f>
        <v/>
      </c>
      <c r="C207" s="15" t="str">
        <f>IFERROR(INDEX('Прайс-лист'!$B$11:$B$310,MATCH(ROWS($A$16:A207),'Прайс-лист'!$T$11:$T$310,0)),"")</f>
        <v/>
      </c>
      <c r="D207" s="15" t="str">
        <f>IFERROR(INDEX('Прайс-лист'!$C$11:$C$310,MATCH(ROWS($A$16:A207),'Прайс-лист'!$T$11:$T$310,0)),"")</f>
        <v/>
      </c>
      <c r="E207" s="15" t="str">
        <f>IFERROR(INDEX('Прайс-лист'!$E$11:$E$310,MATCH(ROWS($A$16:A207),'Прайс-лист'!$T$11:$T$310,0)),"")</f>
        <v/>
      </c>
      <c r="F207" s="15" t="str">
        <f>IFERROR(INDEX('Прайс-лист'!$F$11:$F$310,MATCH(ROWS($A$16:A207),'Прайс-лист'!$T$11:$T$310,0)),"")</f>
        <v/>
      </c>
      <c r="G207" s="16" t="str">
        <f>IFERROR(INDEX('Прайс-лист'!$R$11:$R$310,MATCH(ROWS($A$16:A207),'Прайс-лист'!$T$11:$T$310,0)),"")</f>
        <v/>
      </c>
      <c r="H207" s="15" t="str">
        <f>IFERROR(INDEX('Прайс-лист'!$P$11:$P$310,MATCH(ROWS($A$16:A207),'Прайс-лист'!$T$11:$T$310,0)),"")</f>
        <v/>
      </c>
      <c r="I207" s="16" t="str">
        <f>IFERROR(INDEX('Прайс-лист'!$S$11:$S$310,MATCH(ROWS($A$16:A207),'Прайс-лист'!$T$11:$T$310,0)),"")</f>
        <v/>
      </c>
      <c r="J207" s="15" t="str">
        <f>IFERROR(INDEX('Прайс-лист'!$Q$11:$Q$310,MATCH(ROWS($A$16:A207),'Прайс-лист'!$T$11:$T$310,0)),"")</f>
        <v/>
      </c>
    </row>
    <row r="208" spans="1:10" ht="13.5" customHeight="1" x14ac:dyDescent="0.2">
      <c r="A208" s="15" t="str">
        <f>IFERROR(IF(INDEX('Прайс-лист'!$T$11:$T$310,MATCH(ROWS($A$16:A208),'Прайс-лист'!$T$11:$T$310,0))="","",ROWS($A$16:A208)),"")</f>
        <v/>
      </c>
      <c r="B208" s="15" t="str">
        <f>IFERROR(INDEX('Прайс-лист'!$A$11:$A$310,MATCH(ROWS($A$16:A208),'Прайс-лист'!$T$11:$T$310,0)),"")</f>
        <v/>
      </c>
      <c r="C208" s="15" t="str">
        <f>IFERROR(INDEX('Прайс-лист'!$B$11:$B$310,MATCH(ROWS($A$16:A208),'Прайс-лист'!$T$11:$T$310,0)),"")</f>
        <v/>
      </c>
      <c r="D208" s="15" t="str">
        <f>IFERROR(INDEX('Прайс-лист'!$C$11:$C$310,MATCH(ROWS($A$16:A208),'Прайс-лист'!$T$11:$T$310,0)),"")</f>
        <v/>
      </c>
      <c r="E208" s="15" t="str">
        <f>IFERROR(INDEX('Прайс-лист'!$E$11:$E$310,MATCH(ROWS($A$16:A208),'Прайс-лист'!$T$11:$T$310,0)),"")</f>
        <v/>
      </c>
      <c r="F208" s="15" t="str">
        <f>IFERROR(INDEX('Прайс-лист'!$F$11:$F$310,MATCH(ROWS($A$16:A208),'Прайс-лист'!$T$11:$T$310,0)),"")</f>
        <v/>
      </c>
      <c r="G208" s="16" t="str">
        <f>IFERROR(INDEX('Прайс-лист'!$R$11:$R$310,MATCH(ROWS($A$16:A208),'Прайс-лист'!$T$11:$T$310,0)),"")</f>
        <v/>
      </c>
      <c r="H208" s="15" t="str">
        <f>IFERROR(INDEX('Прайс-лист'!$P$11:$P$310,MATCH(ROWS($A$16:A208),'Прайс-лист'!$T$11:$T$310,0)),"")</f>
        <v/>
      </c>
      <c r="I208" s="16" t="str">
        <f>IFERROR(INDEX('Прайс-лист'!$S$11:$S$310,MATCH(ROWS($A$16:A208),'Прайс-лист'!$T$11:$T$310,0)),"")</f>
        <v/>
      </c>
      <c r="J208" s="15" t="str">
        <f>IFERROR(INDEX('Прайс-лист'!$Q$11:$Q$310,MATCH(ROWS($A$16:A208),'Прайс-лист'!$T$11:$T$310,0)),"")</f>
        <v/>
      </c>
    </row>
    <row r="209" spans="1:10" ht="13.5" customHeight="1" x14ac:dyDescent="0.2">
      <c r="A209" s="15" t="str">
        <f>IFERROR(IF(INDEX('Прайс-лист'!$T$11:$T$310,MATCH(ROWS($A$16:A209),'Прайс-лист'!$T$11:$T$310,0))="","",ROWS($A$16:A209)),"")</f>
        <v/>
      </c>
      <c r="B209" s="15" t="str">
        <f>IFERROR(INDEX('Прайс-лист'!$A$11:$A$310,MATCH(ROWS($A$16:A209),'Прайс-лист'!$T$11:$T$310,0)),"")</f>
        <v/>
      </c>
      <c r="C209" s="15" t="str">
        <f>IFERROR(INDEX('Прайс-лист'!$B$11:$B$310,MATCH(ROWS($A$16:A209),'Прайс-лист'!$T$11:$T$310,0)),"")</f>
        <v/>
      </c>
      <c r="D209" s="15" t="str">
        <f>IFERROR(INDEX('Прайс-лист'!$C$11:$C$310,MATCH(ROWS($A$16:A209),'Прайс-лист'!$T$11:$T$310,0)),"")</f>
        <v/>
      </c>
      <c r="E209" s="15" t="str">
        <f>IFERROR(INDEX('Прайс-лист'!$E$11:$E$310,MATCH(ROWS($A$16:A209),'Прайс-лист'!$T$11:$T$310,0)),"")</f>
        <v/>
      </c>
      <c r="F209" s="15" t="str">
        <f>IFERROR(INDEX('Прайс-лист'!$F$11:$F$310,MATCH(ROWS($A$16:A209),'Прайс-лист'!$T$11:$T$310,0)),"")</f>
        <v/>
      </c>
      <c r="G209" s="16" t="str">
        <f>IFERROR(INDEX('Прайс-лист'!$R$11:$R$310,MATCH(ROWS($A$16:A209),'Прайс-лист'!$T$11:$T$310,0)),"")</f>
        <v/>
      </c>
      <c r="H209" s="15" t="str">
        <f>IFERROR(INDEX('Прайс-лист'!$P$11:$P$310,MATCH(ROWS($A$16:A209),'Прайс-лист'!$T$11:$T$310,0)),"")</f>
        <v/>
      </c>
      <c r="I209" s="16" t="str">
        <f>IFERROR(INDEX('Прайс-лист'!$S$11:$S$310,MATCH(ROWS($A$16:A209),'Прайс-лист'!$T$11:$T$310,0)),"")</f>
        <v/>
      </c>
      <c r="J209" s="15" t="str">
        <f>IFERROR(INDEX('Прайс-лист'!$Q$11:$Q$310,MATCH(ROWS($A$16:A209),'Прайс-лист'!$T$11:$T$310,0)),"")</f>
        <v/>
      </c>
    </row>
    <row r="210" spans="1:10" ht="13.5" customHeight="1" x14ac:dyDescent="0.2">
      <c r="A210" s="15" t="str">
        <f>IFERROR(IF(INDEX('Прайс-лист'!$T$11:$T$310,MATCH(ROWS($A$16:A210),'Прайс-лист'!$T$11:$T$310,0))="","",ROWS($A$16:A210)),"")</f>
        <v/>
      </c>
      <c r="B210" s="15" t="str">
        <f>IFERROR(INDEX('Прайс-лист'!$A$11:$A$310,MATCH(ROWS($A$16:A210),'Прайс-лист'!$T$11:$T$310,0)),"")</f>
        <v/>
      </c>
      <c r="C210" s="15" t="str">
        <f>IFERROR(INDEX('Прайс-лист'!$B$11:$B$310,MATCH(ROWS($A$16:A210),'Прайс-лист'!$T$11:$T$310,0)),"")</f>
        <v/>
      </c>
      <c r="D210" s="15" t="str">
        <f>IFERROR(INDEX('Прайс-лист'!$C$11:$C$310,MATCH(ROWS($A$16:A210),'Прайс-лист'!$T$11:$T$310,0)),"")</f>
        <v/>
      </c>
      <c r="E210" s="15" t="str">
        <f>IFERROR(INDEX('Прайс-лист'!$E$11:$E$310,MATCH(ROWS($A$16:A210),'Прайс-лист'!$T$11:$T$310,0)),"")</f>
        <v/>
      </c>
      <c r="F210" s="15" t="str">
        <f>IFERROR(INDEX('Прайс-лист'!$F$11:$F$310,MATCH(ROWS($A$16:A210),'Прайс-лист'!$T$11:$T$310,0)),"")</f>
        <v/>
      </c>
      <c r="G210" s="16" t="str">
        <f>IFERROR(INDEX('Прайс-лист'!$R$11:$R$310,MATCH(ROWS($A$16:A210),'Прайс-лист'!$T$11:$T$310,0)),"")</f>
        <v/>
      </c>
      <c r="H210" s="15" t="str">
        <f>IFERROR(INDEX('Прайс-лист'!$P$11:$P$310,MATCH(ROWS($A$16:A210),'Прайс-лист'!$T$11:$T$310,0)),"")</f>
        <v/>
      </c>
      <c r="I210" s="16" t="str">
        <f>IFERROR(INDEX('Прайс-лист'!$S$11:$S$310,MATCH(ROWS($A$16:A210),'Прайс-лист'!$T$11:$T$310,0)),"")</f>
        <v/>
      </c>
      <c r="J210" s="15" t="str">
        <f>IFERROR(INDEX('Прайс-лист'!$Q$11:$Q$310,MATCH(ROWS($A$16:A210),'Прайс-лист'!$T$11:$T$310,0)),"")</f>
        <v/>
      </c>
    </row>
    <row r="211" spans="1:10" ht="13.5" customHeight="1" x14ac:dyDescent="0.2">
      <c r="A211" s="15" t="str">
        <f>IFERROR(IF(INDEX('Прайс-лист'!$T$11:$T$310,MATCH(ROWS($A$16:A211),'Прайс-лист'!$T$11:$T$310,0))="","",ROWS($A$16:A211)),"")</f>
        <v/>
      </c>
      <c r="B211" s="15" t="str">
        <f>IFERROR(INDEX('Прайс-лист'!$A$11:$A$310,MATCH(ROWS($A$16:A211),'Прайс-лист'!$T$11:$T$310,0)),"")</f>
        <v/>
      </c>
      <c r="C211" s="15" t="str">
        <f>IFERROR(INDEX('Прайс-лист'!$B$11:$B$310,MATCH(ROWS($A$16:A211),'Прайс-лист'!$T$11:$T$310,0)),"")</f>
        <v/>
      </c>
      <c r="D211" s="15" t="str">
        <f>IFERROR(INDEX('Прайс-лист'!$C$11:$C$310,MATCH(ROWS($A$16:A211),'Прайс-лист'!$T$11:$T$310,0)),"")</f>
        <v/>
      </c>
      <c r="E211" s="15" t="str">
        <f>IFERROR(INDEX('Прайс-лист'!$E$11:$E$310,MATCH(ROWS($A$16:A211),'Прайс-лист'!$T$11:$T$310,0)),"")</f>
        <v/>
      </c>
      <c r="F211" s="15" t="str">
        <f>IFERROR(INDEX('Прайс-лист'!$F$11:$F$310,MATCH(ROWS($A$16:A211),'Прайс-лист'!$T$11:$T$310,0)),"")</f>
        <v/>
      </c>
      <c r="G211" s="16" t="str">
        <f>IFERROR(INDEX('Прайс-лист'!$R$11:$R$310,MATCH(ROWS($A$16:A211),'Прайс-лист'!$T$11:$T$310,0)),"")</f>
        <v/>
      </c>
      <c r="H211" s="15" t="str">
        <f>IFERROR(INDEX('Прайс-лист'!$P$11:$P$310,MATCH(ROWS($A$16:A211),'Прайс-лист'!$T$11:$T$310,0)),"")</f>
        <v/>
      </c>
      <c r="I211" s="16" t="str">
        <f>IFERROR(INDEX('Прайс-лист'!$S$11:$S$310,MATCH(ROWS($A$16:A211),'Прайс-лист'!$T$11:$T$310,0)),"")</f>
        <v/>
      </c>
      <c r="J211" s="15" t="str">
        <f>IFERROR(INDEX('Прайс-лист'!$Q$11:$Q$310,MATCH(ROWS($A$16:A211),'Прайс-лист'!$T$11:$T$310,0)),"")</f>
        <v/>
      </c>
    </row>
    <row r="212" spans="1:10" ht="13.5" customHeight="1" x14ac:dyDescent="0.2">
      <c r="A212" s="15" t="str">
        <f>IFERROR(IF(INDEX('Прайс-лист'!$T$11:$T$310,MATCH(ROWS($A$16:A212),'Прайс-лист'!$T$11:$T$310,0))="","",ROWS($A$16:A212)),"")</f>
        <v/>
      </c>
      <c r="B212" s="15" t="str">
        <f>IFERROR(INDEX('Прайс-лист'!$A$11:$A$310,MATCH(ROWS($A$16:A212),'Прайс-лист'!$T$11:$T$310,0)),"")</f>
        <v/>
      </c>
      <c r="C212" s="15" t="str">
        <f>IFERROR(INDEX('Прайс-лист'!$B$11:$B$310,MATCH(ROWS($A$16:A212),'Прайс-лист'!$T$11:$T$310,0)),"")</f>
        <v/>
      </c>
      <c r="D212" s="15" t="str">
        <f>IFERROR(INDEX('Прайс-лист'!$C$11:$C$310,MATCH(ROWS($A$16:A212),'Прайс-лист'!$T$11:$T$310,0)),"")</f>
        <v/>
      </c>
      <c r="E212" s="15" t="str">
        <f>IFERROR(INDEX('Прайс-лист'!$E$11:$E$310,MATCH(ROWS($A$16:A212),'Прайс-лист'!$T$11:$T$310,0)),"")</f>
        <v/>
      </c>
      <c r="F212" s="15" t="str">
        <f>IFERROR(INDEX('Прайс-лист'!$F$11:$F$310,MATCH(ROWS($A$16:A212),'Прайс-лист'!$T$11:$T$310,0)),"")</f>
        <v/>
      </c>
      <c r="G212" s="16" t="str">
        <f>IFERROR(INDEX('Прайс-лист'!$R$11:$R$310,MATCH(ROWS($A$16:A212),'Прайс-лист'!$T$11:$T$310,0)),"")</f>
        <v/>
      </c>
      <c r="H212" s="15" t="str">
        <f>IFERROR(INDEX('Прайс-лист'!$P$11:$P$310,MATCH(ROWS($A$16:A212),'Прайс-лист'!$T$11:$T$310,0)),"")</f>
        <v/>
      </c>
      <c r="I212" s="16" t="str">
        <f>IFERROR(INDEX('Прайс-лист'!$S$11:$S$310,MATCH(ROWS($A$16:A212),'Прайс-лист'!$T$11:$T$310,0)),"")</f>
        <v/>
      </c>
      <c r="J212" s="15" t="str">
        <f>IFERROR(INDEX('Прайс-лист'!$Q$11:$Q$310,MATCH(ROWS($A$16:A212),'Прайс-лист'!$T$11:$T$310,0)),"")</f>
        <v/>
      </c>
    </row>
    <row r="213" spans="1:10" ht="13.5" customHeight="1" x14ac:dyDescent="0.2">
      <c r="A213" s="15" t="str">
        <f>IFERROR(IF(INDEX('Прайс-лист'!$T$11:$T$310,MATCH(ROWS($A$16:A213),'Прайс-лист'!$T$11:$T$310,0))="","",ROWS($A$16:A213)),"")</f>
        <v/>
      </c>
      <c r="B213" s="15" t="str">
        <f>IFERROR(INDEX('Прайс-лист'!$A$11:$A$310,MATCH(ROWS($A$16:A213),'Прайс-лист'!$T$11:$T$310,0)),"")</f>
        <v/>
      </c>
      <c r="C213" s="15" t="str">
        <f>IFERROR(INDEX('Прайс-лист'!$B$11:$B$310,MATCH(ROWS($A$16:A213),'Прайс-лист'!$T$11:$T$310,0)),"")</f>
        <v/>
      </c>
      <c r="D213" s="15" t="str">
        <f>IFERROR(INDEX('Прайс-лист'!$C$11:$C$310,MATCH(ROWS($A$16:A213),'Прайс-лист'!$T$11:$T$310,0)),"")</f>
        <v/>
      </c>
      <c r="E213" s="15" t="str">
        <f>IFERROR(INDEX('Прайс-лист'!$E$11:$E$310,MATCH(ROWS($A$16:A213),'Прайс-лист'!$T$11:$T$310,0)),"")</f>
        <v/>
      </c>
      <c r="F213" s="15" t="str">
        <f>IFERROR(INDEX('Прайс-лист'!$F$11:$F$310,MATCH(ROWS($A$16:A213),'Прайс-лист'!$T$11:$T$310,0)),"")</f>
        <v/>
      </c>
      <c r="G213" s="16" t="str">
        <f>IFERROR(INDEX('Прайс-лист'!$R$11:$R$310,MATCH(ROWS($A$16:A213),'Прайс-лист'!$T$11:$T$310,0)),"")</f>
        <v/>
      </c>
      <c r="H213" s="15" t="str">
        <f>IFERROR(INDEX('Прайс-лист'!$P$11:$P$310,MATCH(ROWS($A$16:A213),'Прайс-лист'!$T$11:$T$310,0)),"")</f>
        <v/>
      </c>
      <c r="I213" s="16" t="str">
        <f>IFERROR(INDEX('Прайс-лист'!$S$11:$S$310,MATCH(ROWS($A$16:A213),'Прайс-лист'!$T$11:$T$310,0)),"")</f>
        <v/>
      </c>
      <c r="J213" s="15" t="str">
        <f>IFERROR(INDEX('Прайс-лист'!$Q$11:$Q$310,MATCH(ROWS($A$16:A213),'Прайс-лист'!$T$11:$T$310,0)),"")</f>
        <v/>
      </c>
    </row>
    <row r="214" spans="1:10" ht="13.5" customHeight="1" x14ac:dyDescent="0.2">
      <c r="A214" s="15" t="str">
        <f>IFERROR(IF(INDEX('Прайс-лист'!$T$11:$T$310,MATCH(ROWS($A$16:A214),'Прайс-лист'!$T$11:$T$310,0))="","",ROWS($A$16:A214)),"")</f>
        <v/>
      </c>
      <c r="B214" s="15" t="str">
        <f>IFERROR(INDEX('Прайс-лист'!$A$11:$A$310,MATCH(ROWS($A$16:A214),'Прайс-лист'!$T$11:$T$310,0)),"")</f>
        <v/>
      </c>
      <c r="C214" s="15" t="str">
        <f>IFERROR(INDEX('Прайс-лист'!$B$11:$B$310,MATCH(ROWS($A$16:A214),'Прайс-лист'!$T$11:$T$310,0)),"")</f>
        <v/>
      </c>
      <c r="D214" s="15" t="str">
        <f>IFERROR(INDEX('Прайс-лист'!$C$11:$C$310,MATCH(ROWS($A$16:A214),'Прайс-лист'!$T$11:$T$310,0)),"")</f>
        <v/>
      </c>
      <c r="E214" s="15" t="str">
        <f>IFERROR(INDEX('Прайс-лист'!$E$11:$E$310,MATCH(ROWS($A$16:A214),'Прайс-лист'!$T$11:$T$310,0)),"")</f>
        <v/>
      </c>
      <c r="F214" s="15" t="str">
        <f>IFERROR(INDEX('Прайс-лист'!$F$11:$F$310,MATCH(ROWS($A$16:A214),'Прайс-лист'!$T$11:$T$310,0)),"")</f>
        <v/>
      </c>
      <c r="G214" s="16" t="str">
        <f>IFERROR(INDEX('Прайс-лист'!$R$11:$R$310,MATCH(ROWS($A$16:A214),'Прайс-лист'!$T$11:$T$310,0)),"")</f>
        <v/>
      </c>
      <c r="H214" s="15" t="str">
        <f>IFERROR(INDEX('Прайс-лист'!$P$11:$P$310,MATCH(ROWS($A$16:A214),'Прайс-лист'!$T$11:$T$310,0)),"")</f>
        <v/>
      </c>
      <c r="I214" s="16" t="str">
        <f>IFERROR(INDEX('Прайс-лист'!$S$11:$S$310,MATCH(ROWS($A$16:A214),'Прайс-лист'!$T$11:$T$310,0)),"")</f>
        <v/>
      </c>
      <c r="J214" s="15" t="str">
        <f>IFERROR(INDEX('Прайс-лист'!$Q$11:$Q$310,MATCH(ROWS($A$16:A214),'Прайс-лист'!$T$11:$T$310,0)),"")</f>
        <v/>
      </c>
    </row>
    <row r="215" spans="1:10" ht="13.5" customHeight="1" x14ac:dyDescent="0.2">
      <c r="A215" s="15" t="str">
        <f>IFERROR(IF(INDEX('Прайс-лист'!$T$11:$T$310,MATCH(ROWS($A$16:A215),'Прайс-лист'!$T$11:$T$310,0))="","",ROWS($A$16:A215)),"")</f>
        <v/>
      </c>
      <c r="B215" s="15" t="str">
        <f>IFERROR(INDEX('Прайс-лист'!$A$11:$A$310,MATCH(ROWS($A$16:A215),'Прайс-лист'!$T$11:$T$310,0)),"")</f>
        <v/>
      </c>
      <c r="C215" s="15" t="str">
        <f>IFERROR(INDEX('Прайс-лист'!$B$11:$B$310,MATCH(ROWS($A$16:A215),'Прайс-лист'!$T$11:$T$310,0)),"")</f>
        <v/>
      </c>
      <c r="D215" s="15" t="str">
        <f>IFERROR(INDEX('Прайс-лист'!$C$11:$C$310,MATCH(ROWS($A$16:A215),'Прайс-лист'!$T$11:$T$310,0)),"")</f>
        <v/>
      </c>
      <c r="E215" s="15" t="str">
        <f>IFERROR(INDEX('Прайс-лист'!$E$11:$E$310,MATCH(ROWS($A$16:A215),'Прайс-лист'!$T$11:$T$310,0)),"")</f>
        <v/>
      </c>
      <c r="F215" s="15" t="str">
        <f>IFERROR(INDEX('Прайс-лист'!$F$11:$F$310,MATCH(ROWS($A$16:A215),'Прайс-лист'!$T$11:$T$310,0)),"")</f>
        <v/>
      </c>
      <c r="G215" s="16" t="str">
        <f>IFERROR(INDEX('Прайс-лист'!$R$11:$R$310,MATCH(ROWS($A$16:A215),'Прайс-лист'!$T$11:$T$310,0)),"")</f>
        <v/>
      </c>
      <c r="H215" s="15" t="str">
        <f>IFERROR(INDEX('Прайс-лист'!$P$11:$P$310,MATCH(ROWS($A$16:A215),'Прайс-лист'!$T$11:$T$310,0)),"")</f>
        <v/>
      </c>
      <c r="I215" s="16" t="str">
        <f>IFERROR(INDEX('Прайс-лист'!$S$11:$S$310,MATCH(ROWS($A$16:A215),'Прайс-лист'!$T$11:$T$310,0)),"")</f>
        <v/>
      </c>
      <c r="J215" s="15" t="str">
        <f>IFERROR(INDEX('Прайс-лист'!$Q$11:$Q$310,MATCH(ROWS($A$16:A215),'Прайс-лист'!$T$11:$T$310,0)),"")</f>
        <v/>
      </c>
    </row>
    <row r="216" spans="1:10" ht="13.5" customHeight="1" x14ac:dyDescent="0.2">
      <c r="A216" s="15" t="str">
        <f>IFERROR(IF(INDEX('Прайс-лист'!$T$11:$T$310,MATCH(ROWS($A$16:A216),'Прайс-лист'!$T$11:$T$310,0))="","",ROWS($A$16:A216)),"")</f>
        <v/>
      </c>
      <c r="B216" s="15" t="str">
        <f>IFERROR(INDEX('Прайс-лист'!$A$11:$A$310,MATCH(ROWS($A$16:A216),'Прайс-лист'!$T$11:$T$310,0)),"")</f>
        <v/>
      </c>
      <c r="C216" s="15" t="str">
        <f>IFERROR(INDEX('Прайс-лист'!$B$11:$B$310,MATCH(ROWS($A$16:A216),'Прайс-лист'!$T$11:$T$310,0)),"")</f>
        <v/>
      </c>
      <c r="D216" s="15" t="str">
        <f>IFERROR(INDEX('Прайс-лист'!$C$11:$C$310,MATCH(ROWS($A$16:A216),'Прайс-лист'!$T$11:$T$310,0)),"")</f>
        <v/>
      </c>
      <c r="E216" s="15" t="str">
        <f>IFERROR(INDEX('Прайс-лист'!$E$11:$E$310,MATCH(ROWS($A$16:A216),'Прайс-лист'!$T$11:$T$310,0)),"")</f>
        <v/>
      </c>
      <c r="F216" s="15" t="str">
        <f>IFERROR(INDEX('Прайс-лист'!$F$11:$F$310,MATCH(ROWS($A$16:A216),'Прайс-лист'!$T$11:$T$310,0)),"")</f>
        <v/>
      </c>
      <c r="G216" s="16" t="str">
        <f>IFERROR(INDEX('Прайс-лист'!$R$11:$R$310,MATCH(ROWS($A$16:A216),'Прайс-лист'!$T$11:$T$310,0)),"")</f>
        <v/>
      </c>
      <c r="H216" s="15" t="str">
        <f>IFERROR(INDEX('Прайс-лист'!$P$11:$P$310,MATCH(ROWS($A$16:A216),'Прайс-лист'!$T$11:$T$310,0)),"")</f>
        <v/>
      </c>
      <c r="I216" s="16" t="str">
        <f>IFERROR(INDEX('Прайс-лист'!$S$11:$S$310,MATCH(ROWS($A$16:A216),'Прайс-лист'!$T$11:$T$310,0)),"")</f>
        <v/>
      </c>
      <c r="J216" s="15" t="str">
        <f>IFERROR(INDEX('Прайс-лист'!$Q$11:$Q$310,MATCH(ROWS($A$16:A216),'Прайс-лист'!$T$11:$T$310,0)),"")</f>
        <v/>
      </c>
    </row>
    <row r="217" spans="1:10" ht="13.5" customHeight="1" x14ac:dyDescent="0.2">
      <c r="A217" s="15" t="str">
        <f>IFERROR(IF(INDEX('Прайс-лист'!$T$11:$T$310,MATCH(ROWS($A$16:A217),'Прайс-лист'!$T$11:$T$310,0))="","",ROWS($A$16:A217)),"")</f>
        <v/>
      </c>
      <c r="B217" s="15" t="str">
        <f>IFERROR(INDEX('Прайс-лист'!$A$11:$A$310,MATCH(ROWS($A$16:A217),'Прайс-лист'!$T$11:$T$310,0)),"")</f>
        <v/>
      </c>
      <c r="C217" s="15" t="str">
        <f>IFERROR(INDEX('Прайс-лист'!$B$11:$B$310,MATCH(ROWS($A$16:A217),'Прайс-лист'!$T$11:$T$310,0)),"")</f>
        <v/>
      </c>
      <c r="D217" s="15" t="str">
        <f>IFERROR(INDEX('Прайс-лист'!$C$11:$C$310,MATCH(ROWS($A$16:A217),'Прайс-лист'!$T$11:$T$310,0)),"")</f>
        <v/>
      </c>
      <c r="E217" s="15" t="str">
        <f>IFERROR(INDEX('Прайс-лист'!$E$11:$E$310,MATCH(ROWS($A$16:A217),'Прайс-лист'!$T$11:$T$310,0)),"")</f>
        <v/>
      </c>
      <c r="F217" s="15" t="str">
        <f>IFERROR(INDEX('Прайс-лист'!$F$11:$F$310,MATCH(ROWS($A$16:A217),'Прайс-лист'!$T$11:$T$310,0)),"")</f>
        <v/>
      </c>
      <c r="G217" s="16" t="str">
        <f>IFERROR(INDEX('Прайс-лист'!$R$11:$R$310,MATCH(ROWS($A$16:A217),'Прайс-лист'!$T$11:$T$310,0)),"")</f>
        <v/>
      </c>
      <c r="H217" s="15" t="str">
        <f>IFERROR(INDEX('Прайс-лист'!$P$11:$P$310,MATCH(ROWS($A$16:A217),'Прайс-лист'!$T$11:$T$310,0)),"")</f>
        <v/>
      </c>
      <c r="I217" s="16" t="str">
        <f>IFERROR(INDEX('Прайс-лист'!$S$11:$S$310,MATCH(ROWS($A$16:A217),'Прайс-лист'!$T$11:$T$310,0)),"")</f>
        <v/>
      </c>
      <c r="J217" s="15" t="str">
        <f>IFERROR(INDEX('Прайс-лист'!$Q$11:$Q$310,MATCH(ROWS($A$16:A217),'Прайс-лист'!$T$11:$T$310,0)),"")</f>
        <v/>
      </c>
    </row>
    <row r="218" spans="1:10" ht="13.5" customHeight="1" x14ac:dyDescent="0.2">
      <c r="A218" s="15" t="str">
        <f>IFERROR(IF(INDEX('Прайс-лист'!$T$11:$T$310,MATCH(ROWS($A$16:A218),'Прайс-лист'!$T$11:$T$310,0))="","",ROWS($A$16:A218)),"")</f>
        <v/>
      </c>
      <c r="B218" s="15" t="str">
        <f>IFERROR(INDEX('Прайс-лист'!$A$11:$A$310,MATCH(ROWS($A$16:A218),'Прайс-лист'!$T$11:$T$310,0)),"")</f>
        <v/>
      </c>
      <c r="C218" s="15" t="str">
        <f>IFERROR(INDEX('Прайс-лист'!$B$11:$B$310,MATCH(ROWS($A$16:A218),'Прайс-лист'!$T$11:$T$310,0)),"")</f>
        <v/>
      </c>
      <c r="D218" s="15" t="str">
        <f>IFERROR(INDEX('Прайс-лист'!$C$11:$C$310,MATCH(ROWS($A$16:A218),'Прайс-лист'!$T$11:$T$310,0)),"")</f>
        <v/>
      </c>
      <c r="E218" s="15" t="str">
        <f>IFERROR(INDEX('Прайс-лист'!$E$11:$E$310,MATCH(ROWS($A$16:A218),'Прайс-лист'!$T$11:$T$310,0)),"")</f>
        <v/>
      </c>
      <c r="F218" s="15" t="str">
        <f>IFERROR(INDEX('Прайс-лист'!$F$11:$F$310,MATCH(ROWS($A$16:A218),'Прайс-лист'!$T$11:$T$310,0)),"")</f>
        <v/>
      </c>
      <c r="G218" s="16" t="str">
        <f>IFERROR(INDEX('Прайс-лист'!$R$11:$R$310,MATCH(ROWS($A$16:A218),'Прайс-лист'!$T$11:$T$310,0)),"")</f>
        <v/>
      </c>
      <c r="H218" s="15" t="str">
        <f>IFERROR(INDEX('Прайс-лист'!$P$11:$P$310,MATCH(ROWS($A$16:A218),'Прайс-лист'!$T$11:$T$310,0)),"")</f>
        <v/>
      </c>
      <c r="I218" s="16" t="str">
        <f>IFERROR(INDEX('Прайс-лист'!$S$11:$S$310,MATCH(ROWS($A$16:A218),'Прайс-лист'!$T$11:$T$310,0)),"")</f>
        <v/>
      </c>
      <c r="J218" s="15" t="str">
        <f>IFERROR(INDEX('Прайс-лист'!$Q$11:$Q$310,MATCH(ROWS($A$16:A218),'Прайс-лист'!$T$11:$T$310,0)),"")</f>
        <v/>
      </c>
    </row>
    <row r="219" spans="1:10" ht="13.5" customHeight="1" x14ac:dyDescent="0.2">
      <c r="A219" s="15" t="str">
        <f>IFERROR(IF(INDEX('Прайс-лист'!$T$11:$T$310,MATCH(ROWS($A$16:A219),'Прайс-лист'!$T$11:$T$310,0))="","",ROWS($A$16:A219)),"")</f>
        <v/>
      </c>
      <c r="B219" s="15" t="str">
        <f>IFERROR(INDEX('Прайс-лист'!$A$11:$A$310,MATCH(ROWS($A$16:A219),'Прайс-лист'!$T$11:$T$310,0)),"")</f>
        <v/>
      </c>
      <c r="C219" s="15" t="str">
        <f>IFERROR(INDEX('Прайс-лист'!$B$11:$B$310,MATCH(ROWS($A$16:A219),'Прайс-лист'!$T$11:$T$310,0)),"")</f>
        <v/>
      </c>
      <c r="D219" s="15" t="str">
        <f>IFERROR(INDEX('Прайс-лист'!$C$11:$C$310,MATCH(ROWS($A$16:A219),'Прайс-лист'!$T$11:$T$310,0)),"")</f>
        <v/>
      </c>
      <c r="E219" s="15" t="str">
        <f>IFERROR(INDEX('Прайс-лист'!$E$11:$E$310,MATCH(ROWS($A$16:A219),'Прайс-лист'!$T$11:$T$310,0)),"")</f>
        <v/>
      </c>
      <c r="F219" s="15" t="str">
        <f>IFERROR(INDEX('Прайс-лист'!$F$11:$F$310,MATCH(ROWS($A$16:A219),'Прайс-лист'!$T$11:$T$310,0)),"")</f>
        <v/>
      </c>
      <c r="G219" s="16" t="str">
        <f>IFERROR(INDEX('Прайс-лист'!$R$11:$R$310,MATCH(ROWS($A$16:A219),'Прайс-лист'!$T$11:$T$310,0)),"")</f>
        <v/>
      </c>
      <c r="H219" s="15" t="str">
        <f>IFERROR(INDEX('Прайс-лист'!$P$11:$P$310,MATCH(ROWS($A$16:A219),'Прайс-лист'!$T$11:$T$310,0)),"")</f>
        <v/>
      </c>
      <c r="I219" s="16" t="str">
        <f>IFERROR(INDEX('Прайс-лист'!$S$11:$S$310,MATCH(ROWS($A$16:A219),'Прайс-лист'!$T$11:$T$310,0)),"")</f>
        <v/>
      </c>
      <c r="J219" s="15" t="str">
        <f>IFERROR(INDEX('Прайс-лист'!$Q$11:$Q$310,MATCH(ROWS($A$16:A219),'Прайс-лист'!$T$11:$T$310,0)),"")</f>
        <v/>
      </c>
    </row>
    <row r="220" spans="1:10" ht="13.5" customHeight="1" x14ac:dyDescent="0.2">
      <c r="A220" s="15" t="str">
        <f>IFERROR(IF(INDEX('Прайс-лист'!$T$11:$T$310,MATCH(ROWS($A$16:A220),'Прайс-лист'!$T$11:$T$310,0))="","",ROWS($A$16:A220)),"")</f>
        <v/>
      </c>
      <c r="B220" s="15" t="str">
        <f>IFERROR(INDEX('Прайс-лист'!$A$11:$A$310,MATCH(ROWS($A$16:A220),'Прайс-лист'!$T$11:$T$310,0)),"")</f>
        <v/>
      </c>
      <c r="C220" s="15" t="str">
        <f>IFERROR(INDEX('Прайс-лист'!$B$11:$B$310,MATCH(ROWS($A$16:A220),'Прайс-лист'!$T$11:$T$310,0)),"")</f>
        <v/>
      </c>
      <c r="D220" s="15" t="str">
        <f>IFERROR(INDEX('Прайс-лист'!$C$11:$C$310,MATCH(ROWS($A$16:A220),'Прайс-лист'!$T$11:$T$310,0)),"")</f>
        <v/>
      </c>
      <c r="E220" s="15" t="str">
        <f>IFERROR(INDEX('Прайс-лист'!$E$11:$E$310,MATCH(ROWS($A$16:A220),'Прайс-лист'!$T$11:$T$310,0)),"")</f>
        <v/>
      </c>
      <c r="F220" s="15" t="str">
        <f>IFERROR(INDEX('Прайс-лист'!$F$11:$F$310,MATCH(ROWS($A$16:A220),'Прайс-лист'!$T$11:$T$310,0)),"")</f>
        <v/>
      </c>
      <c r="G220" s="16" t="str">
        <f>IFERROR(INDEX('Прайс-лист'!$R$11:$R$310,MATCH(ROWS($A$16:A220),'Прайс-лист'!$T$11:$T$310,0)),"")</f>
        <v/>
      </c>
      <c r="H220" s="15" t="str">
        <f>IFERROR(INDEX('Прайс-лист'!$P$11:$P$310,MATCH(ROWS($A$16:A220),'Прайс-лист'!$T$11:$T$310,0)),"")</f>
        <v/>
      </c>
      <c r="I220" s="16" t="str">
        <f>IFERROR(INDEX('Прайс-лист'!$S$11:$S$310,MATCH(ROWS($A$16:A220),'Прайс-лист'!$T$11:$T$310,0)),"")</f>
        <v/>
      </c>
      <c r="J220" s="15" t="str">
        <f>IFERROR(INDEX('Прайс-лист'!$Q$11:$Q$310,MATCH(ROWS($A$16:A220),'Прайс-лист'!$T$11:$T$310,0)),"")</f>
        <v/>
      </c>
    </row>
    <row r="221" spans="1:10" ht="13.5" customHeight="1" x14ac:dyDescent="0.2">
      <c r="A221" s="15" t="str">
        <f>IFERROR(IF(INDEX('Прайс-лист'!$T$11:$T$310,MATCH(ROWS($A$16:A221),'Прайс-лист'!$T$11:$T$310,0))="","",ROWS($A$16:A221)),"")</f>
        <v/>
      </c>
      <c r="B221" s="15" t="str">
        <f>IFERROR(INDEX('Прайс-лист'!$A$11:$A$310,MATCH(ROWS($A$16:A221),'Прайс-лист'!$T$11:$T$310,0)),"")</f>
        <v/>
      </c>
      <c r="C221" s="15" t="str">
        <f>IFERROR(INDEX('Прайс-лист'!$B$11:$B$310,MATCH(ROWS($A$16:A221),'Прайс-лист'!$T$11:$T$310,0)),"")</f>
        <v/>
      </c>
      <c r="D221" s="15" t="str">
        <f>IFERROR(INDEX('Прайс-лист'!$C$11:$C$310,MATCH(ROWS($A$16:A221),'Прайс-лист'!$T$11:$T$310,0)),"")</f>
        <v/>
      </c>
      <c r="E221" s="15" t="str">
        <f>IFERROR(INDEX('Прайс-лист'!$E$11:$E$310,MATCH(ROWS($A$16:A221),'Прайс-лист'!$T$11:$T$310,0)),"")</f>
        <v/>
      </c>
      <c r="F221" s="15" t="str">
        <f>IFERROR(INDEX('Прайс-лист'!$F$11:$F$310,MATCH(ROWS($A$16:A221),'Прайс-лист'!$T$11:$T$310,0)),"")</f>
        <v/>
      </c>
      <c r="G221" s="16" t="str">
        <f>IFERROR(INDEX('Прайс-лист'!$R$11:$R$310,MATCH(ROWS($A$16:A221),'Прайс-лист'!$T$11:$T$310,0)),"")</f>
        <v/>
      </c>
      <c r="H221" s="15" t="str">
        <f>IFERROR(INDEX('Прайс-лист'!$P$11:$P$310,MATCH(ROWS($A$16:A221),'Прайс-лист'!$T$11:$T$310,0)),"")</f>
        <v/>
      </c>
      <c r="I221" s="16" t="str">
        <f>IFERROR(INDEX('Прайс-лист'!$S$11:$S$310,MATCH(ROWS($A$16:A221),'Прайс-лист'!$T$11:$T$310,0)),"")</f>
        <v/>
      </c>
      <c r="J221" s="15" t="str">
        <f>IFERROR(INDEX('Прайс-лист'!$Q$11:$Q$310,MATCH(ROWS($A$16:A221),'Прайс-лист'!$T$11:$T$310,0)),"")</f>
        <v/>
      </c>
    </row>
    <row r="222" spans="1:10" ht="13.5" customHeight="1" x14ac:dyDescent="0.2">
      <c r="A222" s="15" t="str">
        <f>IFERROR(IF(INDEX('Прайс-лист'!$T$11:$T$310,MATCH(ROWS($A$16:A222),'Прайс-лист'!$T$11:$T$310,0))="","",ROWS($A$16:A222)),"")</f>
        <v/>
      </c>
      <c r="B222" s="15" t="str">
        <f>IFERROR(INDEX('Прайс-лист'!$A$11:$A$310,MATCH(ROWS($A$16:A222),'Прайс-лист'!$T$11:$T$310,0)),"")</f>
        <v/>
      </c>
      <c r="C222" s="15" t="str">
        <f>IFERROR(INDEX('Прайс-лист'!$B$11:$B$310,MATCH(ROWS($A$16:A222),'Прайс-лист'!$T$11:$T$310,0)),"")</f>
        <v/>
      </c>
      <c r="D222" s="15" t="str">
        <f>IFERROR(INDEX('Прайс-лист'!$C$11:$C$310,MATCH(ROWS($A$16:A222),'Прайс-лист'!$T$11:$T$310,0)),"")</f>
        <v/>
      </c>
      <c r="E222" s="15" t="str">
        <f>IFERROR(INDEX('Прайс-лист'!$E$11:$E$310,MATCH(ROWS($A$16:A222),'Прайс-лист'!$T$11:$T$310,0)),"")</f>
        <v/>
      </c>
      <c r="F222" s="15" t="str">
        <f>IFERROR(INDEX('Прайс-лист'!$F$11:$F$310,MATCH(ROWS($A$16:A222),'Прайс-лист'!$T$11:$T$310,0)),"")</f>
        <v/>
      </c>
      <c r="G222" s="16" t="str">
        <f>IFERROR(INDEX('Прайс-лист'!$R$11:$R$310,MATCH(ROWS($A$16:A222),'Прайс-лист'!$T$11:$T$310,0)),"")</f>
        <v/>
      </c>
      <c r="H222" s="15" t="str">
        <f>IFERROR(INDEX('Прайс-лист'!$P$11:$P$310,MATCH(ROWS($A$16:A222),'Прайс-лист'!$T$11:$T$310,0)),"")</f>
        <v/>
      </c>
      <c r="I222" s="16" t="str">
        <f>IFERROR(INDEX('Прайс-лист'!$S$11:$S$310,MATCH(ROWS($A$16:A222),'Прайс-лист'!$T$11:$T$310,0)),"")</f>
        <v/>
      </c>
      <c r="J222" s="15" t="str">
        <f>IFERROR(INDEX('Прайс-лист'!$Q$11:$Q$310,MATCH(ROWS($A$16:A222),'Прайс-лист'!$T$11:$T$310,0)),"")</f>
        <v/>
      </c>
    </row>
    <row r="223" spans="1:10" ht="13.5" customHeight="1" x14ac:dyDescent="0.2">
      <c r="A223" s="15" t="str">
        <f>IFERROR(IF(INDEX('Прайс-лист'!$T$11:$T$310,MATCH(ROWS($A$16:A223),'Прайс-лист'!$T$11:$T$310,0))="","",ROWS($A$16:A223)),"")</f>
        <v/>
      </c>
      <c r="B223" s="15" t="str">
        <f>IFERROR(INDEX('Прайс-лист'!$A$11:$A$310,MATCH(ROWS($A$16:A223),'Прайс-лист'!$T$11:$T$310,0)),"")</f>
        <v/>
      </c>
      <c r="C223" s="15" t="str">
        <f>IFERROR(INDEX('Прайс-лист'!$B$11:$B$310,MATCH(ROWS($A$16:A223),'Прайс-лист'!$T$11:$T$310,0)),"")</f>
        <v/>
      </c>
      <c r="D223" s="15" t="str">
        <f>IFERROR(INDEX('Прайс-лист'!$C$11:$C$310,MATCH(ROWS($A$16:A223),'Прайс-лист'!$T$11:$T$310,0)),"")</f>
        <v/>
      </c>
      <c r="E223" s="15" t="str">
        <f>IFERROR(INDEX('Прайс-лист'!$E$11:$E$310,MATCH(ROWS($A$16:A223),'Прайс-лист'!$T$11:$T$310,0)),"")</f>
        <v/>
      </c>
      <c r="F223" s="15" t="str">
        <f>IFERROR(INDEX('Прайс-лист'!$F$11:$F$310,MATCH(ROWS($A$16:A223),'Прайс-лист'!$T$11:$T$310,0)),"")</f>
        <v/>
      </c>
      <c r="G223" s="16" t="str">
        <f>IFERROR(INDEX('Прайс-лист'!$R$11:$R$310,MATCH(ROWS($A$16:A223),'Прайс-лист'!$T$11:$T$310,0)),"")</f>
        <v/>
      </c>
      <c r="H223" s="15" t="str">
        <f>IFERROR(INDEX('Прайс-лист'!$P$11:$P$310,MATCH(ROWS($A$16:A223),'Прайс-лист'!$T$11:$T$310,0)),"")</f>
        <v/>
      </c>
      <c r="I223" s="16" t="str">
        <f>IFERROR(INDEX('Прайс-лист'!$S$11:$S$310,MATCH(ROWS($A$16:A223),'Прайс-лист'!$T$11:$T$310,0)),"")</f>
        <v/>
      </c>
      <c r="J223" s="15" t="str">
        <f>IFERROR(INDEX('Прайс-лист'!$Q$11:$Q$310,MATCH(ROWS($A$16:A223),'Прайс-лист'!$T$11:$T$310,0)),"")</f>
        <v/>
      </c>
    </row>
    <row r="224" spans="1:10" ht="13.5" customHeight="1" x14ac:dyDescent="0.2">
      <c r="A224" s="15" t="str">
        <f>IFERROR(IF(INDEX('Прайс-лист'!$T$11:$T$310,MATCH(ROWS($A$16:A224),'Прайс-лист'!$T$11:$T$310,0))="","",ROWS($A$16:A224)),"")</f>
        <v/>
      </c>
      <c r="B224" s="15" t="str">
        <f>IFERROR(INDEX('Прайс-лист'!$A$11:$A$310,MATCH(ROWS($A$16:A224),'Прайс-лист'!$T$11:$T$310,0)),"")</f>
        <v/>
      </c>
      <c r="C224" s="15" t="str">
        <f>IFERROR(INDEX('Прайс-лист'!$B$11:$B$310,MATCH(ROWS($A$16:A224),'Прайс-лист'!$T$11:$T$310,0)),"")</f>
        <v/>
      </c>
      <c r="D224" s="15" t="str">
        <f>IFERROR(INDEX('Прайс-лист'!$C$11:$C$310,MATCH(ROWS($A$16:A224),'Прайс-лист'!$T$11:$T$310,0)),"")</f>
        <v/>
      </c>
      <c r="E224" s="15" t="str">
        <f>IFERROR(INDEX('Прайс-лист'!$E$11:$E$310,MATCH(ROWS($A$16:A224),'Прайс-лист'!$T$11:$T$310,0)),"")</f>
        <v/>
      </c>
      <c r="F224" s="15" t="str">
        <f>IFERROR(INDEX('Прайс-лист'!$F$11:$F$310,MATCH(ROWS($A$16:A224),'Прайс-лист'!$T$11:$T$310,0)),"")</f>
        <v/>
      </c>
      <c r="G224" s="16" t="str">
        <f>IFERROR(INDEX('Прайс-лист'!$R$11:$R$310,MATCH(ROWS($A$16:A224),'Прайс-лист'!$T$11:$T$310,0)),"")</f>
        <v/>
      </c>
      <c r="H224" s="15" t="str">
        <f>IFERROR(INDEX('Прайс-лист'!$P$11:$P$310,MATCH(ROWS($A$16:A224),'Прайс-лист'!$T$11:$T$310,0)),"")</f>
        <v/>
      </c>
      <c r="I224" s="16" t="str">
        <f>IFERROR(INDEX('Прайс-лист'!$S$11:$S$310,MATCH(ROWS($A$16:A224),'Прайс-лист'!$T$11:$T$310,0)),"")</f>
        <v/>
      </c>
      <c r="J224" s="15" t="str">
        <f>IFERROR(INDEX('Прайс-лист'!$Q$11:$Q$310,MATCH(ROWS($A$16:A224),'Прайс-лист'!$T$11:$T$310,0)),"")</f>
        <v/>
      </c>
    </row>
    <row r="225" spans="1:10" ht="13.5" customHeight="1" x14ac:dyDescent="0.2">
      <c r="A225" s="15" t="str">
        <f>IFERROR(IF(INDEX('Прайс-лист'!$T$11:$T$310,MATCH(ROWS($A$16:A225),'Прайс-лист'!$T$11:$T$310,0))="","",ROWS($A$16:A225)),"")</f>
        <v/>
      </c>
      <c r="B225" s="15" t="str">
        <f>IFERROR(INDEX('Прайс-лист'!$A$11:$A$310,MATCH(ROWS($A$16:A225),'Прайс-лист'!$T$11:$T$310,0)),"")</f>
        <v/>
      </c>
      <c r="C225" s="15" t="str">
        <f>IFERROR(INDEX('Прайс-лист'!$B$11:$B$310,MATCH(ROWS($A$16:A225),'Прайс-лист'!$T$11:$T$310,0)),"")</f>
        <v/>
      </c>
      <c r="D225" s="15" t="str">
        <f>IFERROR(INDEX('Прайс-лист'!$C$11:$C$310,MATCH(ROWS($A$16:A225),'Прайс-лист'!$T$11:$T$310,0)),"")</f>
        <v/>
      </c>
      <c r="E225" s="15" t="str">
        <f>IFERROR(INDEX('Прайс-лист'!$E$11:$E$310,MATCH(ROWS($A$16:A225),'Прайс-лист'!$T$11:$T$310,0)),"")</f>
        <v/>
      </c>
      <c r="F225" s="15" t="str">
        <f>IFERROR(INDEX('Прайс-лист'!$F$11:$F$310,MATCH(ROWS($A$16:A225),'Прайс-лист'!$T$11:$T$310,0)),"")</f>
        <v/>
      </c>
      <c r="G225" s="16" t="str">
        <f>IFERROR(INDEX('Прайс-лист'!$R$11:$R$310,MATCH(ROWS($A$16:A225),'Прайс-лист'!$T$11:$T$310,0)),"")</f>
        <v/>
      </c>
      <c r="H225" s="15" t="str">
        <f>IFERROR(INDEX('Прайс-лист'!$P$11:$P$310,MATCH(ROWS($A$16:A225),'Прайс-лист'!$T$11:$T$310,0)),"")</f>
        <v/>
      </c>
      <c r="I225" s="16" t="str">
        <f>IFERROR(INDEX('Прайс-лист'!$S$11:$S$310,MATCH(ROWS($A$16:A225),'Прайс-лист'!$T$11:$T$310,0)),"")</f>
        <v/>
      </c>
      <c r="J225" s="15" t="str">
        <f>IFERROR(INDEX('Прайс-лист'!$Q$11:$Q$310,MATCH(ROWS($A$16:A225),'Прайс-лист'!$T$11:$T$310,0)),"")</f>
        <v/>
      </c>
    </row>
    <row r="226" spans="1:10" ht="13.5" customHeight="1" x14ac:dyDescent="0.2">
      <c r="A226" s="15" t="str">
        <f>IFERROR(IF(INDEX('Прайс-лист'!$T$11:$T$310,MATCH(ROWS($A$16:A226),'Прайс-лист'!$T$11:$T$310,0))="","",ROWS($A$16:A226)),"")</f>
        <v/>
      </c>
      <c r="B226" s="15" t="str">
        <f>IFERROR(INDEX('Прайс-лист'!$A$11:$A$310,MATCH(ROWS($A$16:A226),'Прайс-лист'!$T$11:$T$310,0)),"")</f>
        <v/>
      </c>
      <c r="C226" s="15" t="str">
        <f>IFERROR(INDEX('Прайс-лист'!$B$11:$B$310,MATCH(ROWS($A$16:A226),'Прайс-лист'!$T$11:$T$310,0)),"")</f>
        <v/>
      </c>
      <c r="D226" s="15" t="str">
        <f>IFERROR(INDEX('Прайс-лист'!$C$11:$C$310,MATCH(ROWS($A$16:A226),'Прайс-лист'!$T$11:$T$310,0)),"")</f>
        <v/>
      </c>
      <c r="E226" s="15" t="str">
        <f>IFERROR(INDEX('Прайс-лист'!$E$11:$E$310,MATCH(ROWS($A$16:A226),'Прайс-лист'!$T$11:$T$310,0)),"")</f>
        <v/>
      </c>
      <c r="F226" s="15" t="str">
        <f>IFERROR(INDEX('Прайс-лист'!$F$11:$F$310,MATCH(ROWS($A$16:A226),'Прайс-лист'!$T$11:$T$310,0)),"")</f>
        <v/>
      </c>
      <c r="G226" s="16" t="str">
        <f>IFERROR(INDEX('Прайс-лист'!$R$11:$R$310,MATCH(ROWS($A$16:A226),'Прайс-лист'!$T$11:$T$310,0)),"")</f>
        <v/>
      </c>
      <c r="H226" s="15" t="str">
        <f>IFERROR(INDEX('Прайс-лист'!$P$11:$P$310,MATCH(ROWS($A$16:A226),'Прайс-лист'!$T$11:$T$310,0)),"")</f>
        <v/>
      </c>
      <c r="I226" s="16" t="str">
        <f>IFERROR(INDEX('Прайс-лист'!$S$11:$S$310,MATCH(ROWS($A$16:A226),'Прайс-лист'!$T$11:$T$310,0)),"")</f>
        <v/>
      </c>
      <c r="J226" s="15" t="str">
        <f>IFERROR(INDEX('Прайс-лист'!$Q$11:$Q$310,MATCH(ROWS($A$16:A226),'Прайс-лист'!$T$11:$T$310,0)),"")</f>
        <v/>
      </c>
    </row>
    <row r="227" spans="1:10" ht="13.5" customHeight="1" x14ac:dyDescent="0.2">
      <c r="A227" s="15" t="str">
        <f>IFERROR(IF(INDEX('Прайс-лист'!$T$11:$T$310,MATCH(ROWS($A$16:A227),'Прайс-лист'!$T$11:$T$310,0))="","",ROWS($A$16:A227)),"")</f>
        <v/>
      </c>
      <c r="B227" s="15" t="str">
        <f>IFERROR(INDEX('Прайс-лист'!$A$11:$A$310,MATCH(ROWS($A$16:A227),'Прайс-лист'!$T$11:$T$310,0)),"")</f>
        <v/>
      </c>
      <c r="C227" s="15" t="str">
        <f>IFERROR(INDEX('Прайс-лист'!$B$11:$B$310,MATCH(ROWS($A$16:A227),'Прайс-лист'!$T$11:$T$310,0)),"")</f>
        <v/>
      </c>
      <c r="D227" s="15" t="str">
        <f>IFERROR(INDEX('Прайс-лист'!$C$11:$C$310,MATCH(ROWS($A$16:A227),'Прайс-лист'!$T$11:$T$310,0)),"")</f>
        <v/>
      </c>
      <c r="E227" s="15" t="str">
        <f>IFERROR(INDEX('Прайс-лист'!$E$11:$E$310,MATCH(ROWS($A$16:A227),'Прайс-лист'!$T$11:$T$310,0)),"")</f>
        <v/>
      </c>
      <c r="F227" s="15" t="str">
        <f>IFERROR(INDEX('Прайс-лист'!$F$11:$F$310,MATCH(ROWS($A$16:A227),'Прайс-лист'!$T$11:$T$310,0)),"")</f>
        <v/>
      </c>
      <c r="G227" s="16" t="str">
        <f>IFERROR(INDEX('Прайс-лист'!$R$11:$R$310,MATCH(ROWS($A$16:A227),'Прайс-лист'!$T$11:$T$310,0)),"")</f>
        <v/>
      </c>
      <c r="H227" s="15" t="str">
        <f>IFERROR(INDEX('Прайс-лист'!$P$11:$P$310,MATCH(ROWS($A$16:A227),'Прайс-лист'!$T$11:$T$310,0)),"")</f>
        <v/>
      </c>
      <c r="I227" s="16" t="str">
        <f>IFERROR(INDEX('Прайс-лист'!$S$11:$S$310,MATCH(ROWS($A$16:A227),'Прайс-лист'!$T$11:$T$310,0)),"")</f>
        <v/>
      </c>
      <c r="J227" s="15" t="str">
        <f>IFERROR(INDEX('Прайс-лист'!$Q$11:$Q$310,MATCH(ROWS($A$16:A227),'Прайс-лист'!$T$11:$T$310,0)),"")</f>
        <v/>
      </c>
    </row>
    <row r="228" spans="1:10" ht="13.5" customHeight="1" x14ac:dyDescent="0.2">
      <c r="A228" s="15" t="str">
        <f>IFERROR(IF(INDEX('Прайс-лист'!$T$11:$T$310,MATCH(ROWS($A$16:A228),'Прайс-лист'!$T$11:$T$310,0))="","",ROWS($A$16:A228)),"")</f>
        <v/>
      </c>
      <c r="B228" s="15" t="str">
        <f>IFERROR(INDEX('Прайс-лист'!$A$11:$A$310,MATCH(ROWS($A$16:A228),'Прайс-лист'!$T$11:$T$310,0)),"")</f>
        <v/>
      </c>
      <c r="C228" s="15" t="str">
        <f>IFERROR(INDEX('Прайс-лист'!$B$11:$B$310,MATCH(ROWS($A$16:A228),'Прайс-лист'!$T$11:$T$310,0)),"")</f>
        <v/>
      </c>
      <c r="D228" s="15" t="str">
        <f>IFERROR(INDEX('Прайс-лист'!$C$11:$C$310,MATCH(ROWS($A$16:A228),'Прайс-лист'!$T$11:$T$310,0)),"")</f>
        <v/>
      </c>
      <c r="E228" s="15" t="str">
        <f>IFERROR(INDEX('Прайс-лист'!$E$11:$E$310,MATCH(ROWS($A$16:A228),'Прайс-лист'!$T$11:$T$310,0)),"")</f>
        <v/>
      </c>
      <c r="F228" s="15" t="str">
        <f>IFERROR(INDEX('Прайс-лист'!$F$11:$F$310,MATCH(ROWS($A$16:A228),'Прайс-лист'!$T$11:$T$310,0)),"")</f>
        <v/>
      </c>
      <c r="G228" s="16" t="str">
        <f>IFERROR(INDEX('Прайс-лист'!$R$11:$R$310,MATCH(ROWS($A$16:A228),'Прайс-лист'!$T$11:$T$310,0)),"")</f>
        <v/>
      </c>
      <c r="H228" s="15" t="str">
        <f>IFERROR(INDEX('Прайс-лист'!$P$11:$P$310,MATCH(ROWS($A$16:A228),'Прайс-лист'!$T$11:$T$310,0)),"")</f>
        <v/>
      </c>
      <c r="I228" s="16" t="str">
        <f>IFERROR(INDEX('Прайс-лист'!$S$11:$S$310,MATCH(ROWS($A$16:A228),'Прайс-лист'!$T$11:$T$310,0)),"")</f>
        <v/>
      </c>
      <c r="J228" s="15" t="str">
        <f>IFERROR(INDEX('Прайс-лист'!$Q$11:$Q$310,MATCH(ROWS($A$16:A228),'Прайс-лист'!$T$11:$T$310,0)),"")</f>
        <v/>
      </c>
    </row>
    <row r="229" spans="1:10" ht="13.5" customHeight="1" x14ac:dyDescent="0.2">
      <c r="A229" s="15" t="str">
        <f>IFERROR(IF(INDEX('Прайс-лист'!$T$11:$T$310,MATCH(ROWS($A$16:A229),'Прайс-лист'!$T$11:$T$310,0))="","",ROWS($A$16:A229)),"")</f>
        <v/>
      </c>
      <c r="B229" s="15" t="str">
        <f>IFERROR(INDEX('Прайс-лист'!$A$11:$A$310,MATCH(ROWS($A$16:A229),'Прайс-лист'!$T$11:$T$310,0)),"")</f>
        <v/>
      </c>
      <c r="C229" s="15" t="str">
        <f>IFERROR(INDEX('Прайс-лист'!$B$11:$B$310,MATCH(ROWS($A$16:A229),'Прайс-лист'!$T$11:$T$310,0)),"")</f>
        <v/>
      </c>
      <c r="D229" s="15" t="str">
        <f>IFERROR(INDEX('Прайс-лист'!$C$11:$C$310,MATCH(ROWS($A$16:A229),'Прайс-лист'!$T$11:$T$310,0)),"")</f>
        <v/>
      </c>
      <c r="E229" s="15" t="str">
        <f>IFERROR(INDEX('Прайс-лист'!$E$11:$E$310,MATCH(ROWS($A$16:A229),'Прайс-лист'!$T$11:$T$310,0)),"")</f>
        <v/>
      </c>
      <c r="F229" s="15" t="str">
        <f>IFERROR(INDEX('Прайс-лист'!$F$11:$F$310,MATCH(ROWS($A$16:A229),'Прайс-лист'!$T$11:$T$310,0)),"")</f>
        <v/>
      </c>
      <c r="G229" s="16" t="str">
        <f>IFERROR(INDEX('Прайс-лист'!$R$11:$R$310,MATCH(ROWS($A$16:A229),'Прайс-лист'!$T$11:$T$310,0)),"")</f>
        <v/>
      </c>
      <c r="H229" s="15" t="str">
        <f>IFERROR(INDEX('Прайс-лист'!$P$11:$P$310,MATCH(ROWS($A$16:A229),'Прайс-лист'!$T$11:$T$310,0)),"")</f>
        <v/>
      </c>
      <c r="I229" s="16" t="str">
        <f>IFERROR(INDEX('Прайс-лист'!$S$11:$S$310,MATCH(ROWS($A$16:A229),'Прайс-лист'!$T$11:$T$310,0)),"")</f>
        <v/>
      </c>
      <c r="J229" s="15" t="str">
        <f>IFERROR(INDEX('Прайс-лист'!$Q$11:$Q$310,MATCH(ROWS($A$16:A229),'Прайс-лист'!$T$11:$T$310,0)),"")</f>
        <v/>
      </c>
    </row>
    <row r="230" spans="1:10" ht="13.5" customHeight="1" x14ac:dyDescent="0.2">
      <c r="A230" s="15" t="str">
        <f>IFERROR(IF(INDEX('Прайс-лист'!$T$11:$T$310,MATCH(ROWS($A$16:A230),'Прайс-лист'!$T$11:$T$310,0))="","",ROWS($A$16:A230)),"")</f>
        <v/>
      </c>
      <c r="B230" s="15" t="str">
        <f>IFERROR(INDEX('Прайс-лист'!$A$11:$A$310,MATCH(ROWS($A$16:A230),'Прайс-лист'!$T$11:$T$310,0)),"")</f>
        <v/>
      </c>
      <c r="C230" s="15" t="str">
        <f>IFERROR(INDEX('Прайс-лист'!$B$11:$B$310,MATCH(ROWS($A$16:A230),'Прайс-лист'!$T$11:$T$310,0)),"")</f>
        <v/>
      </c>
      <c r="D230" s="15" t="str">
        <f>IFERROR(INDEX('Прайс-лист'!$C$11:$C$310,MATCH(ROWS($A$16:A230),'Прайс-лист'!$T$11:$T$310,0)),"")</f>
        <v/>
      </c>
      <c r="E230" s="15" t="str">
        <f>IFERROR(INDEX('Прайс-лист'!$E$11:$E$310,MATCH(ROWS($A$16:A230),'Прайс-лист'!$T$11:$T$310,0)),"")</f>
        <v/>
      </c>
      <c r="F230" s="15" t="str">
        <f>IFERROR(INDEX('Прайс-лист'!$F$11:$F$310,MATCH(ROWS($A$16:A230),'Прайс-лист'!$T$11:$T$310,0)),"")</f>
        <v/>
      </c>
      <c r="G230" s="16" t="str">
        <f>IFERROR(INDEX('Прайс-лист'!$R$11:$R$310,MATCH(ROWS($A$16:A230),'Прайс-лист'!$T$11:$T$310,0)),"")</f>
        <v/>
      </c>
      <c r="H230" s="15" t="str">
        <f>IFERROR(INDEX('Прайс-лист'!$P$11:$P$310,MATCH(ROWS($A$16:A230),'Прайс-лист'!$T$11:$T$310,0)),"")</f>
        <v/>
      </c>
      <c r="I230" s="16" t="str">
        <f>IFERROR(INDEX('Прайс-лист'!$S$11:$S$310,MATCH(ROWS($A$16:A230),'Прайс-лист'!$T$11:$T$310,0)),"")</f>
        <v/>
      </c>
      <c r="J230" s="15" t="str">
        <f>IFERROR(INDEX('Прайс-лист'!$Q$11:$Q$310,MATCH(ROWS($A$16:A230),'Прайс-лист'!$T$11:$T$310,0)),"")</f>
        <v/>
      </c>
    </row>
    <row r="231" spans="1:10" ht="13.5" customHeight="1" x14ac:dyDescent="0.2">
      <c r="A231" s="15" t="str">
        <f>IFERROR(IF(INDEX('Прайс-лист'!$T$11:$T$310,MATCH(ROWS($A$16:A231),'Прайс-лист'!$T$11:$T$310,0))="","",ROWS($A$16:A231)),"")</f>
        <v/>
      </c>
      <c r="B231" s="15" t="str">
        <f>IFERROR(INDEX('Прайс-лист'!$A$11:$A$310,MATCH(ROWS($A$16:A231),'Прайс-лист'!$T$11:$T$310,0)),"")</f>
        <v/>
      </c>
      <c r="C231" s="15" t="str">
        <f>IFERROR(INDEX('Прайс-лист'!$B$11:$B$310,MATCH(ROWS($A$16:A231),'Прайс-лист'!$T$11:$T$310,0)),"")</f>
        <v/>
      </c>
      <c r="D231" s="15" t="str">
        <f>IFERROR(INDEX('Прайс-лист'!$C$11:$C$310,MATCH(ROWS($A$16:A231),'Прайс-лист'!$T$11:$T$310,0)),"")</f>
        <v/>
      </c>
      <c r="E231" s="15" t="str">
        <f>IFERROR(INDEX('Прайс-лист'!$E$11:$E$310,MATCH(ROWS($A$16:A231),'Прайс-лист'!$T$11:$T$310,0)),"")</f>
        <v/>
      </c>
      <c r="F231" s="15" t="str">
        <f>IFERROR(INDEX('Прайс-лист'!$F$11:$F$310,MATCH(ROWS($A$16:A231),'Прайс-лист'!$T$11:$T$310,0)),"")</f>
        <v/>
      </c>
      <c r="G231" s="16" t="str">
        <f>IFERROR(INDEX('Прайс-лист'!$R$11:$R$310,MATCH(ROWS($A$16:A231),'Прайс-лист'!$T$11:$T$310,0)),"")</f>
        <v/>
      </c>
      <c r="H231" s="15" t="str">
        <f>IFERROR(INDEX('Прайс-лист'!$P$11:$P$310,MATCH(ROWS($A$16:A231),'Прайс-лист'!$T$11:$T$310,0)),"")</f>
        <v/>
      </c>
      <c r="I231" s="16" t="str">
        <f>IFERROR(INDEX('Прайс-лист'!$S$11:$S$310,MATCH(ROWS($A$16:A231),'Прайс-лист'!$T$11:$T$310,0)),"")</f>
        <v/>
      </c>
      <c r="J231" s="15" t="str">
        <f>IFERROR(INDEX('Прайс-лист'!$Q$11:$Q$310,MATCH(ROWS($A$16:A231),'Прайс-лист'!$T$11:$T$310,0)),"")</f>
        <v/>
      </c>
    </row>
    <row r="232" spans="1:10" ht="13.5" customHeight="1" x14ac:dyDescent="0.2">
      <c r="A232" s="15" t="str">
        <f>IFERROR(IF(INDEX('Прайс-лист'!$T$11:$T$310,MATCH(ROWS($A$16:A232),'Прайс-лист'!$T$11:$T$310,0))="","",ROWS($A$16:A232)),"")</f>
        <v/>
      </c>
      <c r="B232" s="15" t="str">
        <f>IFERROR(INDEX('Прайс-лист'!$A$11:$A$310,MATCH(ROWS($A$16:A232),'Прайс-лист'!$T$11:$T$310,0)),"")</f>
        <v/>
      </c>
      <c r="C232" s="15" t="str">
        <f>IFERROR(INDEX('Прайс-лист'!$B$11:$B$310,MATCH(ROWS($A$16:A232),'Прайс-лист'!$T$11:$T$310,0)),"")</f>
        <v/>
      </c>
      <c r="D232" s="15" t="str">
        <f>IFERROR(INDEX('Прайс-лист'!$C$11:$C$310,MATCH(ROWS($A$16:A232),'Прайс-лист'!$T$11:$T$310,0)),"")</f>
        <v/>
      </c>
      <c r="E232" s="15" t="str">
        <f>IFERROR(INDEX('Прайс-лист'!$E$11:$E$310,MATCH(ROWS($A$16:A232),'Прайс-лист'!$T$11:$T$310,0)),"")</f>
        <v/>
      </c>
      <c r="F232" s="15" t="str">
        <f>IFERROR(INDEX('Прайс-лист'!$F$11:$F$310,MATCH(ROWS($A$16:A232),'Прайс-лист'!$T$11:$T$310,0)),"")</f>
        <v/>
      </c>
      <c r="G232" s="16" t="str">
        <f>IFERROR(INDEX('Прайс-лист'!$R$11:$R$310,MATCH(ROWS($A$16:A232),'Прайс-лист'!$T$11:$T$310,0)),"")</f>
        <v/>
      </c>
      <c r="H232" s="15" t="str">
        <f>IFERROR(INDEX('Прайс-лист'!$P$11:$P$310,MATCH(ROWS($A$16:A232),'Прайс-лист'!$T$11:$T$310,0)),"")</f>
        <v/>
      </c>
      <c r="I232" s="16" t="str">
        <f>IFERROR(INDEX('Прайс-лист'!$S$11:$S$310,MATCH(ROWS($A$16:A232),'Прайс-лист'!$T$11:$T$310,0)),"")</f>
        <v/>
      </c>
      <c r="J232" s="15" t="str">
        <f>IFERROR(INDEX('Прайс-лист'!$Q$11:$Q$310,MATCH(ROWS($A$16:A232),'Прайс-лист'!$T$11:$T$310,0)),"")</f>
        <v/>
      </c>
    </row>
    <row r="233" spans="1:10" ht="13.5" customHeight="1" x14ac:dyDescent="0.2">
      <c r="A233" s="15" t="str">
        <f>IFERROR(IF(INDEX('Прайс-лист'!$T$11:$T$310,MATCH(ROWS($A$16:A233),'Прайс-лист'!$T$11:$T$310,0))="","",ROWS($A$16:A233)),"")</f>
        <v/>
      </c>
      <c r="B233" s="15" t="str">
        <f>IFERROR(INDEX('Прайс-лист'!$A$11:$A$310,MATCH(ROWS($A$16:A233),'Прайс-лист'!$T$11:$T$310,0)),"")</f>
        <v/>
      </c>
      <c r="C233" s="15" t="str">
        <f>IFERROR(INDEX('Прайс-лист'!$B$11:$B$310,MATCH(ROWS($A$16:A233),'Прайс-лист'!$T$11:$T$310,0)),"")</f>
        <v/>
      </c>
      <c r="D233" s="15" t="str">
        <f>IFERROR(INDEX('Прайс-лист'!$C$11:$C$310,MATCH(ROWS($A$16:A233),'Прайс-лист'!$T$11:$T$310,0)),"")</f>
        <v/>
      </c>
      <c r="E233" s="15" t="str">
        <f>IFERROR(INDEX('Прайс-лист'!$E$11:$E$310,MATCH(ROWS($A$16:A233),'Прайс-лист'!$T$11:$T$310,0)),"")</f>
        <v/>
      </c>
      <c r="F233" s="15" t="str">
        <f>IFERROR(INDEX('Прайс-лист'!$F$11:$F$310,MATCH(ROWS($A$16:A233),'Прайс-лист'!$T$11:$T$310,0)),"")</f>
        <v/>
      </c>
      <c r="G233" s="16" t="str">
        <f>IFERROR(INDEX('Прайс-лист'!$R$11:$R$310,MATCH(ROWS($A$16:A233),'Прайс-лист'!$T$11:$T$310,0)),"")</f>
        <v/>
      </c>
      <c r="H233" s="15" t="str">
        <f>IFERROR(INDEX('Прайс-лист'!$P$11:$P$310,MATCH(ROWS($A$16:A233),'Прайс-лист'!$T$11:$T$310,0)),"")</f>
        <v/>
      </c>
      <c r="I233" s="16" t="str">
        <f>IFERROR(INDEX('Прайс-лист'!$S$11:$S$310,MATCH(ROWS($A$16:A233),'Прайс-лист'!$T$11:$T$310,0)),"")</f>
        <v/>
      </c>
      <c r="J233" s="15" t="str">
        <f>IFERROR(INDEX('Прайс-лист'!$Q$11:$Q$310,MATCH(ROWS($A$16:A233),'Прайс-лист'!$T$11:$T$310,0)),"")</f>
        <v/>
      </c>
    </row>
    <row r="234" spans="1:10" ht="13.5" customHeight="1" x14ac:dyDescent="0.2">
      <c r="A234" s="15" t="str">
        <f>IFERROR(IF(INDEX('Прайс-лист'!$T$11:$T$310,MATCH(ROWS($A$16:A234),'Прайс-лист'!$T$11:$T$310,0))="","",ROWS($A$16:A234)),"")</f>
        <v/>
      </c>
      <c r="B234" s="15" t="str">
        <f>IFERROR(INDEX('Прайс-лист'!$A$11:$A$310,MATCH(ROWS($A$16:A234),'Прайс-лист'!$T$11:$T$310,0)),"")</f>
        <v/>
      </c>
      <c r="C234" s="15" t="str">
        <f>IFERROR(INDEX('Прайс-лист'!$B$11:$B$310,MATCH(ROWS($A$16:A234),'Прайс-лист'!$T$11:$T$310,0)),"")</f>
        <v/>
      </c>
      <c r="D234" s="15" t="str">
        <f>IFERROR(INDEX('Прайс-лист'!$C$11:$C$310,MATCH(ROWS($A$16:A234),'Прайс-лист'!$T$11:$T$310,0)),"")</f>
        <v/>
      </c>
      <c r="E234" s="15" t="str">
        <f>IFERROR(INDEX('Прайс-лист'!$E$11:$E$310,MATCH(ROWS($A$16:A234),'Прайс-лист'!$T$11:$T$310,0)),"")</f>
        <v/>
      </c>
      <c r="F234" s="15" t="str">
        <f>IFERROR(INDEX('Прайс-лист'!$F$11:$F$310,MATCH(ROWS($A$16:A234),'Прайс-лист'!$T$11:$T$310,0)),"")</f>
        <v/>
      </c>
      <c r="G234" s="16" t="str">
        <f>IFERROR(INDEX('Прайс-лист'!$R$11:$R$310,MATCH(ROWS($A$16:A234),'Прайс-лист'!$T$11:$T$310,0)),"")</f>
        <v/>
      </c>
      <c r="H234" s="15" t="str">
        <f>IFERROR(INDEX('Прайс-лист'!$P$11:$P$310,MATCH(ROWS($A$16:A234),'Прайс-лист'!$T$11:$T$310,0)),"")</f>
        <v/>
      </c>
      <c r="I234" s="16" t="str">
        <f>IFERROR(INDEX('Прайс-лист'!$S$11:$S$310,MATCH(ROWS($A$16:A234),'Прайс-лист'!$T$11:$T$310,0)),"")</f>
        <v/>
      </c>
      <c r="J234" s="15" t="str">
        <f>IFERROR(INDEX('Прайс-лист'!$Q$11:$Q$310,MATCH(ROWS($A$16:A234),'Прайс-лист'!$T$11:$T$310,0)),"")</f>
        <v/>
      </c>
    </row>
    <row r="235" spans="1:10" ht="13.5" customHeight="1" x14ac:dyDescent="0.2">
      <c r="A235" s="15" t="str">
        <f>IFERROR(IF(INDEX('Прайс-лист'!$T$11:$T$310,MATCH(ROWS($A$16:A235),'Прайс-лист'!$T$11:$T$310,0))="","",ROWS($A$16:A235)),"")</f>
        <v/>
      </c>
      <c r="B235" s="15" t="str">
        <f>IFERROR(INDEX('Прайс-лист'!$A$11:$A$310,MATCH(ROWS($A$16:A235),'Прайс-лист'!$T$11:$T$310,0)),"")</f>
        <v/>
      </c>
      <c r="C235" s="15" t="str">
        <f>IFERROR(INDEX('Прайс-лист'!$B$11:$B$310,MATCH(ROWS($A$16:A235),'Прайс-лист'!$T$11:$T$310,0)),"")</f>
        <v/>
      </c>
      <c r="D235" s="15" t="str">
        <f>IFERROR(INDEX('Прайс-лист'!$C$11:$C$310,MATCH(ROWS($A$16:A235),'Прайс-лист'!$T$11:$T$310,0)),"")</f>
        <v/>
      </c>
      <c r="E235" s="15" t="str">
        <f>IFERROR(INDEX('Прайс-лист'!$E$11:$E$310,MATCH(ROWS($A$16:A235),'Прайс-лист'!$T$11:$T$310,0)),"")</f>
        <v/>
      </c>
      <c r="F235" s="15" t="str">
        <f>IFERROR(INDEX('Прайс-лист'!$F$11:$F$310,MATCH(ROWS($A$16:A235),'Прайс-лист'!$T$11:$T$310,0)),"")</f>
        <v/>
      </c>
      <c r="G235" s="16" t="str">
        <f>IFERROR(INDEX('Прайс-лист'!$R$11:$R$310,MATCH(ROWS($A$16:A235),'Прайс-лист'!$T$11:$T$310,0)),"")</f>
        <v/>
      </c>
      <c r="H235" s="15" t="str">
        <f>IFERROR(INDEX('Прайс-лист'!$P$11:$P$310,MATCH(ROWS($A$16:A235),'Прайс-лист'!$T$11:$T$310,0)),"")</f>
        <v/>
      </c>
      <c r="I235" s="16" t="str">
        <f>IFERROR(INDEX('Прайс-лист'!$S$11:$S$310,MATCH(ROWS($A$16:A235),'Прайс-лист'!$T$11:$T$310,0)),"")</f>
        <v/>
      </c>
      <c r="J235" s="15" t="str">
        <f>IFERROR(INDEX('Прайс-лист'!$Q$11:$Q$310,MATCH(ROWS($A$16:A235),'Прайс-лист'!$T$11:$T$310,0)),"")</f>
        <v/>
      </c>
    </row>
    <row r="236" spans="1:10" ht="13.5" customHeight="1" x14ac:dyDescent="0.2">
      <c r="A236" s="15" t="str">
        <f>IFERROR(IF(INDEX('Прайс-лист'!$T$11:$T$310,MATCH(ROWS($A$16:A236),'Прайс-лист'!$T$11:$T$310,0))="","",ROWS($A$16:A236)),"")</f>
        <v/>
      </c>
      <c r="B236" s="15" t="str">
        <f>IFERROR(INDEX('Прайс-лист'!$A$11:$A$310,MATCH(ROWS($A$16:A236),'Прайс-лист'!$T$11:$T$310,0)),"")</f>
        <v/>
      </c>
      <c r="C236" s="15" t="str">
        <f>IFERROR(INDEX('Прайс-лист'!$B$11:$B$310,MATCH(ROWS($A$16:A236),'Прайс-лист'!$T$11:$T$310,0)),"")</f>
        <v/>
      </c>
      <c r="D236" s="15" t="str">
        <f>IFERROR(INDEX('Прайс-лист'!$C$11:$C$310,MATCH(ROWS($A$16:A236),'Прайс-лист'!$T$11:$T$310,0)),"")</f>
        <v/>
      </c>
      <c r="E236" s="15" t="str">
        <f>IFERROR(INDEX('Прайс-лист'!$E$11:$E$310,MATCH(ROWS($A$16:A236),'Прайс-лист'!$T$11:$T$310,0)),"")</f>
        <v/>
      </c>
      <c r="F236" s="15" t="str">
        <f>IFERROR(INDEX('Прайс-лист'!$F$11:$F$310,MATCH(ROWS($A$16:A236),'Прайс-лист'!$T$11:$T$310,0)),"")</f>
        <v/>
      </c>
      <c r="G236" s="16" t="str">
        <f>IFERROR(INDEX('Прайс-лист'!$R$11:$R$310,MATCH(ROWS($A$16:A236),'Прайс-лист'!$T$11:$T$310,0)),"")</f>
        <v/>
      </c>
      <c r="H236" s="15" t="str">
        <f>IFERROR(INDEX('Прайс-лист'!$P$11:$P$310,MATCH(ROWS($A$16:A236),'Прайс-лист'!$T$11:$T$310,0)),"")</f>
        <v/>
      </c>
      <c r="I236" s="16" t="str">
        <f>IFERROR(INDEX('Прайс-лист'!$S$11:$S$310,MATCH(ROWS($A$16:A236),'Прайс-лист'!$T$11:$T$310,0)),"")</f>
        <v/>
      </c>
      <c r="J236" s="15" t="str">
        <f>IFERROR(INDEX('Прайс-лист'!$Q$11:$Q$310,MATCH(ROWS($A$16:A236),'Прайс-лист'!$T$11:$T$310,0)),"")</f>
        <v/>
      </c>
    </row>
    <row r="237" spans="1:10" ht="13.5" customHeight="1" x14ac:dyDescent="0.2">
      <c r="A237" s="15" t="str">
        <f>IFERROR(IF(INDEX('Прайс-лист'!$T$11:$T$310,MATCH(ROWS($A$16:A237),'Прайс-лист'!$T$11:$T$310,0))="","",ROWS($A$16:A237)),"")</f>
        <v/>
      </c>
      <c r="B237" s="15" t="str">
        <f>IFERROR(INDEX('Прайс-лист'!$A$11:$A$310,MATCH(ROWS($A$16:A237),'Прайс-лист'!$T$11:$T$310,0)),"")</f>
        <v/>
      </c>
      <c r="C237" s="15" t="str">
        <f>IFERROR(INDEX('Прайс-лист'!$B$11:$B$310,MATCH(ROWS($A$16:A237),'Прайс-лист'!$T$11:$T$310,0)),"")</f>
        <v/>
      </c>
      <c r="D237" s="15" t="str">
        <f>IFERROR(INDEX('Прайс-лист'!$C$11:$C$310,MATCH(ROWS($A$16:A237),'Прайс-лист'!$T$11:$T$310,0)),"")</f>
        <v/>
      </c>
      <c r="E237" s="15" t="str">
        <f>IFERROR(INDEX('Прайс-лист'!$E$11:$E$310,MATCH(ROWS($A$16:A237),'Прайс-лист'!$T$11:$T$310,0)),"")</f>
        <v/>
      </c>
      <c r="F237" s="15" t="str">
        <f>IFERROR(INDEX('Прайс-лист'!$F$11:$F$310,MATCH(ROWS($A$16:A237),'Прайс-лист'!$T$11:$T$310,0)),"")</f>
        <v/>
      </c>
      <c r="G237" s="16" t="str">
        <f>IFERROR(INDEX('Прайс-лист'!$R$11:$R$310,MATCH(ROWS($A$16:A237),'Прайс-лист'!$T$11:$T$310,0)),"")</f>
        <v/>
      </c>
      <c r="H237" s="15" t="str">
        <f>IFERROR(INDEX('Прайс-лист'!$P$11:$P$310,MATCH(ROWS($A$16:A237),'Прайс-лист'!$T$11:$T$310,0)),"")</f>
        <v/>
      </c>
      <c r="I237" s="16" t="str">
        <f>IFERROR(INDEX('Прайс-лист'!$S$11:$S$310,MATCH(ROWS($A$16:A237),'Прайс-лист'!$T$11:$T$310,0)),"")</f>
        <v/>
      </c>
      <c r="J237" s="15" t="str">
        <f>IFERROR(INDEX('Прайс-лист'!$Q$11:$Q$310,MATCH(ROWS($A$16:A237),'Прайс-лист'!$T$11:$T$310,0)),"")</f>
        <v/>
      </c>
    </row>
    <row r="238" spans="1:10" ht="13.5" customHeight="1" x14ac:dyDescent="0.2">
      <c r="A238" s="15" t="str">
        <f>IFERROR(IF(INDEX('Прайс-лист'!$T$11:$T$310,MATCH(ROWS($A$16:A238),'Прайс-лист'!$T$11:$T$310,0))="","",ROWS($A$16:A238)),"")</f>
        <v/>
      </c>
      <c r="B238" s="15" t="str">
        <f>IFERROR(INDEX('Прайс-лист'!$A$11:$A$310,MATCH(ROWS($A$16:A238),'Прайс-лист'!$T$11:$T$310,0)),"")</f>
        <v/>
      </c>
      <c r="C238" s="15" t="str">
        <f>IFERROR(INDEX('Прайс-лист'!$B$11:$B$310,MATCH(ROWS($A$16:A238),'Прайс-лист'!$T$11:$T$310,0)),"")</f>
        <v/>
      </c>
      <c r="D238" s="15" t="str">
        <f>IFERROR(INDEX('Прайс-лист'!$C$11:$C$310,MATCH(ROWS($A$16:A238),'Прайс-лист'!$T$11:$T$310,0)),"")</f>
        <v/>
      </c>
      <c r="E238" s="15" t="str">
        <f>IFERROR(INDEX('Прайс-лист'!$E$11:$E$310,MATCH(ROWS($A$16:A238),'Прайс-лист'!$T$11:$T$310,0)),"")</f>
        <v/>
      </c>
      <c r="F238" s="15" t="str">
        <f>IFERROR(INDEX('Прайс-лист'!$F$11:$F$310,MATCH(ROWS($A$16:A238),'Прайс-лист'!$T$11:$T$310,0)),"")</f>
        <v/>
      </c>
      <c r="G238" s="16" t="str">
        <f>IFERROR(INDEX('Прайс-лист'!$R$11:$R$310,MATCH(ROWS($A$16:A238),'Прайс-лист'!$T$11:$T$310,0)),"")</f>
        <v/>
      </c>
      <c r="H238" s="15" t="str">
        <f>IFERROR(INDEX('Прайс-лист'!$P$11:$P$310,MATCH(ROWS($A$16:A238),'Прайс-лист'!$T$11:$T$310,0)),"")</f>
        <v/>
      </c>
      <c r="I238" s="16" t="str">
        <f>IFERROR(INDEX('Прайс-лист'!$S$11:$S$310,MATCH(ROWS($A$16:A238),'Прайс-лист'!$T$11:$T$310,0)),"")</f>
        <v/>
      </c>
      <c r="J238" s="15" t="str">
        <f>IFERROR(INDEX('Прайс-лист'!$Q$11:$Q$310,MATCH(ROWS($A$16:A238),'Прайс-лист'!$T$11:$T$310,0)),"")</f>
        <v/>
      </c>
    </row>
    <row r="239" spans="1:10" ht="13.5" customHeight="1" x14ac:dyDescent="0.2">
      <c r="A239" s="15" t="str">
        <f>IFERROR(IF(INDEX('Прайс-лист'!$T$11:$T$310,MATCH(ROWS($A$16:A239),'Прайс-лист'!$T$11:$T$310,0))="","",ROWS($A$16:A239)),"")</f>
        <v/>
      </c>
      <c r="B239" s="15" t="str">
        <f>IFERROR(INDEX('Прайс-лист'!$A$11:$A$310,MATCH(ROWS($A$16:A239),'Прайс-лист'!$T$11:$T$310,0)),"")</f>
        <v/>
      </c>
      <c r="C239" s="15" t="str">
        <f>IFERROR(INDEX('Прайс-лист'!$B$11:$B$310,MATCH(ROWS($A$16:A239),'Прайс-лист'!$T$11:$T$310,0)),"")</f>
        <v/>
      </c>
      <c r="D239" s="15" t="str">
        <f>IFERROR(INDEX('Прайс-лист'!$C$11:$C$310,MATCH(ROWS($A$16:A239),'Прайс-лист'!$T$11:$T$310,0)),"")</f>
        <v/>
      </c>
      <c r="E239" s="15" t="str">
        <f>IFERROR(INDEX('Прайс-лист'!$E$11:$E$310,MATCH(ROWS($A$16:A239),'Прайс-лист'!$T$11:$T$310,0)),"")</f>
        <v/>
      </c>
      <c r="F239" s="15" t="str">
        <f>IFERROR(INDEX('Прайс-лист'!$F$11:$F$310,MATCH(ROWS($A$16:A239),'Прайс-лист'!$T$11:$T$310,0)),"")</f>
        <v/>
      </c>
      <c r="G239" s="16" t="str">
        <f>IFERROR(INDEX('Прайс-лист'!$R$11:$R$310,MATCH(ROWS($A$16:A239),'Прайс-лист'!$T$11:$T$310,0)),"")</f>
        <v/>
      </c>
      <c r="H239" s="15" t="str">
        <f>IFERROR(INDEX('Прайс-лист'!$P$11:$P$310,MATCH(ROWS($A$16:A239),'Прайс-лист'!$T$11:$T$310,0)),"")</f>
        <v/>
      </c>
      <c r="I239" s="16" t="str">
        <f>IFERROR(INDEX('Прайс-лист'!$S$11:$S$310,MATCH(ROWS($A$16:A239),'Прайс-лист'!$T$11:$T$310,0)),"")</f>
        <v/>
      </c>
      <c r="J239" s="15" t="str">
        <f>IFERROR(INDEX('Прайс-лист'!$Q$11:$Q$310,MATCH(ROWS($A$16:A239),'Прайс-лист'!$T$11:$T$310,0)),"")</f>
        <v/>
      </c>
    </row>
    <row r="240" spans="1:10" ht="13.5" customHeight="1" x14ac:dyDescent="0.2">
      <c r="A240" s="15" t="str">
        <f>IFERROR(IF(INDEX('Прайс-лист'!$T$11:$T$310,MATCH(ROWS($A$16:A240),'Прайс-лист'!$T$11:$T$310,0))="","",ROWS($A$16:A240)),"")</f>
        <v/>
      </c>
      <c r="B240" s="15" t="str">
        <f>IFERROR(INDEX('Прайс-лист'!$A$11:$A$310,MATCH(ROWS($A$16:A240),'Прайс-лист'!$T$11:$T$310,0)),"")</f>
        <v/>
      </c>
      <c r="C240" s="15" t="str">
        <f>IFERROR(INDEX('Прайс-лист'!$B$11:$B$310,MATCH(ROWS($A$16:A240),'Прайс-лист'!$T$11:$T$310,0)),"")</f>
        <v/>
      </c>
      <c r="D240" s="15" t="str">
        <f>IFERROR(INDEX('Прайс-лист'!$C$11:$C$310,MATCH(ROWS($A$16:A240),'Прайс-лист'!$T$11:$T$310,0)),"")</f>
        <v/>
      </c>
      <c r="E240" s="15" t="str">
        <f>IFERROR(INDEX('Прайс-лист'!$E$11:$E$310,MATCH(ROWS($A$16:A240),'Прайс-лист'!$T$11:$T$310,0)),"")</f>
        <v/>
      </c>
      <c r="F240" s="15" t="str">
        <f>IFERROR(INDEX('Прайс-лист'!$F$11:$F$310,MATCH(ROWS($A$16:A240),'Прайс-лист'!$T$11:$T$310,0)),"")</f>
        <v/>
      </c>
      <c r="G240" s="16" t="str">
        <f>IFERROR(INDEX('Прайс-лист'!$R$11:$R$310,MATCH(ROWS($A$16:A240),'Прайс-лист'!$T$11:$T$310,0)),"")</f>
        <v/>
      </c>
      <c r="H240" s="15" t="str">
        <f>IFERROR(INDEX('Прайс-лист'!$P$11:$P$310,MATCH(ROWS($A$16:A240),'Прайс-лист'!$T$11:$T$310,0)),"")</f>
        <v/>
      </c>
      <c r="I240" s="16" t="str">
        <f>IFERROR(INDEX('Прайс-лист'!$S$11:$S$310,MATCH(ROWS($A$16:A240),'Прайс-лист'!$T$11:$T$310,0)),"")</f>
        <v/>
      </c>
      <c r="J240" s="15" t="str">
        <f>IFERROR(INDEX('Прайс-лист'!$Q$11:$Q$310,MATCH(ROWS($A$16:A240),'Прайс-лист'!$T$11:$T$310,0)),"")</f>
        <v/>
      </c>
    </row>
    <row r="241" spans="1:10" ht="13.5" customHeight="1" x14ac:dyDescent="0.2">
      <c r="A241" s="15" t="str">
        <f>IFERROR(IF(INDEX('Прайс-лист'!$T$11:$T$310,MATCH(ROWS($A$16:A241),'Прайс-лист'!$T$11:$T$310,0))="","",ROWS($A$16:A241)),"")</f>
        <v/>
      </c>
      <c r="B241" s="15" t="str">
        <f>IFERROR(INDEX('Прайс-лист'!$A$11:$A$310,MATCH(ROWS($A$16:A241),'Прайс-лист'!$T$11:$T$310,0)),"")</f>
        <v/>
      </c>
      <c r="C241" s="15" t="str">
        <f>IFERROR(INDEX('Прайс-лист'!$B$11:$B$310,MATCH(ROWS($A$16:A241),'Прайс-лист'!$T$11:$T$310,0)),"")</f>
        <v/>
      </c>
      <c r="D241" s="15" t="str">
        <f>IFERROR(INDEX('Прайс-лист'!$C$11:$C$310,MATCH(ROWS($A$16:A241),'Прайс-лист'!$T$11:$T$310,0)),"")</f>
        <v/>
      </c>
      <c r="E241" s="15" t="str">
        <f>IFERROR(INDEX('Прайс-лист'!$E$11:$E$310,MATCH(ROWS($A$16:A241),'Прайс-лист'!$T$11:$T$310,0)),"")</f>
        <v/>
      </c>
      <c r="F241" s="15" t="str">
        <f>IFERROR(INDEX('Прайс-лист'!$F$11:$F$310,MATCH(ROWS($A$16:A241),'Прайс-лист'!$T$11:$T$310,0)),"")</f>
        <v/>
      </c>
      <c r="G241" s="16" t="str">
        <f>IFERROR(INDEX('Прайс-лист'!$R$11:$R$310,MATCH(ROWS($A$16:A241),'Прайс-лист'!$T$11:$T$310,0)),"")</f>
        <v/>
      </c>
      <c r="H241" s="15" t="str">
        <f>IFERROR(INDEX('Прайс-лист'!$P$11:$P$310,MATCH(ROWS($A$16:A241),'Прайс-лист'!$T$11:$T$310,0)),"")</f>
        <v/>
      </c>
      <c r="I241" s="16" t="str">
        <f>IFERROR(INDEX('Прайс-лист'!$S$11:$S$310,MATCH(ROWS($A$16:A241),'Прайс-лист'!$T$11:$T$310,0)),"")</f>
        <v/>
      </c>
      <c r="J241" s="15" t="str">
        <f>IFERROR(INDEX('Прайс-лист'!$Q$11:$Q$310,MATCH(ROWS($A$16:A241),'Прайс-лист'!$T$11:$T$310,0)),"")</f>
        <v/>
      </c>
    </row>
    <row r="242" spans="1:10" ht="13.5" customHeight="1" x14ac:dyDescent="0.2">
      <c r="A242" s="15" t="str">
        <f>IFERROR(IF(INDEX('Прайс-лист'!$T$11:$T$310,MATCH(ROWS($A$16:A242),'Прайс-лист'!$T$11:$T$310,0))="","",ROWS($A$16:A242)),"")</f>
        <v/>
      </c>
      <c r="B242" s="15" t="str">
        <f>IFERROR(INDEX('Прайс-лист'!$A$11:$A$310,MATCH(ROWS($A$16:A242),'Прайс-лист'!$T$11:$T$310,0)),"")</f>
        <v/>
      </c>
      <c r="C242" s="15" t="str">
        <f>IFERROR(INDEX('Прайс-лист'!$B$11:$B$310,MATCH(ROWS($A$16:A242),'Прайс-лист'!$T$11:$T$310,0)),"")</f>
        <v/>
      </c>
      <c r="D242" s="15" t="str">
        <f>IFERROR(INDEX('Прайс-лист'!$C$11:$C$310,MATCH(ROWS($A$16:A242),'Прайс-лист'!$T$11:$T$310,0)),"")</f>
        <v/>
      </c>
      <c r="E242" s="15" t="str">
        <f>IFERROR(INDEX('Прайс-лист'!$E$11:$E$310,MATCH(ROWS($A$16:A242),'Прайс-лист'!$T$11:$T$310,0)),"")</f>
        <v/>
      </c>
      <c r="F242" s="15" t="str">
        <f>IFERROR(INDEX('Прайс-лист'!$F$11:$F$310,MATCH(ROWS($A$16:A242),'Прайс-лист'!$T$11:$T$310,0)),"")</f>
        <v/>
      </c>
      <c r="G242" s="16" t="str">
        <f>IFERROR(INDEX('Прайс-лист'!$R$11:$R$310,MATCH(ROWS($A$16:A242),'Прайс-лист'!$T$11:$T$310,0)),"")</f>
        <v/>
      </c>
      <c r="H242" s="15" t="str">
        <f>IFERROR(INDEX('Прайс-лист'!$P$11:$P$310,MATCH(ROWS($A$16:A242),'Прайс-лист'!$T$11:$T$310,0)),"")</f>
        <v/>
      </c>
      <c r="I242" s="16" t="str">
        <f>IFERROR(INDEX('Прайс-лист'!$S$11:$S$310,MATCH(ROWS($A$16:A242),'Прайс-лист'!$T$11:$T$310,0)),"")</f>
        <v/>
      </c>
      <c r="J242" s="15" t="str">
        <f>IFERROR(INDEX('Прайс-лист'!$Q$11:$Q$310,MATCH(ROWS($A$16:A242),'Прайс-лист'!$T$11:$T$310,0)),"")</f>
        <v/>
      </c>
    </row>
    <row r="243" spans="1:10" ht="13.5" customHeight="1" x14ac:dyDescent="0.2">
      <c r="A243" s="15" t="str">
        <f>IFERROR(IF(INDEX('Прайс-лист'!$T$11:$T$310,MATCH(ROWS($A$16:A243),'Прайс-лист'!$T$11:$T$310,0))="","",ROWS($A$16:A243)),"")</f>
        <v/>
      </c>
      <c r="B243" s="15" t="str">
        <f>IFERROR(INDEX('Прайс-лист'!$A$11:$A$310,MATCH(ROWS($A$16:A243),'Прайс-лист'!$T$11:$T$310,0)),"")</f>
        <v/>
      </c>
      <c r="C243" s="15" t="str">
        <f>IFERROR(INDEX('Прайс-лист'!$B$11:$B$310,MATCH(ROWS($A$16:A243),'Прайс-лист'!$T$11:$T$310,0)),"")</f>
        <v/>
      </c>
      <c r="D243" s="15" t="str">
        <f>IFERROR(INDEX('Прайс-лист'!$C$11:$C$310,MATCH(ROWS($A$16:A243),'Прайс-лист'!$T$11:$T$310,0)),"")</f>
        <v/>
      </c>
      <c r="E243" s="15" t="str">
        <f>IFERROR(INDEX('Прайс-лист'!$E$11:$E$310,MATCH(ROWS($A$16:A243),'Прайс-лист'!$T$11:$T$310,0)),"")</f>
        <v/>
      </c>
      <c r="F243" s="15" t="str">
        <f>IFERROR(INDEX('Прайс-лист'!$F$11:$F$310,MATCH(ROWS($A$16:A243),'Прайс-лист'!$T$11:$T$310,0)),"")</f>
        <v/>
      </c>
      <c r="G243" s="16" t="str">
        <f>IFERROR(INDEX('Прайс-лист'!$R$11:$R$310,MATCH(ROWS($A$16:A243),'Прайс-лист'!$T$11:$T$310,0)),"")</f>
        <v/>
      </c>
      <c r="H243" s="15" t="str">
        <f>IFERROR(INDEX('Прайс-лист'!$P$11:$P$310,MATCH(ROWS($A$16:A243),'Прайс-лист'!$T$11:$T$310,0)),"")</f>
        <v/>
      </c>
      <c r="I243" s="16" t="str">
        <f>IFERROR(INDEX('Прайс-лист'!$S$11:$S$310,MATCH(ROWS($A$16:A243),'Прайс-лист'!$T$11:$T$310,0)),"")</f>
        <v/>
      </c>
      <c r="J243" s="15" t="str">
        <f>IFERROR(INDEX('Прайс-лист'!$Q$11:$Q$310,MATCH(ROWS($A$16:A243),'Прайс-лист'!$T$11:$T$310,0)),"")</f>
        <v/>
      </c>
    </row>
    <row r="244" spans="1:10" ht="13.5" customHeight="1" x14ac:dyDescent="0.2">
      <c r="A244" s="15" t="str">
        <f>IFERROR(IF(INDEX('Прайс-лист'!$T$11:$T$310,MATCH(ROWS($A$16:A244),'Прайс-лист'!$T$11:$T$310,0))="","",ROWS($A$16:A244)),"")</f>
        <v/>
      </c>
      <c r="B244" s="15" t="str">
        <f>IFERROR(INDEX('Прайс-лист'!$A$11:$A$310,MATCH(ROWS($A$16:A244),'Прайс-лист'!$T$11:$T$310,0)),"")</f>
        <v/>
      </c>
      <c r="C244" s="15" t="str">
        <f>IFERROR(INDEX('Прайс-лист'!$B$11:$B$310,MATCH(ROWS($A$16:A244),'Прайс-лист'!$T$11:$T$310,0)),"")</f>
        <v/>
      </c>
      <c r="D244" s="15" t="str">
        <f>IFERROR(INDEX('Прайс-лист'!$C$11:$C$310,MATCH(ROWS($A$16:A244),'Прайс-лист'!$T$11:$T$310,0)),"")</f>
        <v/>
      </c>
      <c r="E244" s="15" t="str">
        <f>IFERROR(INDEX('Прайс-лист'!$E$11:$E$310,MATCH(ROWS($A$16:A244),'Прайс-лист'!$T$11:$T$310,0)),"")</f>
        <v/>
      </c>
      <c r="F244" s="15" t="str">
        <f>IFERROR(INDEX('Прайс-лист'!$F$11:$F$310,MATCH(ROWS($A$16:A244),'Прайс-лист'!$T$11:$T$310,0)),"")</f>
        <v/>
      </c>
      <c r="G244" s="16" t="str">
        <f>IFERROR(INDEX('Прайс-лист'!$R$11:$R$310,MATCH(ROWS($A$16:A244),'Прайс-лист'!$T$11:$T$310,0)),"")</f>
        <v/>
      </c>
      <c r="H244" s="15" t="str">
        <f>IFERROR(INDEX('Прайс-лист'!$P$11:$P$310,MATCH(ROWS($A$16:A244),'Прайс-лист'!$T$11:$T$310,0)),"")</f>
        <v/>
      </c>
      <c r="I244" s="16" t="str">
        <f>IFERROR(INDEX('Прайс-лист'!$S$11:$S$310,MATCH(ROWS($A$16:A244),'Прайс-лист'!$T$11:$T$310,0)),"")</f>
        <v/>
      </c>
      <c r="J244" s="15" t="str">
        <f>IFERROR(INDEX('Прайс-лист'!$Q$11:$Q$310,MATCH(ROWS($A$16:A244),'Прайс-лист'!$T$11:$T$310,0)),"")</f>
        <v/>
      </c>
    </row>
    <row r="245" spans="1:10" ht="13.5" customHeight="1" x14ac:dyDescent="0.2">
      <c r="A245" s="15" t="str">
        <f>IFERROR(IF(INDEX('Прайс-лист'!$T$11:$T$310,MATCH(ROWS($A$16:A245),'Прайс-лист'!$T$11:$T$310,0))="","",ROWS($A$16:A245)),"")</f>
        <v/>
      </c>
      <c r="B245" s="15" t="str">
        <f>IFERROR(INDEX('Прайс-лист'!$A$11:$A$310,MATCH(ROWS($A$16:A245),'Прайс-лист'!$T$11:$T$310,0)),"")</f>
        <v/>
      </c>
      <c r="C245" s="15" t="str">
        <f>IFERROR(INDEX('Прайс-лист'!$B$11:$B$310,MATCH(ROWS($A$16:A245),'Прайс-лист'!$T$11:$T$310,0)),"")</f>
        <v/>
      </c>
      <c r="D245" s="15" t="str">
        <f>IFERROR(INDEX('Прайс-лист'!$C$11:$C$310,MATCH(ROWS($A$16:A245),'Прайс-лист'!$T$11:$T$310,0)),"")</f>
        <v/>
      </c>
      <c r="E245" s="15" t="str">
        <f>IFERROR(INDEX('Прайс-лист'!$E$11:$E$310,MATCH(ROWS($A$16:A245),'Прайс-лист'!$T$11:$T$310,0)),"")</f>
        <v/>
      </c>
      <c r="F245" s="15" t="str">
        <f>IFERROR(INDEX('Прайс-лист'!$F$11:$F$310,MATCH(ROWS($A$16:A245),'Прайс-лист'!$T$11:$T$310,0)),"")</f>
        <v/>
      </c>
      <c r="G245" s="16" t="str">
        <f>IFERROR(INDEX('Прайс-лист'!$R$11:$R$310,MATCH(ROWS($A$16:A245),'Прайс-лист'!$T$11:$T$310,0)),"")</f>
        <v/>
      </c>
      <c r="H245" s="15" t="str">
        <f>IFERROR(INDEX('Прайс-лист'!$P$11:$P$310,MATCH(ROWS($A$16:A245),'Прайс-лист'!$T$11:$T$310,0)),"")</f>
        <v/>
      </c>
      <c r="I245" s="16" t="str">
        <f>IFERROR(INDEX('Прайс-лист'!$S$11:$S$310,MATCH(ROWS($A$16:A245),'Прайс-лист'!$T$11:$T$310,0)),"")</f>
        <v/>
      </c>
      <c r="J245" s="15" t="str">
        <f>IFERROR(INDEX('Прайс-лист'!$Q$11:$Q$310,MATCH(ROWS($A$16:A245),'Прайс-лист'!$T$11:$T$310,0)),"")</f>
        <v/>
      </c>
    </row>
    <row r="246" spans="1:10" ht="13.5" customHeight="1" x14ac:dyDescent="0.2">
      <c r="A246" s="15" t="str">
        <f>IFERROR(IF(INDEX('Прайс-лист'!$T$11:$T$310,MATCH(ROWS($A$16:A246),'Прайс-лист'!$T$11:$T$310,0))="","",ROWS($A$16:A246)),"")</f>
        <v/>
      </c>
      <c r="B246" s="15" t="str">
        <f>IFERROR(INDEX('Прайс-лист'!$A$11:$A$310,MATCH(ROWS($A$16:A246),'Прайс-лист'!$T$11:$T$310,0)),"")</f>
        <v/>
      </c>
      <c r="C246" s="15" t="str">
        <f>IFERROR(INDEX('Прайс-лист'!$B$11:$B$310,MATCH(ROWS($A$16:A246),'Прайс-лист'!$T$11:$T$310,0)),"")</f>
        <v/>
      </c>
      <c r="D246" s="15" t="str">
        <f>IFERROR(INDEX('Прайс-лист'!$C$11:$C$310,MATCH(ROWS($A$16:A246),'Прайс-лист'!$T$11:$T$310,0)),"")</f>
        <v/>
      </c>
      <c r="E246" s="15" t="str">
        <f>IFERROR(INDEX('Прайс-лист'!$E$11:$E$310,MATCH(ROWS($A$16:A246),'Прайс-лист'!$T$11:$T$310,0)),"")</f>
        <v/>
      </c>
      <c r="F246" s="15" t="str">
        <f>IFERROR(INDEX('Прайс-лист'!$F$11:$F$310,MATCH(ROWS($A$16:A246),'Прайс-лист'!$T$11:$T$310,0)),"")</f>
        <v/>
      </c>
      <c r="G246" s="16" t="str">
        <f>IFERROR(INDEX('Прайс-лист'!$R$11:$R$310,MATCH(ROWS($A$16:A246),'Прайс-лист'!$T$11:$T$310,0)),"")</f>
        <v/>
      </c>
      <c r="H246" s="15" t="str">
        <f>IFERROR(INDEX('Прайс-лист'!$P$11:$P$310,MATCH(ROWS($A$16:A246),'Прайс-лист'!$T$11:$T$310,0)),"")</f>
        <v/>
      </c>
      <c r="I246" s="16" t="str">
        <f>IFERROR(INDEX('Прайс-лист'!$S$11:$S$310,MATCH(ROWS($A$16:A246),'Прайс-лист'!$T$11:$T$310,0)),"")</f>
        <v/>
      </c>
      <c r="J246" s="15" t="str">
        <f>IFERROR(INDEX('Прайс-лист'!$Q$11:$Q$310,MATCH(ROWS($A$16:A246),'Прайс-лист'!$T$11:$T$310,0)),"")</f>
        <v/>
      </c>
    </row>
    <row r="247" spans="1:10" ht="13.5" customHeight="1" x14ac:dyDescent="0.2">
      <c r="A247" s="15" t="str">
        <f>IFERROR(IF(INDEX('Прайс-лист'!$T$11:$T$310,MATCH(ROWS($A$16:A247),'Прайс-лист'!$T$11:$T$310,0))="","",ROWS($A$16:A247)),"")</f>
        <v/>
      </c>
      <c r="B247" s="15" t="str">
        <f>IFERROR(INDEX('Прайс-лист'!$A$11:$A$310,MATCH(ROWS($A$16:A247),'Прайс-лист'!$T$11:$T$310,0)),"")</f>
        <v/>
      </c>
      <c r="C247" s="15" t="str">
        <f>IFERROR(INDEX('Прайс-лист'!$B$11:$B$310,MATCH(ROWS($A$16:A247),'Прайс-лист'!$T$11:$T$310,0)),"")</f>
        <v/>
      </c>
      <c r="D247" s="15" t="str">
        <f>IFERROR(INDEX('Прайс-лист'!$C$11:$C$310,MATCH(ROWS($A$16:A247),'Прайс-лист'!$T$11:$T$310,0)),"")</f>
        <v/>
      </c>
      <c r="E247" s="15" t="str">
        <f>IFERROR(INDEX('Прайс-лист'!$E$11:$E$310,MATCH(ROWS($A$16:A247),'Прайс-лист'!$T$11:$T$310,0)),"")</f>
        <v/>
      </c>
      <c r="F247" s="15" t="str">
        <f>IFERROR(INDEX('Прайс-лист'!$F$11:$F$310,MATCH(ROWS($A$16:A247),'Прайс-лист'!$T$11:$T$310,0)),"")</f>
        <v/>
      </c>
      <c r="G247" s="16" t="str">
        <f>IFERROR(INDEX('Прайс-лист'!$R$11:$R$310,MATCH(ROWS($A$16:A247),'Прайс-лист'!$T$11:$T$310,0)),"")</f>
        <v/>
      </c>
      <c r="H247" s="15" t="str">
        <f>IFERROR(INDEX('Прайс-лист'!$P$11:$P$310,MATCH(ROWS($A$16:A247),'Прайс-лист'!$T$11:$T$310,0)),"")</f>
        <v/>
      </c>
      <c r="I247" s="16" t="str">
        <f>IFERROR(INDEX('Прайс-лист'!$S$11:$S$310,MATCH(ROWS($A$16:A247),'Прайс-лист'!$T$11:$T$310,0)),"")</f>
        <v/>
      </c>
      <c r="J247" s="15" t="str">
        <f>IFERROR(INDEX('Прайс-лист'!$Q$11:$Q$310,MATCH(ROWS($A$16:A247),'Прайс-лист'!$T$11:$T$310,0)),"")</f>
        <v/>
      </c>
    </row>
    <row r="248" spans="1:10" ht="13.5" customHeight="1" x14ac:dyDescent="0.2">
      <c r="A248" s="15" t="str">
        <f>IFERROR(IF(INDEX('Прайс-лист'!$T$11:$T$310,MATCH(ROWS($A$16:A248),'Прайс-лист'!$T$11:$T$310,0))="","",ROWS($A$16:A248)),"")</f>
        <v/>
      </c>
      <c r="B248" s="15" t="str">
        <f>IFERROR(INDEX('Прайс-лист'!$A$11:$A$310,MATCH(ROWS($A$16:A248),'Прайс-лист'!$T$11:$T$310,0)),"")</f>
        <v/>
      </c>
      <c r="C248" s="15" t="str">
        <f>IFERROR(INDEX('Прайс-лист'!$B$11:$B$310,MATCH(ROWS($A$16:A248),'Прайс-лист'!$T$11:$T$310,0)),"")</f>
        <v/>
      </c>
      <c r="D248" s="15" t="str">
        <f>IFERROR(INDEX('Прайс-лист'!$C$11:$C$310,MATCH(ROWS($A$16:A248),'Прайс-лист'!$T$11:$T$310,0)),"")</f>
        <v/>
      </c>
      <c r="E248" s="15" t="str">
        <f>IFERROR(INDEX('Прайс-лист'!$E$11:$E$310,MATCH(ROWS($A$16:A248),'Прайс-лист'!$T$11:$T$310,0)),"")</f>
        <v/>
      </c>
      <c r="F248" s="15" t="str">
        <f>IFERROR(INDEX('Прайс-лист'!$F$11:$F$310,MATCH(ROWS($A$16:A248),'Прайс-лист'!$T$11:$T$310,0)),"")</f>
        <v/>
      </c>
      <c r="G248" s="16" t="str">
        <f>IFERROR(INDEX('Прайс-лист'!$R$11:$R$310,MATCH(ROWS($A$16:A248),'Прайс-лист'!$T$11:$T$310,0)),"")</f>
        <v/>
      </c>
      <c r="H248" s="15" t="str">
        <f>IFERROR(INDEX('Прайс-лист'!$P$11:$P$310,MATCH(ROWS($A$16:A248),'Прайс-лист'!$T$11:$T$310,0)),"")</f>
        <v/>
      </c>
      <c r="I248" s="16" t="str">
        <f>IFERROR(INDEX('Прайс-лист'!$S$11:$S$310,MATCH(ROWS($A$16:A248),'Прайс-лист'!$T$11:$T$310,0)),"")</f>
        <v/>
      </c>
      <c r="J248" s="15" t="str">
        <f>IFERROR(INDEX('Прайс-лист'!$Q$11:$Q$310,MATCH(ROWS($A$16:A248),'Прайс-лист'!$T$11:$T$310,0)),"")</f>
        <v/>
      </c>
    </row>
    <row r="249" spans="1:10" ht="13.5" customHeight="1" x14ac:dyDescent="0.2">
      <c r="A249" s="15" t="str">
        <f>IFERROR(IF(INDEX('Прайс-лист'!$T$11:$T$310,MATCH(ROWS($A$16:A249),'Прайс-лист'!$T$11:$T$310,0))="","",ROWS($A$16:A249)),"")</f>
        <v/>
      </c>
      <c r="B249" s="15" t="str">
        <f>IFERROR(INDEX('Прайс-лист'!$A$11:$A$310,MATCH(ROWS($A$16:A249),'Прайс-лист'!$T$11:$T$310,0)),"")</f>
        <v/>
      </c>
      <c r="C249" s="15" t="str">
        <f>IFERROR(INDEX('Прайс-лист'!$B$11:$B$310,MATCH(ROWS($A$16:A249),'Прайс-лист'!$T$11:$T$310,0)),"")</f>
        <v/>
      </c>
      <c r="D249" s="15" t="str">
        <f>IFERROR(INDEX('Прайс-лист'!$C$11:$C$310,MATCH(ROWS($A$16:A249),'Прайс-лист'!$T$11:$T$310,0)),"")</f>
        <v/>
      </c>
      <c r="E249" s="15" t="str">
        <f>IFERROR(INDEX('Прайс-лист'!$E$11:$E$310,MATCH(ROWS($A$16:A249),'Прайс-лист'!$T$11:$T$310,0)),"")</f>
        <v/>
      </c>
      <c r="F249" s="15" t="str">
        <f>IFERROR(INDEX('Прайс-лист'!$F$11:$F$310,MATCH(ROWS($A$16:A249),'Прайс-лист'!$T$11:$T$310,0)),"")</f>
        <v/>
      </c>
      <c r="G249" s="16" t="str">
        <f>IFERROR(INDEX('Прайс-лист'!$R$11:$R$310,MATCH(ROWS($A$16:A249),'Прайс-лист'!$T$11:$T$310,0)),"")</f>
        <v/>
      </c>
      <c r="H249" s="15" t="str">
        <f>IFERROR(INDEX('Прайс-лист'!$P$11:$P$310,MATCH(ROWS($A$16:A249),'Прайс-лист'!$T$11:$T$310,0)),"")</f>
        <v/>
      </c>
      <c r="I249" s="16" t="str">
        <f>IFERROR(INDEX('Прайс-лист'!$S$11:$S$310,MATCH(ROWS($A$16:A249),'Прайс-лист'!$T$11:$T$310,0)),"")</f>
        <v/>
      </c>
      <c r="J249" s="15" t="str">
        <f>IFERROR(INDEX('Прайс-лист'!$Q$11:$Q$310,MATCH(ROWS($A$16:A249),'Прайс-лист'!$T$11:$T$310,0)),"")</f>
        <v/>
      </c>
    </row>
    <row r="250" spans="1:10" ht="13.5" customHeight="1" x14ac:dyDescent="0.2">
      <c r="A250" s="15" t="str">
        <f>IFERROR(IF(INDEX('Прайс-лист'!$T$11:$T$310,MATCH(ROWS($A$16:A250),'Прайс-лист'!$T$11:$T$310,0))="","",ROWS($A$16:A250)),"")</f>
        <v/>
      </c>
      <c r="B250" s="15" t="str">
        <f>IFERROR(INDEX('Прайс-лист'!$A$11:$A$310,MATCH(ROWS($A$16:A250),'Прайс-лист'!$T$11:$T$310,0)),"")</f>
        <v/>
      </c>
      <c r="C250" s="15" t="str">
        <f>IFERROR(INDEX('Прайс-лист'!$B$11:$B$310,MATCH(ROWS($A$16:A250),'Прайс-лист'!$T$11:$T$310,0)),"")</f>
        <v/>
      </c>
      <c r="D250" s="15" t="str">
        <f>IFERROR(INDEX('Прайс-лист'!$C$11:$C$310,MATCH(ROWS($A$16:A250),'Прайс-лист'!$T$11:$T$310,0)),"")</f>
        <v/>
      </c>
      <c r="E250" s="15" t="str">
        <f>IFERROR(INDEX('Прайс-лист'!$E$11:$E$310,MATCH(ROWS($A$16:A250),'Прайс-лист'!$T$11:$T$310,0)),"")</f>
        <v/>
      </c>
      <c r="F250" s="15" t="str">
        <f>IFERROR(INDEX('Прайс-лист'!$F$11:$F$310,MATCH(ROWS($A$16:A250),'Прайс-лист'!$T$11:$T$310,0)),"")</f>
        <v/>
      </c>
      <c r="G250" s="16" t="str">
        <f>IFERROR(INDEX('Прайс-лист'!$R$11:$R$310,MATCH(ROWS($A$16:A250),'Прайс-лист'!$T$11:$T$310,0)),"")</f>
        <v/>
      </c>
      <c r="H250" s="15" t="str">
        <f>IFERROR(INDEX('Прайс-лист'!$P$11:$P$310,MATCH(ROWS($A$16:A250),'Прайс-лист'!$T$11:$T$310,0)),"")</f>
        <v/>
      </c>
      <c r="I250" s="16" t="str">
        <f>IFERROR(INDEX('Прайс-лист'!$S$11:$S$310,MATCH(ROWS($A$16:A250),'Прайс-лист'!$T$11:$T$310,0)),"")</f>
        <v/>
      </c>
      <c r="J250" s="15" t="str">
        <f>IFERROR(INDEX('Прайс-лист'!$Q$11:$Q$310,MATCH(ROWS($A$16:A250),'Прайс-лист'!$T$11:$T$310,0)),"")</f>
        <v/>
      </c>
    </row>
    <row r="251" spans="1:10" ht="13.5" customHeight="1" x14ac:dyDescent="0.2">
      <c r="A251" s="15" t="str">
        <f>IFERROR(IF(INDEX('Прайс-лист'!$T$11:$T$310,MATCH(ROWS($A$16:A251),'Прайс-лист'!$T$11:$T$310,0))="","",ROWS($A$16:A251)),"")</f>
        <v/>
      </c>
      <c r="B251" s="15" t="str">
        <f>IFERROR(INDEX('Прайс-лист'!$A$11:$A$310,MATCH(ROWS($A$16:A251),'Прайс-лист'!$T$11:$T$310,0)),"")</f>
        <v/>
      </c>
      <c r="C251" s="15" t="str">
        <f>IFERROR(INDEX('Прайс-лист'!$B$11:$B$310,MATCH(ROWS($A$16:A251),'Прайс-лист'!$T$11:$T$310,0)),"")</f>
        <v/>
      </c>
      <c r="D251" s="15" t="str">
        <f>IFERROR(INDEX('Прайс-лист'!$C$11:$C$310,MATCH(ROWS($A$16:A251),'Прайс-лист'!$T$11:$T$310,0)),"")</f>
        <v/>
      </c>
      <c r="E251" s="15" t="str">
        <f>IFERROR(INDEX('Прайс-лист'!$E$11:$E$310,MATCH(ROWS($A$16:A251),'Прайс-лист'!$T$11:$T$310,0)),"")</f>
        <v/>
      </c>
      <c r="F251" s="15" t="str">
        <f>IFERROR(INDEX('Прайс-лист'!$F$11:$F$310,MATCH(ROWS($A$16:A251),'Прайс-лист'!$T$11:$T$310,0)),"")</f>
        <v/>
      </c>
      <c r="G251" s="16" t="str">
        <f>IFERROR(INDEX('Прайс-лист'!$R$11:$R$310,MATCH(ROWS($A$16:A251),'Прайс-лист'!$T$11:$T$310,0)),"")</f>
        <v/>
      </c>
      <c r="H251" s="15" t="str">
        <f>IFERROR(INDEX('Прайс-лист'!$P$11:$P$310,MATCH(ROWS($A$16:A251),'Прайс-лист'!$T$11:$T$310,0)),"")</f>
        <v/>
      </c>
      <c r="I251" s="16" t="str">
        <f>IFERROR(INDEX('Прайс-лист'!$S$11:$S$310,MATCH(ROWS($A$16:A251),'Прайс-лист'!$T$11:$T$310,0)),"")</f>
        <v/>
      </c>
      <c r="J251" s="15" t="str">
        <f>IFERROR(INDEX('Прайс-лист'!$Q$11:$Q$310,MATCH(ROWS($A$16:A251),'Прайс-лист'!$T$11:$T$310,0)),"")</f>
        <v/>
      </c>
    </row>
    <row r="252" spans="1:10" ht="13.5" customHeight="1" x14ac:dyDescent="0.2">
      <c r="A252" s="15" t="str">
        <f>IFERROR(IF(INDEX('Прайс-лист'!$T$11:$T$310,MATCH(ROWS($A$16:A252),'Прайс-лист'!$T$11:$T$310,0))="","",ROWS($A$16:A252)),"")</f>
        <v/>
      </c>
      <c r="B252" s="15" t="str">
        <f>IFERROR(INDEX('Прайс-лист'!$A$11:$A$310,MATCH(ROWS($A$16:A252),'Прайс-лист'!$T$11:$T$310,0)),"")</f>
        <v/>
      </c>
      <c r="C252" s="15" t="str">
        <f>IFERROR(INDEX('Прайс-лист'!$B$11:$B$310,MATCH(ROWS($A$16:A252),'Прайс-лист'!$T$11:$T$310,0)),"")</f>
        <v/>
      </c>
      <c r="D252" s="15" t="str">
        <f>IFERROR(INDEX('Прайс-лист'!$C$11:$C$310,MATCH(ROWS($A$16:A252),'Прайс-лист'!$T$11:$T$310,0)),"")</f>
        <v/>
      </c>
      <c r="E252" s="15" t="str">
        <f>IFERROR(INDEX('Прайс-лист'!$E$11:$E$310,MATCH(ROWS($A$16:A252),'Прайс-лист'!$T$11:$T$310,0)),"")</f>
        <v/>
      </c>
      <c r="F252" s="15" t="str">
        <f>IFERROR(INDEX('Прайс-лист'!$F$11:$F$310,MATCH(ROWS($A$16:A252),'Прайс-лист'!$T$11:$T$310,0)),"")</f>
        <v/>
      </c>
      <c r="G252" s="16" t="str">
        <f>IFERROR(INDEX('Прайс-лист'!$R$11:$R$310,MATCH(ROWS($A$16:A252),'Прайс-лист'!$T$11:$T$310,0)),"")</f>
        <v/>
      </c>
      <c r="H252" s="15" t="str">
        <f>IFERROR(INDEX('Прайс-лист'!$P$11:$P$310,MATCH(ROWS($A$16:A252),'Прайс-лист'!$T$11:$T$310,0)),"")</f>
        <v/>
      </c>
      <c r="I252" s="16" t="str">
        <f>IFERROR(INDEX('Прайс-лист'!$S$11:$S$310,MATCH(ROWS($A$16:A252),'Прайс-лист'!$T$11:$T$310,0)),"")</f>
        <v/>
      </c>
      <c r="J252" s="15" t="str">
        <f>IFERROR(INDEX('Прайс-лист'!$Q$11:$Q$310,MATCH(ROWS($A$16:A252),'Прайс-лист'!$T$11:$T$310,0)),"")</f>
        <v/>
      </c>
    </row>
    <row r="253" spans="1:10" ht="13.5" customHeight="1" x14ac:dyDescent="0.2">
      <c r="A253" s="15" t="str">
        <f>IFERROR(IF(INDEX('Прайс-лист'!$T$11:$T$310,MATCH(ROWS($A$16:A253),'Прайс-лист'!$T$11:$T$310,0))="","",ROWS($A$16:A253)),"")</f>
        <v/>
      </c>
      <c r="B253" s="15" t="str">
        <f>IFERROR(INDEX('Прайс-лист'!$A$11:$A$310,MATCH(ROWS($A$16:A253),'Прайс-лист'!$T$11:$T$310,0)),"")</f>
        <v/>
      </c>
      <c r="C253" s="15" t="str">
        <f>IFERROR(INDEX('Прайс-лист'!$B$11:$B$310,MATCH(ROWS($A$16:A253),'Прайс-лист'!$T$11:$T$310,0)),"")</f>
        <v/>
      </c>
      <c r="D253" s="15" t="str">
        <f>IFERROR(INDEX('Прайс-лист'!$C$11:$C$310,MATCH(ROWS($A$16:A253),'Прайс-лист'!$T$11:$T$310,0)),"")</f>
        <v/>
      </c>
      <c r="E253" s="15" t="str">
        <f>IFERROR(INDEX('Прайс-лист'!$E$11:$E$310,MATCH(ROWS($A$16:A253),'Прайс-лист'!$T$11:$T$310,0)),"")</f>
        <v/>
      </c>
      <c r="F253" s="15" t="str">
        <f>IFERROR(INDEX('Прайс-лист'!$F$11:$F$310,MATCH(ROWS($A$16:A253),'Прайс-лист'!$T$11:$T$310,0)),"")</f>
        <v/>
      </c>
      <c r="G253" s="16" t="str">
        <f>IFERROR(INDEX('Прайс-лист'!$R$11:$R$310,MATCH(ROWS($A$16:A253),'Прайс-лист'!$T$11:$T$310,0)),"")</f>
        <v/>
      </c>
      <c r="H253" s="15" t="str">
        <f>IFERROR(INDEX('Прайс-лист'!$P$11:$P$310,MATCH(ROWS($A$16:A253),'Прайс-лист'!$T$11:$T$310,0)),"")</f>
        <v/>
      </c>
      <c r="I253" s="16" t="str">
        <f>IFERROR(INDEX('Прайс-лист'!$S$11:$S$310,MATCH(ROWS($A$16:A253),'Прайс-лист'!$T$11:$T$310,0)),"")</f>
        <v/>
      </c>
      <c r="J253" s="15" t="str">
        <f>IFERROR(INDEX('Прайс-лист'!$Q$11:$Q$310,MATCH(ROWS($A$16:A253),'Прайс-лист'!$T$11:$T$310,0)),"")</f>
        <v/>
      </c>
    </row>
    <row r="254" spans="1:10" ht="13.5" customHeight="1" x14ac:dyDescent="0.2">
      <c r="A254" s="15" t="str">
        <f>IFERROR(IF(INDEX('Прайс-лист'!$T$11:$T$310,MATCH(ROWS($A$16:A254),'Прайс-лист'!$T$11:$T$310,0))="","",ROWS($A$16:A254)),"")</f>
        <v/>
      </c>
      <c r="B254" s="15" t="str">
        <f>IFERROR(INDEX('Прайс-лист'!$A$11:$A$310,MATCH(ROWS($A$16:A254),'Прайс-лист'!$T$11:$T$310,0)),"")</f>
        <v/>
      </c>
      <c r="C254" s="15" t="str">
        <f>IFERROR(INDEX('Прайс-лист'!$B$11:$B$310,MATCH(ROWS($A$16:A254),'Прайс-лист'!$T$11:$T$310,0)),"")</f>
        <v/>
      </c>
      <c r="D254" s="15" t="str">
        <f>IFERROR(INDEX('Прайс-лист'!$C$11:$C$310,MATCH(ROWS($A$16:A254),'Прайс-лист'!$T$11:$T$310,0)),"")</f>
        <v/>
      </c>
      <c r="E254" s="15" t="str">
        <f>IFERROR(INDEX('Прайс-лист'!$E$11:$E$310,MATCH(ROWS($A$16:A254),'Прайс-лист'!$T$11:$T$310,0)),"")</f>
        <v/>
      </c>
      <c r="F254" s="15" t="str">
        <f>IFERROR(INDEX('Прайс-лист'!$F$11:$F$310,MATCH(ROWS($A$16:A254),'Прайс-лист'!$T$11:$T$310,0)),"")</f>
        <v/>
      </c>
      <c r="G254" s="16" t="str">
        <f>IFERROR(INDEX('Прайс-лист'!$R$11:$R$310,MATCH(ROWS($A$16:A254),'Прайс-лист'!$T$11:$T$310,0)),"")</f>
        <v/>
      </c>
      <c r="H254" s="15" t="str">
        <f>IFERROR(INDEX('Прайс-лист'!$P$11:$P$310,MATCH(ROWS($A$16:A254),'Прайс-лист'!$T$11:$T$310,0)),"")</f>
        <v/>
      </c>
      <c r="I254" s="16" t="str">
        <f>IFERROR(INDEX('Прайс-лист'!$S$11:$S$310,MATCH(ROWS($A$16:A254),'Прайс-лист'!$T$11:$T$310,0)),"")</f>
        <v/>
      </c>
      <c r="J254" s="15" t="str">
        <f>IFERROR(INDEX('Прайс-лист'!$Q$11:$Q$310,MATCH(ROWS($A$16:A254),'Прайс-лист'!$T$11:$T$310,0)),"")</f>
        <v/>
      </c>
    </row>
    <row r="255" spans="1:10" ht="13.5" customHeight="1" x14ac:dyDescent="0.2">
      <c r="A255" s="15" t="str">
        <f>IFERROR(IF(INDEX('Прайс-лист'!$T$11:$T$310,MATCH(ROWS($A$16:A255),'Прайс-лист'!$T$11:$T$310,0))="","",ROWS($A$16:A255)),"")</f>
        <v/>
      </c>
      <c r="B255" s="15" t="str">
        <f>IFERROR(INDEX('Прайс-лист'!$A$11:$A$310,MATCH(ROWS($A$16:A255),'Прайс-лист'!$T$11:$T$310,0)),"")</f>
        <v/>
      </c>
      <c r="C255" s="15" t="str">
        <f>IFERROR(INDEX('Прайс-лист'!$B$11:$B$310,MATCH(ROWS($A$16:A255),'Прайс-лист'!$T$11:$T$310,0)),"")</f>
        <v/>
      </c>
      <c r="D255" s="15" t="str">
        <f>IFERROR(INDEX('Прайс-лист'!$C$11:$C$310,MATCH(ROWS($A$16:A255),'Прайс-лист'!$T$11:$T$310,0)),"")</f>
        <v/>
      </c>
      <c r="E255" s="15" t="str">
        <f>IFERROR(INDEX('Прайс-лист'!$E$11:$E$310,MATCH(ROWS($A$16:A255),'Прайс-лист'!$T$11:$T$310,0)),"")</f>
        <v/>
      </c>
      <c r="F255" s="15" t="str">
        <f>IFERROR(INDEX('Прайс-лист'!$F$11:$F$310,MATCH(ROWS($A$16:A255),'Прайс-лист'!$T$11:$T$310,0)),"")</f>
        <v/>
      </c>
      <c r="G255" s="16" t="str">
        <f>IFERROR(INDEX('Прайс-лист'!$R$11:$R$310,MATCH(ROWS($A$16:A255),'Прайс-лист'!$T$11:$T$310,0)),"")</f>
        <v/>
      </c>
      <c r="H255" s="15" t="str">
        <f>IFERROR(INDEX('Прайс-лист'!$P$11:$P$310,MATCH(ROWS($A$16:A255),'Прайс-лист'!$T$11:$T$310,0)),"")</f>
        <v/>
      </c>
      <c r="I255" s="16" t="str">
        <f>IFERROR(INDEX('Прайс-лист'!$S$11:$S$310,MATCH(ROWS($A$16:A255),'Прайс-лист'!$T$11:$T$310,0)),"")</f>
        <v/>
      </c>
      <c r="J255" s="15" t="str">
        <f>IFERROR(INDEX('Прайс-лист'!$Q$11:$Q$310,MATCH(ROWS($A$16:A255),'Прайс-лист'!$T$11:$T$310,0)),"")</f>
        <v/>
      </c>
    </row>
    <row r="256" spans="1:10" ht="13.5" customHeight="1" x14ac:dyDescent="0.2">
      <c r="A256" s="15" t="str">
        <f>IFERROR(IF(INDEX('Прайс-лист'!$T$11:$T$310,MATCH(ROWS($A$16:A256),'Прайс-лист'!$T$11:$T$310,0))="","",ROWS($A$16:A256)),"")</f>
        <v/>
      </c>
      <c r="B256" s="15" t="str">
        <f>IFERROR(INDEX('Прайс-лист'!$A$11:$A$310,MATCH(ROWS($A$16:A256),'Прайс-лист'!$T$11:$T$310,0)),"")</f>
        <v/>
      </c>
      <c r="C256" s="15" t="str">
        <f>IFERROR(INDEX('Прайс-лист'!$B$11:$B$310,MATCH(ROWS($A$16:A256),'Прайс-лист'!$T$11:$T$310,0)),"")</f>
        <v/>
      </c>
      <c r="D256" s="15" t="str">
        <f>IFERROR(INDEX('Прайс-лист'!$C$11:$C$310,MATCH(ROWS($A$16:A256),'Прайс-лист'!$T$11:$T$310,0)),"")</f>
        <v/>
      </c>
      <c r="E256" s="15" t="str">
        <f>IFERROR(INDEX('Прайс-лист'!$E$11:$E$310,MATCH(ROWS($A$16:A256),'Прайс-лист'!$T$11:$T$310,0)),"")</f>
        <v/>
      </c>
      <c r="F256" s="15" t="str">
        <f>IFERROR(INDEX('Прайс-лист'!$F$11:$F$310,MATCH(ROWS($A$16:A256),'Прайс-лист'!$T$11:$T$310,0)),"")</f>
        <v/>
      </c>
      <c r="G256" s="16" t="str">
        <f>IFERROR(INDEX('Прайс-лист'!$R$11:$R$310,MATCH(ROWS($A$16:A256),'Прайс-лист'!$T$11:$T$310,0)),"")</f>
        <v/>
      </c>
      <c r="H256" s="15" t="str">
        <f>IFERROR(INDEX('Прайс-лист'!$P$11:$P$310,MATCH(ROWS($A$16:A256),'Прайс-лист'!$T$11:$T$310,0)),"")</f>
        <v/>
      </c>
      <c r="I256" s="16" t="str">
        <f>IFERROR(INDEX('Прайс-лист'!$S$11:$S$310,MATCH(ROWS($A$16:A256),'Прайс-лист'!$T$11:$T$310,0)),"")</f>
        <v/>
      </c>
      <c r="J256" s="15" t="str">
        <f>IFERROR(INDEX('Прайс-лист'!$Q$11:$Q$310,MATCH(ROWS($A$16:A256),'Прайс-лист'!$T$11:$T$310,0)),"")</f>
        <v/>
      </c>
    </row>
    <row r="257" spans="1:10" ht="13.5" customHeight="1" x14ac:dyDescent="0.2">
      <c r="A257" s="15" t="str">
        <f>IFERROR(IF(INDEX('Прайс-лист'!$T$11:$T$310,MATCH(ROWS($A$16:A257),'Прайс-лист'!$T$11:$T$310,0))="","",ROWS($A$16:A257)),"")</f>
        <v/>
      </c>
      <c r="B257" s="15" t="str">
        <f>IFERROR(INDEX('Прайс-лист'!$A$11:$A$310,MATCH(ROWS($A$16:A257),'Прайс-лист'!$T$11:$T$310,0)),"")</f>
        <v/>
      </c>
      <c r="C257" s="15" t="str">
        <f>IFERROR(INDEX('Прайс-лист'!$B$11:$B$310,MATCH(ROWS($A$16:A257),'Прайс-лист'!$T$11:$T$310,0)),"")</f>
        <v/>
      </c>
      <c r="D257" s="15" t="str">
        <f>IFERROR(INDEX('Прайс-лист'!$C$11:$C$310,MATCH(ROWS($A$16:A257),'Прайс-лист'!$T$11:$T$310,0)),"")</f>
        <v/>
      </c>
      <c r="E257" s="15" t="str">
        <f>IFERROR(INDEX('Прайс-лист'!$E$11:$E$310,MATCH(ROWS($A$16:A257),'Прайс-лист'!$T$11:$T$310,0)),"")</f>
        <v/>
      </c>
      <c r="F257" s="15" t="str">
        <f>IFERROR(INDEX('Прайс-лист'!$F$11:$F$310,MATCH(ROWS($A$16:A257),'Прайс-лист'!$T$11:$T$310,0)),"")</f>
        <v/>
      </c>
      <c r="G257" s="16" t="str">
        <f>IFERROR(INDEX('Прайс-лист'!$R$11:$R$310,MATCH(ROWS($A$16:A257),'Прайс-лист'!$T$11:$T$310,0)),"")</f>
        <v/>
      </c>
      <c r="H257" s="15" t="str">
        <f>IFERROR(INDEX('Прайс-лист'!$P$11:$P$310,MATCH(ROWS($A$16:A257),'Прайс-лист'!$T$11:$T$310,0)),"")</f>
        <v/>
      </c>
      <c r="I257" s="16" t="str">
        <f>IFERROR(INDEX('Прайс-лист'!$S$11:$S$310,MATCH(ROWS($A$16:A257),'Прайс-лист'!$T$11:$T$310,0)),"")</f>
        <v/>
      </c>
      <c r="J257" s="15" t="str">
        <f>IFERROR(INDEX('Прайс-лист'!$Q$11:$Q$310,MATCH(ROWS($A$16:A257),'Прайс-лист'!$T$11:$T$310,0)),"")</f>
        <v/>
      </c>
    </row>
    <row r="258" spans="1:10" ht="13.5" customHeight="1" x14ac:dyDescent="0.2">
      <c r="A258" s="15" t="str">
        <f>IFERROR(IF(INDEX('Прайс-лист'!$T$11:$T$310,MATCH(ROWS($A$16:A258),'Прайс-лист'!$T$11:$T$310,0))="","",ROWS($A$16:A258)),"")</f>
        <v/>
      </c>
      <c r="B258" s="15" t="str">
        <f>IFERROR(INDEX('Прайс-лист'!$A$11:$A$310,MATCH(ROWS($A$16:A258),'Прайс-лист'!$T$11:$T$310,0)),"")</f>
        <v/>
      </c>
      <c r="C258" s="15" t="str">
        <f>IFERROR(INDEX('Прайс-лист'!$B$11:$B$310,MATCH(ROWS($A$16:A258),'Прайс-лист'!$T$11:$T$310,0)),"")</f>
        <v/>
      </c>
      <c r="D258" s="15" t="str">
        <f>IFERROR(INDEX('Прайс-лист'!$C$11:$C$310,MATCH(ROWS($A$16:A258),'Прайс-лист'!$T$11:$T$310,0)),"")</f>
        <v/>
      </c>
      <c r="E258" s="15" t="str">
        <f>IFERROR(INDEX('Прайс-лист'!$E$11:$E$310,MATCH(ROWS($A$16:A258),'Прайс-лист'!$T$11:$T$310,0)),"")</f>
        <v/>
      </c>
      <c r="F258" s="15" t="str">
        <f>IFERROR(INDEX('Прайс-лист'!$F$11:$F$310,MATCH(ROWS($A$16:A258),'Прайс-лист'!$T$11:$T$310,0)),"")</f>
        <v/>
      </c>
      <c r="G258" s="16" t="str">
        <f>IFERROR(INDEX('Прайс-лист'!$R$11:$R$310,MATCH(ROWS($A$16:A258),'Прайс-лист'!$T$11:$T$310,0)),"")</f>
        <v/>
      </c>
      <c r="H258" s="15" t="str">
        <f>IFERROR(INDEX('Прайс-лист'!$P$11:$P$310,MATCH(ROWS($A$16:A258),'Прайс-лист'!$T$11:$T$310,0)),"")</f>
        <v/>
      </c>
      <c r="I258" s="16" t="str">
        <f>IFERROR(INDEX('Прайс-лист'!$S$11:$S$310,MATCH(ROWS($A$16:A258),'Прайс-лист'!$T$11:$T$310,0)),"")</f>
        <v/>
      </c>
      <c r="J258" s="15" t="str">
        <f>IFERROR(INDEX('Прайс-лист'!$Q$11:$Q$310,MATCH(ROWS($A$16:A258),'Прайс-лист'!$T$11:$T$310,0)),"")</f>
        <v/>
      </c>
    </row>
    <row r="259" spans="1:10" ht="13.5" customHeight="1" x14ac:dyDescent="0.2">
      <c r="A259" s="15" t="str">
        <f>IFERROR(IF(INDEX('Прайс-лист'!$T$11:$T$310,MATCH(ROWS($A$16:A259),'Прайс-лист'!$T$11:$T$310,0))="","",ROWS($A$16:A259)),"")</f>
        <v/>
      </c>
      <c r="B259" s="15" t="str">
        <f>IFERROR(INDEX('Прайс-лист'!$A$11:$A$310,MATCH(ROWS($A$16:A259),'Прайс-лист'!$T$11:$T$310,0)),"")</f>
        <v/>
      </c>
      <c r="C259" s="15" t="str">
        <f>IFERROR(INDEX('Прайс-лист'!$B$11:$B$310,MATCH(ROWS($A$16:A259),'Прайс-лист'!$T$11:$T$310,0)),"")</f>
        <v/>
      </c>
      <c r="D259" s="15" t="str">
        <f>IFERROR(INDEX('Прайс-лист'!$C$11:$C$310,MATCH(ROWS($A$16:A259),'Прайс-лист'!$T$11:$T$310,0)),"")</f>
        <v/>
      </c>
      <c r="E259" s="15" t="str">
        <f>IFERROR(INDEX('Прайс-лист'!$E$11:$E$310,MATCH(ROWS($A$16:A259),'Прайс-лист'!$T$11:$T$310,0)),"")</f>
        <v/>
      </c>
      <c r="F259" s="15" t="str">
        <f>IFERROR(INDEX('Прайс-лист'!$F$11:$F$310,MATCH(ROWS($A$16:A259),'Прайс-лист'!$T$11:$T$310,0)),"")</f>
        <v/>
      </c>
      <c r="G259" s="16" t="str">
        <f>IFERROR(INDEX('Прайс-лист'!$R$11:$R$310,MATCH(ROWS($A$16:A259),'Прайс-лист'!$T$11:$T$310,0)),"")</f>
        <v/>
      </c>
      <c r="H259" s="15" t="str">
        <f>IFERROR(INDEX('Прайс-лист'!$P$11:$P$310,MATCH(ROWS($A$16:A259),'Прайс-лист'!$T$11:$T$310,0)),"")</f>
        <v/>
      </c>
      <c r="I259" s="16" t="str">
        <f>IFERROR(INDEX('Прайс-лист'!$S$11:$S$310,MATCH(ROWS($A$16:A259),'Прайс-лист'!$T$11:$T$310,0)),"")</f>
        <v/>
      </c>
      <c r="J259" s="15" t="str">
        <f>IFERROR(INDEX('Прайс-лист'!$Q$11:$Q$310,MATCH(ROWS($A$16:A259),'Прайс-лист'!$T$11:$T$310,0)),"")</f>
        <v/>
      </c>
    </row>
    <row r="260" spans="1:10" ht="13.5" customHeight="1" x14ac:dyDescent="0.2">
      <c r="A260" s="15" t="str">
        <f>IFERROR(IF(INDEX('Прайс-лист'!$T$11:$T$310,MATCH(ROWS($A$16:A260),'Прайс-лист'!$T$11:$T$310,0))="","",ROWS($A$16:A260)),"")</f>
        <v/>
      </c>
      <c r="B260" s="15" t="str">
        <f>IFERROR(INDEX('Прайс-лист'!$A$11:$A$310,MATCH(ROWS($A$16:A260),'Прайс-лист'!$T$11:$T$310,0)),"")</f>
        <v/>
      </c>
      <c r="C260" s="15" t="str">
        <f>IFERROR(INDEX('Прайс-лист'!$B$11:$B$310,MATCH(ROWS($A$16:A260),'Прайс-лист'!$T$11:$T$310,0)),"")</f>
        <v/>
      </c>
      <c r="D260" s="15" t="str">
        <f>IFERROR(INDEX('Прайс-лист'!$C$11:$C$310,MATCH(ROWS($A$16:A260),'Прайс-лист'!$T$11:$T$310,0)),"")</f>
        <v/>
      </c>
      <c r="E260" s="15" t="str">
        <f>IFERROR(INDEX('Прайс-лист'!$E$11:$E$310,MATCH(ROWS($A$16:A260),'Прайс-лист'!$T$11:$T$310,0)),"")</f>
        <v/>
      </c>
      <c r="F260" s="15" t="str">
        <f>IFERROR(INDEX('Прайс-лист'!$F$11:$F$310,MATCH(ROWS($A$16:A260),'Прайс-лист'!$T$11:$T$310,0)),"")</f>
        <v/>
      </c>
      <c r="G260" s="16" t="str">
        <f>IFERROR(INDEX('Прайс-лист'!$R$11:$R$310,MATCH(ROWS($A$16:A260),'Прайс-лист'!$T$11:$T$310,0)),"")</f>
        <v/>
      </c>
      <c r="H260" s="15" t="str">
        <f>IFERROR(INDEX('Прайс-лист'!$P$11:$P$310,MATCH(ROWS($A$16:A260),'Прайс-лист'!$T$11:$T$310,0)),"")</f>
        <v/>
      </c>
      <c r="I260" s="16" t="str">
        <f>IFERROR(INDEX('Прайс-лист'!$S$11:$S$310,MATCH(ROWS($A$16:A260),'Прайс-лист'!$T$11:$T$310,0)),"")</f>
        <v/>
      </c>
      <c r="J260" s="15" t="str">
        <f>IFERROR(INDEX('Прайс-лист'!$Q$11:$Q$310,MATCH(ROWS($A$16:A260),'Прайс-лист'!$T$11:$T$310,0)),"")</f>
        <v/>
      </c>
    </row>
    <row r="261" spans="1:10" ht="13.5" customHeight="1" x14ac:dyDescent="0.2">
      <c r="A261" s="15" t="str">
        <f>IFERROR(IF(INDEX('Прайс-лист'!$T$11:$T$310,MATCH(ROWS($A$16:A261),'Прайс-лист'!$T$11:$T$310,0))="","",ROWS($A$16:A261)),"")</f>
        <v/>
      </c>
      <c r="B261" s="15" t="str">
        <f>IFERROR(INDEX('Прайс-лист'!$A$11:$A$310,MATCH(ROWS($A$16:A261),'Прайс-лист'!$T$11:$T$310,0)),"")</f>
        <v/>
      </c>
      <c r="C261" s="15" t="str">
        <f>IFERROR(INDEX('Прайс-лист'!$B$11:$B$310,MATCH(ROWS($A$16:A261),'Прайс-лист'!$T$11:$T$310,0)),"")</f>
        <v/>
      </c>
      <c r="D261" s="15" t="str">
        <f>IFERROR(INDEX('Прайс-лист'!$C$11:$C$310,MATCH(ROWS($A$16:A261),'Прайс-лист'!$T$11:$T$310,0)),"")</f>
        <v/>
      </c>
      <c r="E261" s="15" t="str">
        <f>IFERROR(INDEX('Прайс-лист'!$E$11:$E$310,MATCH(ROWS($A$16:A261),'Прайс-лист'!$T$11:$T$310,0)),"")</f>
        <v/>
      </c>
      <c r="F261" s="15" t="str">
        <f>IFERROR(INDEX('Прайс-лист'!$F$11:$F$310,MATCH(ROWS($A$16:A261),'Прайс-лист'!$T$11:$T$310,0)),"")</f>
        <v/>
      </c>
      <c r="G261" s="16" t="str">
        <f>IFERROR(INDEX('Прайс-лист'!$R$11:$R$310,MATCH(ROWS($A$16:A261),'Прайс-лист'!$T$11:$T$310,0)),"")</f>
        <v/>
      </c>
      <c r="H261" s="15" t="str">
        <f>IFERROR(INDEX('Прайс-лист'!$P$11:$P$310,MATCH(ROWS($A$16:A261),'Прайс-лист'!$T$11:$T$310,0)),"")</f>
        <v/>
      </c>
      <c r="I261" s="16" t="str">
        <f>IFERROR(INDEX('Прайс-лист'!$S$11:$S$310,MATCH(ROWS($A$16:A261),'Прайс-лист'!$T$11:$T$310,0)),"")</f>
        <v/>
      </c>
      <c r="J261" s="15" t="str">
        <f>IFERROR(INDEX('Прайс-лист'!$Q$11:$Q$310,MATCH(ROWS($A$16:A261),'Прайс-лист'!$T$11:$T$310,0)),"")</f>
        <v/>
      </c>
    </row>
    <row r="262" spans="1:10" ht="13.5" customHeight="1" x14ac:dyDescent="0.2">
      <c r="A262" s="15" t="str">
        <f>IFERROR(IF(INDEX('Прайс-лист'!$T$11:$T$310,MATCH(ROWS($A$16:A262),'Прайс-лист'!$T$11:$T$310,0))="","",ROWS($A$16:A262)),"")</f>
        <v/>
      </c>
      <c r="B262" s="15" t="str">
        <f>IFERROR(INDEX('Прайс-лист'!$A$11:$A$310,MATCH(ROWS($A$16:A262),'Прайс-лист'!$T$11:$T$310,0)),"")</f>
        <v/>
      </c>
      <c r="C262" s="15" t="str">
        <f>IFERROR(INDEX('Прайс-лист'!$B$11:$B$310,MATCH(ROWS($A$16:A262),'Прайс-лист'!$T$11:$T$310,0)),"")</f>
        <v/>
      </c>
      <c r="D262" s="15" t="str">
        <f>IFERROR(INDEX('Прайс-лист'!$C$11:$C$310,MATCH(ROWS($A$16:A262),'Прайс-лист'!$T$11:$T$310,0)),"")</f>
        <v/>
      </c>
      <c r="E262" s="15" t="str">
        <f>IFERROR(INDEX('Прайс-лист'!$E$11:$E$310,MATCH(ROWS($A$16:A262),'Прайс-лист'!$T$11:$T$310,0)),"")</f>
        <v/>
      </c>
      <c r="F262" s="15" t="str">
        <f>IFERROR(INDEX('Прайс-лист'!$F$11:$F$310,MATCH(ROWS($A$16:A262),'Прайс-лист'!$T$11:$T$310,0)),"")</f>
        <v/>
      </c>
      <c r="G262" s="16" t="str">
        <f>IFERROR(INDEX('Прайс-лист'!$R$11:$R$310,MATCH(ROWS($A$16:A262),'Прайс-лист'!$T$11:$T$310,0)),"")</f>
        <v/>
      </c>
      <c r="H262" s="15" t="str">
        <f>IFERROR(INDEX('Прайс-лист'!$P$11:$P$310,MATCH(ROWS($A$16:A262),'Прайс-лист'!$T$11:$T$310,0)),"")</f>
        <v/>
      </c>
      <c r="I262" s="16" t="str">
        <f>IFERROR(INDEX('Прайс-лист'!$S$11:$S$310,MATCH(ROWS($A$16:A262),'Прайс-лист'!$T$11:$T$310,0)),"")</f>
        <v/>
      </c>
      <c r="J262" s="15" t="str">
        <f>IFERROR(INDEX('Прайс-лист'!$Q$11:$Q$310,MATCH(ROWS($A$16:A262),'Прайс-лист'!$T$11:$T$310,0)),"")</f>
        <v/>
      </c>
    </row>
    <row r="263" spans="1:10" ht="13.5" customHeight="1" x14ac:dyDescent="0.2">
      <c r="A263" s="15" t="str">
        <f>IFERROR(IF(INDEX('Прайс-лист'!$T$11:$T$310,MATCH(ROWS($A$16:A263),'Прайс-лист'!$T$11:$T$310,0))="","",ROWS($A$16:A263)),"")</f>
        <v/>
      </c>
      <c r="B263" s="15" t="str">
        <f>IFERROR(INDEX('Прайс-лист'!$A$11:$A$310,MATCH(ROWS($A$16:A263),'Прайс-лист'!$T$11:$T$310,0)),"")</f>
        <v/>
      </c>
      <c r="C263" s="15" t="str">
        <f>IFERROR(INDEX('Прайс-лист'!$B$11:$B$310,MATCH(ROWS($A$16:A263),'Прайс-лист'!$T$11:$T$310,0)),"")</f>
        <v/>
      </c>
      <c r="D263" s="15" t="str">
        <f>IFERROR(INDEX('Прайс-лист'!$C$11:$C$310,MATCH(ROWS($A$16:A263),'Прайс-лист'!$T$11:$T$310,0)),"")</f>
        <v/>
      </c>
      <c r="E263" s="15" t="str">
        <f>IFERROR(INDEX('Прайс-лист'!$E$11:$E$310,MATCH(ROWS($A$16:A263),'Прайс-лист'!$T$11:$T$310,0)),"")</f>
        <v/>
      </c>
      <c r="F263" s="15" t="str">
        <f>IFERROR(INDEX('Прайс-лист'!$F$11:$F$310,MATCH(ROWS($A$16:A263),'Прайс-лист'!$T$11:$T$310,0)),"")</f>
        <v/>
      </c>
      <c r="G263" s="16" t="str">
        <f>IFERROR(INDEX('Прайс-лист'!$R$11:$R$310,MATCH(ROWS($A$16:A263),'Прайс-лист'!$T$11:$T$310,0)),"")</f>
        <v/>
      </c>
      <c r="H263" s="15" t="str">
        <f>IFERROR(INDEX('Прайс-лист'!$P$11:$P$310,MATCH(ROWS($A$16:A263),'Прайс-лист'!$T$11:$T$310,0)),"")</f>
        <v/>
      </c>
      <c r="I263" s="16" t="str">
        <f>IFERROR(INDEX('Прайс-лист'!$S$11:$S$310,MATCH(ROWS($A$16:A263),'Прайс-лист'!$T$11:$T$310,0)),"")</f>
        <v/>
      </c>
      <c r="J263" s="15" t="str">
        <f>IFERROR(INDEX('Прайс-лист'!$Q$11:$Q$310,MATCH(ROWS($A$16:A263),'Прайс-лист'!$T$11:$T$310,0)),"")</f>
        <v/>
      </c>
    </row>
    <row r="264" spans="1:10" ht="13.5" customHeight="1" x14ac:dyDescent="0.2">
      <c r="A264" s="15" t="str">
        <f>IFERROR(IF(INDEX('Прайс-лист'!$T$11:$T$310,MATCH(ROWS($A$16:A264),'Прайс-лист'!$T$11:$T$310,0))="","",ROWS($A$16:A264)),"")</f>
        <v/>
      </c>
      <c r="B264" s="15" t="str">
        <f>IFERROR(INDEX('Прайс-лист'!$A$11:$A$310,MATCH(ROWS($A$16:A264),'Прайс-лист'!$T$11:$T$310,0)),"")</f>
        <v/>
      </c>
      <c r="C264" s="15" t="str">
        <f>IFERROR(INDEX('Прайс-лист'!$B$11:$B$310,MATCH(ROWS($A$16:A264),'Прайс-лист'!$T$11:$T$310,0)),"")</f>
        <v/>
      </c>
      <c r="D264" s="15" t="str">
        <f>IFERROR(INDEX('Прайс-лист'!$C$11:$C$310,MATCH(ROWS($A$16:A264),'Прайс-лист'!$T$11:$T$310,0)),"")</f>
        <v/>
      </c>
      <c r="E264" s="15" t="str">
        <f>IFERROR(INDEX('Прайс-лист'!$E$11:$E$310,MATCH(ROWS($A$16:A264),'Прайс-лист'!$T$11:$T$310,0)),"")</f>
        <v/>
      </c>
      <c r="F264" s="15" t="str">
        <f>IFERROR(INDEX('Прайс-лист'!$F$11:$F$310,MATCH(ROWS($A$16:A264),'Прайс-лист'!$T$11:$T$310,0)),"")</f>
        <v/>
      </c>
      <c r="G264" s="16" t="str">
        <f>IFERROR(INDEX('Прайс-лист'!$R$11:$R$310,MATCH(ROWS($A$16:A264),'Прайс-лист'!$T$11:$T$310,0)),"")</f>
        <v/>
      </c>
      <c r="H264" s="15" t="str">
        <f>IFERROR(INDEX('Прайс-лист'!$P$11:$P$310,MATCH(ROWS($A$16:A264),'Прайс-лист'!$T$11:$T$310,0)),"")</f>
        <v/>
      </c>
      <c r="I264" s="16" t="str">
        <f>IFERROR(INDEX('Прайс-лист'!$S$11:$S$310,MATCH(ROWS($A$16:A264),'Прайс-лист'!$T$11:$T$310,0)),"")</f>
        <v/>
      </c>
      <c r="J264" s="15" t="str">
        <f>IFERROR(INDEX('Прайс-лист'!$Q$11:$Q$310,MATCH(ROWS($A$16:A264),'Прайс-лист'!$T$11:$T$310,0)),"")</f>
        <v/>
      </c>
    </row>
    <row r="265" spans="1:10" ht="13.5" customHeight="1" x14ac:dyDescent="0.2">
      <c r="A265" s="15" t="str">
        <f>IFERROR(IF(INDEX('Прайс-лист'!$T$11:$T$310,MATCH(ROWS($A$16:A265),'Прайс-лист'!$T$11:$T$310,0))="","",ROWS($A$16:A265)),"")</f>
        <v/>
      </c>
      <c r="B265" s="15" t="str">
        <f>IFERROR(INDEX('Прайс-лист'!$A$11:$A$310,MATCH(ROWS($A$16:A265),'Прайс-лист'!$T$11:$T$310,0)),"")</f>
        <v/>
      </c>
      <c r="C265" s="15" t="str">
        <f>IFERROR(INDEX('Прайс-лист'!$B$11:$B$310,MATCH(ROWS($A$16:A265),'Прайс-лист'!$T$11:$T$310,0)),"")</f>
        <v/>
      </c>
      <c r="D265" s="15" t="str">
        <f>IFERROR(INDEX('Прайс-лист'!$C$11:$C$310,MATCH(ROWS($A$16:A265),'Прайс-лист'!$T$11:$T$310,0)),"")</f>
        <v/>
      </c>
      <c r="E265" s="15" t="str">
        <f>IFERROR(INDEX('Прайс-лист'!$E$11:$E$310,MATCH(ROWS($A$16:A265),'Прайс-лист'!$T$11:$T$310,0)),"")</f>
        <v/>
      </c>
      <c r="F265" s="15" t="str">
        <f>IFERROR(INDEX('Прайс-лист'!$F$11:$F$310,MATCH(ROWS($A$16:A265),'Прайс-лист'!$T$11:$T$310,0)),"")</f>
        <v/>
      </c>
      <c r="G265" s="16" t="str">
        <f>IFERROR(INDEX('Прайс-лист'!$R$11:$R$310,MATCH(ROWS($A$16:A265),'Прайс-лист'!$T$11:$T$310,0)),"")</f>
        <v/>
      </c>
      <c r="H265" s="15" t="str">
        <f>IFERROR(INDEX('Прайс-лист'!$P$11:$P$310,MATCH(ROWS($A$16:A265),'Прайс-лист'!$T$11:$T$310,0)),"")</f>
        <v/>
      </c>
      <c r="I265" s="16" t="str">
        <f>IFERROR(INDEX('Прайс-лист'!$S$11:$S$310,MATCH(ROWS($A$16:A265),'Прайс-лист'!$T$11:$T$310,0)),"")</f>
        <v/>
      </c>
      <c r="J265" s="15" t="str">
        <f>IFERROR(INDEX('Прайс-лист'!$Q$11:$Q$310,MATCH(ROWS($A$16:A265),'Прайс-лист'!$T$11:$T$310,0)),"")</f>
        <v/>
      </c>
    </row>
    <row r="266" spans="1:10" ht="13.5" customHeight="1" x14ac:dyDescent="0.2">
      <c r="A266" s="15" t="str">
        <f>IFERROR(IF(INDEX('Прайс-лист'!$T$11:$T$310,MATCH(ROWS($A$16:A266),'Прайс-лист'!$T$11:$T$310,0))="","",ROWS($A$16:A266)),"")</f>
        <v/>
      </c>
      <c r="B266" s="15" t="str">
        <f>IFERROR(INDEX('Прайс-лист'!$A$11:$A$310,MATCH(ROWS($A$16:A266),'Прайс-лист'!$T$11:$T$310,0)),"")</f>
        <v/>
      </c>
      <c r="C266" s="15" t="str">
        <f>IFERROR(INDEX('Прайс-лист'!$B$11:$B$310,MATCH(ROWS($A$16:A266),'Прайс-лист'!$T$11:$T$310,0)),"")</f>
        <v/>
      </c>
      <c r="D266" s="15" t="str">
        <f>IFERROR(INDEX('Прайс-лист'!$C$11:$C$310,MATCH(ROWS($A$16:A266),'Прайс-лист'!$T$11:$T$310,0)),"")</f>
        <v/>
      </c>
      <c r="E266" s="15" t="str">
        <f>IFERROR(INDEX('Прайс-лист'!$E$11:$E$310,MATCH(ROWS($A$16:A266),'Прайс-лист'!$T$11:$T$310,0)),"")</f>
        <v/>
      </c>
      <c r="F266" s="15" t="str">
        <f>IFERROR(INDEX('Прайс-лист'!$F$11:$F$310,MATCH(ROWS($A$16:A266),'Прайс-лист'!$T$11:$T$310,0)),"")</f>
        <v/>
      </c>
      <c r="G266" s="16" t="str">
        <f>IFERROR(INDEX('Прайс-лист'!$R$11:$R$310,MATCH(ROWS($A$16:A266),'Прайс-лист'!$T$11:$T$310,0)),"")</f>
        <v/>
      </c>
      <c r="H266" s="15" t="str">
        <f>IFERROR(INDEX('Прайс-лист'!$P$11:$P$310,MATCH(ROWS($A$16:A266),'Прайс-лист'!$T$11:$T$310,0)),"")</f>
        <v/>
      </c>
      <c r="I266" s="16" t="str">
        <f>IFERROR(INDEX('Прайс-лист'!$S$11:$S$310,MATCH(ROWS($A$16:A266),'Прайс-лист'!$T$11:$T$310,0)),"")</f>
        <v/>
      </c>
      <c r="J266" s="15" t="str">
        <f>IFERROR(INDEX('Прайс-лист'!$Q$11:$Q$310,MATCH(ROWS($A$16:A266),'Прайс-лист'!$T$11:$T$310,0)),"")</f>
        <v/>
      </c>
    </row>
    <row r="267" spans="1:10" ht="13.5" customHeight="1" x14ac:dyDescent="0.2">
      <c r="A267" s="15" t="str">
        <f>IFERROR(IF(INDEX('Прайс-лист'!$T$11:$T$310,MATCH(ROWS($A$16:A267),'Прайс-лист'!$T$11:$T$310,0))="","",ROWS($A$16:A267)),"")</f>
        <v/>
      </c>
      <c r="B267" s="15" t="str">
        <f>IFERROR(INDEX('Прайс-лист'!$A$11:$A$310,MATCH(ROWS($A$16:A267),'Прайс-лист'!$T$11:$T$310,0)),"")</f>
        <v/>
      </c>
      <c r="C267" s="15" t="str">
        <f>IFERROR(INDEX('Прайс-лист'!$B$11:$B$310,MATCH(ROWS($A$16:A267),'Прайс-лист'!$T$11:$T$310,0)),"")</f>
        <v/>
      </c>
      <c r="D267" s="15" t="str">
        <f>IFERROR(INDEX('Прайс-лист'!$C$11:$C$310,MATCH(ROWS($A$16:A267),'Прайс-лист'!$T$11:$T$310,0)),"")</f>
        <v/>
      </c>
      <c r="E267" s="15" t="str">
        <f>IFERROR(INDEX('Прайс-лист'!$E$11:$E$310,MATCH(ROWS($A$16:A267),'Прайс-лист'!$T$11:$T$310,0)),"")</f>
        <v/>
      </c>
      <c r="F267" s="15" t="str">
        <f>IFERROR(INDEX('Прайс-лист'!$F$11:$F$310,MATCH(ROWS($A$16:A267),'Прайс-лист'!$T$11:$T$310,0)),"")</f>
        <v/>
      </c>
      <c r="G267" s="16" t="str">
        <f>IFERROR(INDEX('Прайс-лист'!$R$11:$R$310,MATCH(ROWS($A$16:A267),'Прайс-лист'!$T$11:$T$310,0)),"")</f>
        <v/>
      </c>
      <c r="H267" s="15" t="str">
        <f>IFERROR(INDEX('Прайс-лист'!$P$11:$P$310,MATCH(ROWS($A$16:A267),'Прайс-лист'!$T$11:$T$310,0)),"")</f>
        <v/>
      </c>
      <c r="I267" s="16" t="str">
        <f>IFERROR(INDEX('Прайс-лист'!$S$11:$S$310,MATCH(ROWS($A$16:A267),'Прайс-лист'!$T$11:$T$310,0)),"")</f>
        <v/>
      </c>
      <c r="J267" s="15" t="str">
        <f>IFERROR(INDEX('Прайс-лист'!$Q$11:$Q$310,MATCH(ROWS($A$16:A267),'Прайс-лист'!$T$11:$T$310,0)),"")</f>
        <v/>
      </c>
    </row>
    <row r="268" spans="1:10" ht="13.5" customHeight="1" x14ac:dyDescent="0.2">
      <c r="A268" s="15" t="str">
        <f>IFERROR(IF(INDEX('Прайс-лист'!$T$11:$T$310,MATCH(ROWS($A$16:A268),'Прайс-лист'!$T$11:$T$310,0))="","",ROWS($A$16:A268)),"")</f>
        <v/>
      </c>
      <c r="B268" s="15" t="str">
        <f>IFERROR(INDEX('Прайс-лист'!$A$11:$A$310,MATCH(ROWS($A$16:A268),'Прайс-лист'!$T$11:$T$310,0)),"")</f>
        <v/>
      </c>
      <c r="C268" s="15" t="str">
        <f>IFERROR(INDEX('Прайс-лист'!$B$11:$B$310,MATCH(ROWS($A$16:A268),'Прайс-лист'!$T$11:$T$310,0)),"")</f>
        <v/>
      </c>
      <c r="D268" s="15" t="str">
        <f>IFERROR(INDEX('Прайс-лист'!$C$11:$C$310,MATCH(ROWS($A$16:A268),'Прайс-лист'!$T$11:$T$310,0)),"")</f>
        <v/>
      </c>
      <c r="E268" s="15" t="str">
        <f>IFERROR(INDEX('Прайс-лист'!$E$11:$E$310,MATCH(ROWS($A$16:A268),'Прайс-лист'!$T$11:$T$310,0)),"")</f>
        <v/>
      </c>
      <c r="F268" s="15" t="str">
        <f>IFERROR(INDEX('Прайс-лист'!$F$11:$F$310,MATCH(ROWS($A$16:A268),'Прайс-лист'!$T$11:$T$310,0)),"")</f>
        <v/>
      </c>
      <c r="G268" s="16" t="str">
        <f>IFERROR(INDEX('Прайс-лист'!$R$11:$R$310,MATCH(ROWS($A$16:A268),'Прайс-лист'!$T$11:$T$310,0)),"")</f>
        <v/>
      </c>
      <c r="H268" s="15" t="str">
        <f>IFERROR(INDEX('Прайс-лист'!$P$11:$P$310,MATCH(ROWS($A$16:A268),'Прайс-лист'!$T$11:$T$310,0)),"")</f>
        <v/>
      </c>
      <c r="I268" s="16" t="str">
        <f>IFERROR(INDEX('Прайс-лист'!$S$11:$S$310,MATCH(ROWS($A$16:A268),'Прайс-лист'!$T$11:$T$310,0)),"")</f>
        <v/>
      </c>
      <c r="J268" s="15" t="str">
        <f>IFERROR(INDEX('Прайс-лист'!$Q$11:$Q$310,MATCH(ROWS($A$16:A268),'Прайс-лист'!$T$11:$T$310,0)),"")</f>
        <v/>
      </c>
    </row>
    <row r="269" spans="1:10" ht="13.5" customHeight="1" x14ac:dyDescent="0.2">
      <c r="A269" s="15" t="str">
        <f>IFERROR(IF(INDEX('Прайс-лист'!$T$11:$T$310,MATCH(ROWS($A$16:A269),'Прайс-лист'!$T$11:$T$310,0))="","",ROWS($A$16:A269)),"")</f>
        <v/>
      </c>
      <c r="B269" s="15" t="str">
        <f>IFERROR(INDEX('Прайс-лист'!$A$11:$A$310,MATCH(ROWS($A$16:A269),'Прайс-лист'!$T$11:$T$310,0)),"")</f>
        <v/>
      </c>
      <c r="C269" s="15" t="str">
        <f>IFERROR(INDEX('Прайс-лист'!$B$11:$B$310,MATCH(ROWS($A$16:A269),'Прайс-лист'!$T$11:$T$310,0)),"")</f>
        <v/>
      </c>
      <c r="D269" s="15" t="str">
        <f>IFERROR(INDEX('Прайс-лист'!$C$11:$C$310,MATCH(ROWS($A$16:A269),'Прайс-лист'!$T$11:$T$310,0)),"")</f>
        <v/>
      </c>
      <c r="E269" s="15" t="str">
        <f>IFERROR(INDEX('Прайс-лист'!$E$11:$E$310,MATCH(ROWS($A$16:A269),'Прайс-лист'!$T$11:$T$310,0)),"")</f>
        <v/>
      </c>
      <c r="F269" s="15" t="str">
        <f>IFERROR(INDEX('Прайс-лист'!$F$11:$F$310,MATCH(ROWS($A$16:A269),'Прайс-лист'!$T$11:$T$310,0)),"")</f>
        <v/>
      </c>
      <c r="G269" s="16" t="str">
        <f>IFERROR(INDEX('Прайс-лист'!$R$11:$R$310,MATCH(ROWS($A$16:A269),'Прайс-лист'!$T$11:$T$310,0)),"")</f>
        <v/>
      </c>
      <c r="H269" s="15" t="str">
        <f>IFERROR(INDEX('Прайс-лист'!$P$11:$P$310,MATCH(ROWS($A$16:A269),'Прайс-лист'!$T$11:$T$310,0)),"")</f>
        <v/>
      </c>
      <c r="I269" s="16" t="str">
        <f>IFERROR(INDEX('Прайс-лист'!$S$11:$S$310,MATCH(ROWS($A$16:A269),'Прайс-лист'!$T$11:$T$310,0)),"")</f>
        <v/>
      </c>
      <c r="J269" s="15" t="str">
        <f>IFERROR(INDEX('Прайс-лист'!$Q$11:$Q$310,MATCH(ROWS($A$16:A269),'Прайс-лист'!$T$11:$T$310,0)),"")</f>
        <v/>
      </c>
    </row>
    <row r="270" spans="1:10" ht="13.5" customHeight="1" x14ac:dyDescent="0.2">
      <c r="A270" s="15" t="str">
        <f>IFERROR(IF(INDEX('Прайс-лист'!$T$11:$T$310,MATCH(ROWS($A$16:A270),'Прайс-лист'!$T$11:$T$310,0))="","",ROWS($A$16:A270)),"")</f>
        <v/>
      </c>
      <c r="B270" s="15" t="str">
        <f>IFERROR(INDEX('Прайс-лист'!$A$11:$A$310,MATCH(ROWS($A$16:A270),'Прайс-лист'!$T$11:$T$310,0)),"")</f>
        <v/>
      </c>
      <c r="C270" s="15" t="str">
        <f>IFERROR(INDEX('Прайс-лист'!$B$11:$B$310,MATCH(ROWS($A$16:A270),'Прайс-лист'!$T$11:$T$310,0)),"")</f>
        <v/>
      </c>
      <c r="D270" s="15" t="str">
        <f>IFERROR(INDEX('Прайс-лист'!$C$11:$C$310,MATCH(ROWS($A$16:A270),'Прайс-лист'!$T$11:$T$310,0)),"")</f>
        <v/>
      </c>
      <c r="E270" s="15" t="str">
        <f>IFERROR(INDEX('Прайс-лист'!$E$11:$E$310,MATCH(ROWS($A$16:A270),'Прайс-лист'!$T$11:$T$310,0)),"")</f>
        <v/>
      </c>
      <c r="F270" s="15" t="str">
        <f>IFERROR(INDEX('Прайс-лист'!$F$11:$F$310,MATCH(ROWS($A$16:A270),'Прайс-лист'!$T$11:$T$310,0)),"")</f>
        <v/>
      </c>
      <c r="G270" s="16" t="str">
        <f>IFERROR(INDEX('Прайс-лист'!$R$11:$R$310,MATCH(ROWS($A$16:A270),'Прайс-лист'!$T$11:$T$310,0)),"")</f>
        <v/>
      </c>
      <c r="H270" s="15" t="str">
        <f>IFERROR(INDEX('Прайс-лист'!$P$11:$P$310,MATCH(ROWS($A$16:A270),'Прайс-лист'!$T$11:$T$310,0)),"")</f>
        <v/>
      </c>
      <c r="I270" s="16" t="str">
        <f>IFERROR(INDEX('Прайс-лист'!$S$11:$S$310,MATCH(ROWS($A$16:A270),'Прайс-лист'!$T$11:$T$310,0)),"")</f>
        <v/>
      </c>
      <c r="J270" s="15" t="str">
        <f>IFERROR(INDEX('Прайс-лист'!$Q$11:$Q$310,MATCH(ROWS($A$16:A270),'Прайс-лист'!$T$11:$T$310,0)),"")</f>
        <v/>
      </c>
    </row>
    <row r="271" spans="1:10" ht="13.5" customHeight="1" x14ac:dyDescent="0.2">
      <c r="A271" s="15" t="str">
        <f>IFERROR(IF(INDEX('Прайс-лист'!$T$11:$T$310,MATCH(ROWS($A$16:A271),'Прайс-лист'!$T$11:$T$310,0))="","",ROWS($A$16:A271)),"")</f>
        <v/>
      </c>
      <c r="B271" s="15" t="str">
        <f>IFERROR(INDEX('Прайс-лист'!$A$11:$A$310,MATCH(ROWS($A$16:A271),'Прайс-лист'!$T$11:$T$310,0)),"")</f>
        <v/>
      </c>
      <c r="C271" s="15" t="str">
        <f>IFERROR(INDEX('Прайс-лист'!$B$11:$B$310,MATCH(ROWS($A$16:A271),'Прайс-лист'!$T$11:$T$310,0)),"")</f>
        <v/>
      </c>
      <c r="D271" s="15" t="str">
        <f>IFERROR(INDEX('Прайс-лист'!$C$11:$C$310,MATCH(ROWS($A$16:A271),'Прайс-лист'!$T$11:$T$310,0)),"")</f>
        <v/>
      </c>
      <c r="E271" s="15" t="str">
        <f>IFERROR(INDEX('Прайс-лист'!$E$11:$E$310,MATCH(ROWS($A$16:A271),'Прайс-лист'!$T$11:$T$310,0)),"")</f>
        <v/>
      </c>
      <c r="F271" s="15" t="str">
        <f>IFERROR(INDEX('Прайс-лист'!$F$11:$F$310,MATCH(ROWS($A$16:A271),'Прайс-лист'!$T$11:$T$310,0)),"")</f>
        <v/>
      </c>
      <c r="G271" s="16" t="str">
        <f>IFERROR(INDEX('Прайс-лист'!$R$11:$R$310,MATCH(ROWS($A$16:A271),'Прайс-лист'!$T$11:$T$310,0)),"")</f>
        <v/>
      </c>
      <c r="H271" s="15" t="str">
        <f>IFERROR(INDEX('Прайс-лист'!$P$11:$P$310,MATCH(ROWS($A$16:A271),'Прайс-лист'!$T$11:$T$310,0)),"")</f>
        <v/>
      </c>
      <c r="I271" s="16" t="str">
        <f>IFERROR(INDEX('Прайс-лист'!$S$11:$S$310,MATCH(ROWS($A$16:A271),'Прайс-лист'!$T$11:$T$310,0)),"")</f>
        <v/>
      </c>
      <c r="J271" s="15" t="str">
        <f>IFERROR(INDEX('Прайс-лист'!$Q$11:$Q$310,MATCH(ROWS($A$16:A271),'Прайс-лист'!$T$11:$T$310,0)),"")</f>
        <v/>
      </c>
    </row>
    <row r="272" spans="1:10" ht="13.5" customHeight="1" x14ac:dyDescent="0.2">
      <c r="A272" s="15" t="str">
        <f>IFERROR(IF(INDEX('Прайс-лист'!$T$11:$T$310,MATCH(ROWS($A$16:A272),'Прайс-лист'!$T$11:$T$310,0))="","",ROWS($A$16:A272)),"")</f>
        <v/>
      </c>
      <c r="B272" s="15" t="str">
        <f>IFERROR(INDEX('Прайс-лист'!$A$11:$A$310,MATCH(ROWS($A$16:A272),'Прайс-лист'!$T$11:$T$310,0)),"")</f>
        <v/>
      </c>
      <c r="C272" s="15" t="str">
        <f>IFERROR(INDEX('Прайс-лист'!$B$11:$B$310,MATCH(ROWS($A$16:A272),'Прайс-лист'!$T$11:$T$310,0)),"")</f>
        <v/>
      </c>
      <c r="D272" s="15" t="str">
        <f>IFERROR(INDEX('Прайс-лист'!$C$11:$C$310,MATCH(ROWS($A$16:A272),'Прайс-лист'!$T$11:$T$310,0)),"")</f>
        <v/>
      </c>
      <c r="E272" s="15" t="str">
        <f>IFERROR(INDEX('Прайс-лист'!$E$11:$E$310,MATCH(ROWS($A$16:A272),'Прайс-лист'!$T$11:$T$310,0)),"")</f>
        <v/>
      </c>
      <c r="F272" s="15" t="str">
        <f>IFERROR(INDEX('Прайс-лист'!$F$11:$F$310,MATCH(ROWS($A$16:A272),'Прайс-лист'!$T$11:$T$310,0)),"")</f>
        <v/>
      </c>
      <c r="G272" s="16" t="str">
        <f>IFERROR(INDEX('Прайс-лист'!$R$11:$R$310,MATCH(ROWS($A$16:A272),'Прайс-лист'!$T$11:$T$310,0)),"")</f>
        <v/>
      </c>
      <c r="H272" s="15" t="str">
        <f>IFERROR(INDEX('Прайс-лист'!$P$11:$P$310,MATCH(ROWS($A$16:A272),'Прайс-лист'!$T$11:$T$310,0)),"")</f>
        <v/>
      </c>
      <c r="I272" s="16" t="str">
        <f>IFERROR(INDEX('Прайс-лист'!$S$11:$S$310,MATCH(ROWS($A$16:A272),'Прайс-лист'!$T$11:$T$310,0)),"")</f>
        <v/>
      </c>
      <c r="J272" s="15" t="str">
        <f>IFERROR(INDEX('Прайс-лист'!$Q$11:$Q$310,MATCH(ROWS($A$16:A272),'Прайс-лист'!$T$11:$T$310,0)),"")</f>
        <v/>
      </c>
    </row>
    <row r="273" spans="1:10" ht="13.5" customHeight="1" x14ac:dyDescent="0.2">
      <c r="A273" s="15" t="str">
        <f>IFERROR(IF(INDEX('Прайс-лист'!$T$11:$T$310,MATCH(ROWS($A$16:A273),'Прайс-лист'!$T$11:$T$310,0))="","",ROWS($A$16:A273)),"")</f>
        <v/>
      </c>
      <c r="B273" s="15" t="str">
        <f>IFERROR(INDEX('Прайс-лист'!$A$11:$A$310,MATCH(ROWS($A$16:A273),'Прайс-лист'!$T$11:$T$310,0)),"")</f>
        <v/>
      </c>
      <c r="C273" s="15" t="str">
        <f>IFERROR(INDEX('Прайс-лист'!$B$11:$B$310,MATCH(ROWS($A$16:A273),'Прайс-лист'!$T$11:$T$310,0)),"")</f>
        <v/>
      </c>
      <c r="D273" s="15" t="str">
        <f>IFERROR(INDEX('Прайс-лист'!$C$11:$C$310,MATCH(ROWS($A$16:A273),'Прайс-лист'!$T$11:$T$310,0)),"")</f>
        <v/>
      </c>
      <c r="E273" s="15" t="str">
        <f>IFERROR(INDEX('Прайс-лист'!$E$11:$E$310,MATCH(ROWS($A$16:A273),'Прайс-лист'!$T$11:$T$310,0)),"")</f>
        <v/>
      </c>
      <c r="F273" s="15" t="str">
        <f>IFERROR(INDEX('Прайс-лист'!$F$11:$F$310,MATCH(ROWS($A$16:A273),'Прайс-лист'!$T$11:$T$310,0)),"")</f>
        <v/>
      </c>
      <c r="G273" s="16" t="str">
        <f>IFERROR(INDEX('Прайс-лист'!$R$11:$R$310,MATCH(ROWS($A$16:A273),'Прайс-лист'!$T$11:$T$310,0)),"")</f>
        <v/>
      </c>
      <c r="H273" s="15" t="str">
        <f>IFERROR(INDEX('Прайс-лист'!$P$11:$P$310,MATCH(ROWS($A$16:A273),'Прайс-лист'!$T$11:$T$310,0)),"")</f>
        <v/>
      </c>
      <c r="I273" s="16" t="str">
        <f>IFERROR(INDEX('Прайс-лист'!$S$11:$S$310,MATCH(ROWS($A$16:A273),'Прайс-лист'!$T$11:$T$310,0)),"")</f>
        <v/>
      </c>
      <c r="J273" s="15" t="str">
        <f>IFERROR(INDEX('Прайс-лист'!$Q$11:$Q$310,MATCH(ROWS($A$16:A273),'Прайс-лист'!$T$11:$T$310,0)),"")</f>
        <v/>
      </c>
    </row>
    <row r="274" spans="1:10" ht="13.5" customHeight="1" x14ac:dyDescent="0.2">
      <c r="A274" s="15" t="str">
        <f>IFERROR(IF(INDEX('Прайс-лист'!$T$11:$T$310,MATCH(ROWS($A$16:A274),'Прайс-лист'!$T$11:$T$310,0))="","",ROWS($A$16:A274)),"")</f>
        <v/>
      </c>
      <c r="B274" s="15" t="str">
        <f>IFERROR(INDEX('Прайс-лист'!$A$11:$A$310,MATCH(ROWS($A$16:A274),'Прайс-лист'!$T$11:$T$310,0)),"")</f>
        <v/>
      </c>
      <c r="C274" s="15" t="str">
        <f>IFERROR(INDEX('Прайс-лист'!$B$11:$B$310,MATCH(ROWS($A$16:A274),'Прайс-лист'!$T$11:$T$310,0)),"")</f>
        <v/>
      </c>
      <c r="D274" s="15" t="str">
        <f>IFERROR(INDEX('Прайс-лист'!$C$11:$C$310,MATCH(ROWS($A$16:A274),'Прайс-лист'!$T$11:$T$310,0)),"")</f>
        <v/>
      </c>
      <c r="E274" s="15" t="str">
        <f>IFERROR(INDEX('Прайс-лист'!$E$11:$E$310,MATCH(ROWS($A$16:A274),'Прайс-лист'!$T$11:$T$310,0)),"")</f>
        <v/>
      </c>
      <c r="F274" s="15" t="str">
        <f>IFERROR(INDEX('Прайс-лист'!$F$11:$F$310,MATCH(ROWS($A$16:A274),'Прайс-лист'!$T$11:$T$310,0)),"")</f>
        <v/>
      </c>
      <c r="G274" s="16" t="str">
        <f>IFERROR(INDEX('Прайс-лист'!$R$11:$R$310,MATCH(ROWS($A$16:A274),'Прайс-лист'!$T$11:$T$310,0)),"")</f>
        <v/>
      </c>
      <c r="H274" s="15" t="str">
        <f>IFERROR(INDEX('Прайс-лист'!$P$11:$P$310,MATCH(ROWS($A$16:A274),'Прайс-лист'!$T$11:$T$310,0)),"")</f>
        <v/>
      </c>
      <c r="I274" s="16" t="str">
        <f>IFERROR(INDEX('Прайс-лист'!$S$11:$S$310,MATCH(ROWS($A$16:A274),'Прайс-лист'!$T$11:$T$310,0)),"")</f>
        <v/>
      </c>
      <c r="J274" s="15" t="str">
        <f>IFERROR(INDEX('Прайс-лист'!$Q$11:$Q$310,MATCH(ROWS($A$16:A274),'Прайс-лист'!$T$11:$T$310,0)),"")</f>
        <v/>
      </c>
    </row>
    <row r="275" spans="1:10" ht="13.5" customHeight="1" x14ac:dyDescent="0.2">
      <c r="A275" s="15" t="str">
        <f>IFERROR(IF(INDEX('Прайс-лист'!$T$11:$T$310,MATCH(ROWS($A$16:A275),'Прайс-лист'!$T$11:$T$310,0))="","",ROWS($A$16:A275)),"")</f>
        <v/>
      </c>
      <c r="B275" s="15" t="str">
        <f>IFERROR(INDEX('Прайс-лист'!$A$11:$A$310,MATCH(ROWS($A$16:A275),'Прайс-лист'!$T$11:$T$310,0)),"")</f>
        <v/>
      </c>
      <c r="C275" s="15" t="str">
        <f>IFERROR(INDEX('Прайс-лист'!$B$11:$B$310,MATCH(ROWS($A$16:A275),'Прайс-лист'!$T$11:$T$310,0)),"")</f>
        <v/>
      </c>
      <c r="D275" s="15" t="str">
        <f>IFERROR(INDEX('Прайс-лист'!$C$11:$C$310,MATCH(ROWS($A$16:A275),'Прайс-лист'!$T$11:$T$310,0)),"")</f>
        <v/>
      </c>
      <c r="E275" s="15" t="str">
        <f>IFERROR(INDEX('Прайс-лист'!$E$11:$E$310,MATCH(ROWS($A$16:A275),'Прайс-лист'!$T$11:$T$310,0)),"")</f>
        <v/>
      </c>
      <c r="F275" s="15" t="str">
        <f>IFERROR(INDEX('Прайс-лист'!$F$11:$F$310,MATCH(ROWS($A$16:A275),'Прайс-лист'!$T$11:$T$310,0)),"")</f>
        <v/>
      </c>
      <c r="G275" s="16" t="str">
        <f>IFERROR(INDEX('Прайс-лист'!$R$11:$R$310,MATCH(ROWS($A$16:A275),'Прайс-лист'!$T$11:$T$310,0)),"")</f>
        <v/>
      </c>
      <c r="H275" s="15" t="str">
        <f>IFERROR(INDEX('Прайс-лист'!$P$11:$P$310,MATCH(ROWS($A$16:A275),'Прайс-лист'!$T$11:$T$310,0)),"")</f>
        <v/>
      </c>
      <c r="I275" s="16" t="str">
        <f>IFERROR(INDEX('Прайс-лист'!$S$11:$S$310,MATCH(ROWS($A$16:A275),'Прайс-лист'!$T$11:$T$310,0)),"")</f>
        <v/>
      </c>
      <c r="J275" s="15" t="str">
        <f>IFERROR(INDEX('Прайс-лист'!$Q$11:$Q$310,MATCH(ROWS($A$16:A275),'Прайс-лист'!$T$11:$T$310,0)),"")</f>
        <v/>
      </c>
    </row>
    <row r="276" spans="1:10" ht="13.5" customHeight="1" x14ac:dyDescent="0.2">
      <c r="A276" s="15" t="str">
        <f>IFERROR(IF(INDEX('Прайс-лист'!$T$11:$T$310,MATCH(ROWS($A$16:A276),'Прайс-лист'!$T$11:$T$310,0))="","",ROWS($A$16:A276)),"")</f>
        <v/>
      </c>
      <c r="B276" s="15" t="str">
        <f>IFERROR(INDEX('Прайс-лист'!$A$11:$A$310,MATCH(ROWS($A$16:A276),'Прайс-лист'!$T$11:$T$310,0)),"")</f>
        <v/>
      </c>
      <c r="C276" s="15" t="str">
        <f>IFERROR(INDEX('Прайс-лист'!$B$11:$B$310,MATCH(ROWS($A$16:A276),'Прайс-лист'!$T$11:$T$310,0)),"")</f>
        <v/>
      </c>
      <c r="D276" s="15" t="str">
        <f>IFERROR(INDEX('Прайс-лист'!$C$11:$C$310,MATCH(ROWS($A$16:A276),'Прайс-лист'!$T$11:$T$310,0)),"")</f>
        <v/>
      </c>
      <c r="E276" s="15" t="str">
        <f>IFERROR(INDEX('Прайс-лист'!$E$11:$E$310,MATCH(ROWS($A$16:A276),'Прайс-лист'!$T$11:$T$310,0)),"")</f>
        <v/>
      </c>
      <c r="F276" s="15" t="str">
        <f>IFERROR(INDEX('Прайс-лист'!$F$11:$F$310,MATCH(ROWS($A$16:A276),'Прайс-лист'!$T$11:$T$310,0)),"")</f>
        <v/>
      </c>
      <c r="G276" s="16" t="str">
        <f>IFERROR(INDEX('Прайс-лист'!$R$11:$R$310,MATCH(ROWS($A$16:A276),'Прайс-лист'!$T$11:$T$310,0)),"")</f>
        <v/>
      </c>
      <c r="H276" s="15" t="str">
        <f>IFERROR(INDEX('Прайс-лист'!$P$11:$P$310,MATCH(ROWS($A$16:A276),'Прайс-лист'!$T$11:$T$310,0)),"")</f>
        <v/>
      </c>
      <c r="I276" s="16" t="str">
        <f>IFERROR(INDEX('Прайс-лист'!$S$11:$S$310,MATCH(ROWS($A$16:A276),'Прайс-лист'!$T$11:$T$310,0)),"")</f>
        <v/>
      </c>
      <c r="J276" s="15" t="str">
        <f>IFERROR(INDEX('Прайс-лист'!$Q$11:$Q$310,MATCH(ROWS($A$16:A276),'Прайс-лист'!$T$11:$T$310,0)),"")</f>
        <v/>
      </c>
    </row>
    <row r="277" spans="1:10" ht="13.5" customHeight="1" x14ac:dyDescent="0.2">
      <c r="A277" s="15" t="str">
        <f>IFERROR(IF(INDEX('Прайс-лист'!$T$11:$T$310,MATCH(ROWS($A$16:A277),'Прайс-лист'!$T$11:$T$310,0))="","",ROWS($A$16:A277)),"")</f>
        <v/>
      </c>
      <c r="B277" s="15" t="str">
        <f>IFERROR(INDEX('Прайс-лист'!$A$11:$A$310,MATCH(ROWS($A$16:A277),'Прайс-лист'!$T$11:$T$310,0)),"")</f>
        <v/>
      </c>
      <c r="C277" s="15" t="str">
        <f>IFERROR(INDEX('Прайс-лист'!$B$11:$B$310,MATCH(ROWS($A$16:A277),'Прайс-лист'!$T$11:$T$310,0)),"")</f>
        <v/>
      </c>
      <c r="D277" s="15" t="str">
        <f>IFERROR(INDEX('Прайс-лист'!$C$11:$C$310,MATCH(ROWS($A$16:A277),'Прайс-лист'!$T$11:$T$310,0)),"")</f>
        <v/>
      </c>
      <c r="E277" s="15" t="str">
        <f>IFERROR(INDEX('Прайс-лист'!$E$11:$E$310,MATCH(ROWS($A$16:A277),'Прайс-лист'!$T$11:$T$310,0)),"")</f>
        <v/>
      </c>
      <c r="F277" s="15" t="str">
        <f>IFERROR(INDEX('Прайс-лист'!$F$11:$F$310,MATCH(ROWS($A$16:A277),'Прайс-лист'!$T$11:$T$310,0)),"")</f>
        <v/>
      </c>
      <c r="G277" s="16" t="str">
        <f>IFERROR(INDEX('Прайс-лист'!$R$11:$R$310,MATCH(ROWS($A$16:A277),'Прайс-лист'!$T$11:$T$310,0)),"")</f>
        <v/>
      </c>
      <c r="H277" s="15" t="str">
        <f>IFERROR(INDEX('Прайс-лист'!$P$11:$P$310,MATCH(ROWS($A$16:A277),'Прайс-лист'!$T$11:$T$310,0)),"")</f>
        <v/>
      </c>
      <c r="I277" s="16" t="str">
        <f>IFERROR(INDEX('Прайс-лист'!$S$11:$S$310,MATCH(ROWS($A$16:A277),'Прайс-лист'!$T$11:$T$310,0)),"")</f>
        <v/>
      </c>
      <c r="J277" s="15" t="str">
        <f>IFERROR(INDEX('Прайс-лист'!$Q$11:$Q$310,MATCH(ROWS($A$16:A277),'Прайс-лист'!$T$11:$T$310,0)),"")</f>
        <v/>
      </c>
    </row>
    <row r="278" spans="1:10" ht="13.5" customHeight="1" x14ac:dyDescent="0.2">
      <c r="A278" s="15" t="str">
        <f>IFERROR(IF(INDEX('Прайс-лист'!$T$11:$T$310,MATCH(ROWS($A$16:A278),'Прайс-лист'!$T$11:$T$310,0))="","",ROWS($A$16:A278)),"")</f>
        <v/>
      </c>
      <c r="B278" s="15" t="str">
        <f>IFERROR(INDEX('Прайс-лист'!$A$11:$A$310,MATCH(ROWS($A$16:A278),'Прайс-лист'!$T$11:$T$310,0)),"")</f>
        <v/>
      </c>
      <c r="C278" s="15" t="str">
        <f>IFERROR(INDEX('Прайс-лист'!$B$11:$B$310,MATCH(ROWS($A$16:A278),'Прайс-лист'!$T$11:$T$310,0)),"")</f>
        <v/>
      </c>
      <c r="D278" s="15" t="str">
        <f>IFERROR(INDEX('Прайс-лист'!$C$11:$C$310,MATCH(ROWS($A$16:A278),'Прайс-лист'!$T$11:$T$310,0)),"")</f>
        <v/>
      </c>
      <c r="E278" s="15" t="str">
        <f>IFERROR(INDEX('Прайс-лист'!$E$11:$E$310,MATCH(ROWS($A$16:A278),'Прайс-лист'!$T$11:$T$310,0)),"")</f>
        <v/>
      </c>
      <c r="F278" s="15" t="str">
        <f>IFERROR(INDEX('Прайс-лист'!$F$11:$F$310,MATCH(ROWS($A$16:A278),'Прайс-лист'!$T$11:$T$310,0)),"")</f>
        <v/>
      </c>
      <c r="G278" s="16" t="str">
        <f>IFERROR(INDEX('Прайс-лист'!$R$11:$R$310,MATCH(ROWS($A$16:A278),'Прайс-лист'!$T$11:$T$310,0)),"")</f>
        <v/>
      </c>
      <c r="H278" s="15" t="str">
        <f>IFERROR(INDEX('Прайс-лист'!$P$11:$P$310,MATCH(ROWS($A$16:A278),'Прайс-лист'!$T$11:$T$310,0)),"")</f>
        <v/>
      </c>
      <c r="I278" s="16" t="str">
        <f>IFERROR(INDEX('Прайс-лист'!$S$11:$S$310,MATCH(ROWS($A$16:A278),'Прайс-лист'!$T$11:$T$310,0)),"")</f>
        <v/>
      </c>
      <c r="J278" s="15" t="str">
        <f>IFERROR(INDEX('Прайс-лист'!$Q$11:$Q$310,MATCH(ROWS($A$16:A278),'Прайс-лист'!$T$11:$T$310,0)),"")</f>
        <v/>
      </c>
    </row>
    <row r="279" spans="1:10" ht="13.5" customHeight="1" x14ac:dyDescent="0.2">
      <c r="A279" s="15" t="str">
        <f>IFERROR(IF(INDEX('Прайс-лист'!$T$11:$T$310,MATCH(ROWS($A$16:A279),'Прайс-лист'!$T$11:$T$310,0))="","",ROWS($A$16:A279)),"")</f>
        <v/>
      </c>
      <c r="B279" s="15" t="str">
        <f>IFERROR(INDEX('Прайс-лист'!$A$11:$A$310,MATCH(ROWS($A$16:A279),'Прайс-лист'!$T$11:$T$310,0)),"")</f>
        <v/>
      </c>
      <c r="C279" s="15" t="str">
        <f>IFERROR(INDEX('Прайс-лист'!$B$11:$B$310,MATCH(ROWS($A$16:A279),'Прайс-лист'!$T$11:$T$310,0)),"")</f>
        <v/>
      </c>
      <c r="D279" s="15" t="str">
        <f>IFERROR(INDEX('Прайс-лист'!$C$11:$C$310,MATCH(ROWS($A$16:A279),'Прайс-лист'!$T$11:$T$310,0)),"")</f>
        <v/>
      </c>
      <c r="E279" s="15" t="str">
        <f>IFERROR(INDEX('Прайс-лист'!$E$11:$E$310,MATCH(ROWS($A$16:A279),'Прайс-лист'!$T$11:$T$310,0)),"")</f>
        <v/>
      </c>
      <c r="F279" s="15" t="str">
        <f>IFERROR(INDEX('Прайс-лист'!$F$11:$F$310,MATCH(ROWS($A$16:A279),'Прайс-лист'!$T$11:$T$310,0)),"")</f>
        <v/>
      </c>
      <c r="G279" s="16" t="str">
        <f>IFERROR(INDEX('Прайс-лист'!$R$11:$R$310,MATCH(ROWS($A$16:A279),'Прайс-лист'!$T$11:$T$310,0)),"")</f>
        <v/>
      </c>
      <c r="H279" s="15" t="str">
        <f>IFERROR(INDEX('Прайс-лист'!$P$11:$P$310,MATCH(ROWS($A$16:A279),'Прайс-лист'!$T$11:$T$310,0)),"")</f>
        <v/>
      </c>
      <c r="I279" s="16" t="str">
        <f>IFERROR(INDEX('Прайс-лист'!$S$11:$S$310,MATCH(ROWS($A$16:A279),'Прайс-лист'!$T$11:$T$310,0)),"")</f>
        <v/>
      </c>
      <c r="J279" s="15" t="str">
        <f>IFERROR(INDEX('Прайс-лист'!$Q$11:$Q$310,MATCH(ROWS($A$16:A279),'Прайс-лист'!$T$11:$T$310,0)),"")</f>
        <v/>
      </c>
    </row>
    <row r="280" spans="1:10" ht="13.5" customHeight="1" x14ac:dyDescent="0.2">
      <c r="A280" s="15" t="str">
        <f>IFERROR(IF(INDEX('Прайс-лист'!$T$11:$T$310,MATCH(ROWS($A$16:A280),'Прайс-лист'!$T$11:$T$310,0))="","",ROWS($A$16:A280)),"")</f>
        <v/>
      </c>
      <c r="B280" s="15" t="str">
        <f>IFERROR(INDEX('Прайс-лист'!$A$11:$A$310,MATCH(ROWS($A$16:A280),'Прайс-лист'!$T$11:$T$310,0)),"")</f>
        <v/>
      </c>
      <c r="C280" s="15" t="str">
        <f>IFERROR(INDEX('Прайс-лист'!$B$11:$B$310,MATCH(ROWS($A$16:A280),'Прайс-лист'!$T$11:$T$310,0)),"")</f>
        <v/>
      </c>
      <c r="D280" s="15" t="str">
        <f>IFERROR(INDEX('Прайс-лист'!$C$11:$C$310,MATCH(ROWS($A$16:A280),'Прайс-лист'!$T$11:$T$310,0)),"")</f>
        <v/>
      </c>
      <c r="E280" s="15" t="str">
        <f>IFERROR(INDEX('Прайс-лист'!$E$11:$E$310,MATCH(ROWS($A$16:A280),'Прайс-лист'!$T$11:$T$310,0)),"")</f>
        <v/>
      </c>
      <c r="F280" s="15" t="str">
        <f>IFERROR(INDEX('Прайс-лист'!$F$11:$F$310,MATCH(ROWS($A$16:A280),'Прайс-лист'!$T$11:$T$310,0)),"")</f>
        <v/>
      </c>
      <c r="G280" s="16" t="str">
        <f>IFERROR(INDEX('Прайс-лист'!$R$11:$R$310,MATCH(ROWS($A$16:A280),'Прайс-лист'!$T$11:$T$310,0)),"")</f>
        <v/>
      </c>
      <c r="H280" s="15" t="str">
        <f>IFERROR(INDEX('Прайс-лист'!$P$11:$P$310,MATCH(ROWS($A$16:A280),'Прайс-лист'!$T$11:$T$310,0)),"")</f>
        <v/>
      </c>
      <c r="I280" s="16" t="str">
        <f>IFERROR(INDEX('Прайс-лист'!$S$11:$S$310,MATCH(ROWS($A$16:A280),'Прайс-лист'!$T$11:$T$310,0)),"")</f>
        <v/>
      </c>
      <c r="J280" s="15" t="str">
        <f>IFERROR(INDEX('Прайс-лист'!$Q$11:$Q$310,MATCH(ROWS($A$16:A280),'Прайс-лист'!$T$11:$T$310,0)),"")</f>
        <v/>
      </c>
    </row>
    <row r="281" spans="1:10" ht="13.5" customHeight="1" x14ac:dyDescent="0.2">
      <c r="A281" s="15" t="str">
        <f>IFERROR(IF(INDEX('Прайс-лист'!$T$11:$T$310,MATCH(ROWS($A$16:A281),'Прайс-лист'!$T$11:$T$310,0))="","",ROWS($A$16:A281)),"")</f>
        <v/>
      </c>
      <c r="B281" s="15" t="str">
        <f>IFERROR(INDEX('Прайс-лист'!$A$11:$A$310,MATCH(ROWS($A$16:A281),'Прайс-лист'!$T$11:$T$310,0)),"")</f>
        <v/>
      </c>
      <c r="C281" s="15" t="str">
        <f>IFERROR(INDEX('Прайс-лист'!$B$11:$B$310,MATCH(ROWS($A$16:A281),'Прайс-лист'!$T$11:$T$310,0)),"")</f>
        <v/>
      </c>
      <c r="D281" s="15" t="str">
        <f>IFERROR(INDEX('Прайс-лист'!$C$11:$C$310,MATCH(ROWS($A$16:A281),'Прайс-лист'!$T$11:$T$310,0)),"")</f>
        <v/>
      </c>
      <c r="E281" s="15" t="str">
        <f>IFERROR(INDEX('Прайс-лист'!$E$11:$E$310,MATCH(ROWS($A$16:A281),'Прайс-лист'!$T$11:$T$310,0)),"")</f>
        <v/>
      </c>
      <c r="F281" s="15" t="str">
        <f>IFERROR(INDEX('Прайс-лист'!$F$11:$F$310,MATCH(ROWS($A$16:A281),'Прайс-лист'!$T$11:$T$310,0)),"")</f>
        <v/>
      </c>
      <c r="G281" s="16" t="str">
        <f>IFERROR(INDEX('Прайс-лист'!$R$11:$R$310,MATCH(ROWS($A$16:A281),'Прайс-лист'!$T$11:$T$310,0)),"")</f>
        <v/>
      </c>
      <c r="H281" s="15" t="str">
        <f>IFERROR(INDEX('Прайс-лист'!$P$11:$P$310,MATCH(ROWS($A$16:A281),'Прайс-лист'!$T$11:$T$310,0)),"")</f>
        <v/>
      </c>
      <c r="I281" s="16" t="str">
        <f>IFERROR(INDEX('Прайс-лист'!$S$11:$S$310,MATCH(ROWS($A$16:A281),'Прайс-лист'!$T$11:$T$310,0)),"")</f>
        <v/>
      </c>
      <c r="J281" s="15" t="str">
        <f>IFERROR(INDEX('Прайс-лист'!$Q$11:$Q$310,MATCH(ROWS($A$16:A281),'Прайс-лист'!$T$11:$T$310,0)),"")</f>
        <v/>
      </c>
    </row>
    <row r="282" spans="1:10" ht="13.5" customHeight="1" x14ac:dyDescent="0.2">
      <c r="A282" s="15" t="str">
        <f>IFERROR(IF(INDEX('Прайс-лист'!$T$11:$T$310,MATCH(ROWS($A$16:A282),'Прайс-лист'!$T$11:$T$310,0))="","",ROWS($A$16:A282)),"")</f>
        <v/>
      </c>
      <c r="B282" s="15" t="str">
        <f>IFERROR(INDEX('Прайс-лист'!$A$11:$A$310,MATCH(ROWS($A$16:A282),'Прайс-лист'!$T$11:$T$310,0)),"")</f>
        <v/>
      </c>
      <c r="C282" s="15" t="str">
        <f>IFERROR(INDEX('Прайс-лист'!$B$11:$B$310,MATCH(ROWS($A$16:A282),'Прайс-лист'!$T$11:$T$310,0)),"")</f>
        <v/>
      </c>
      <c r="D282" s="15" t="str">
        <f>IFERROR(INDEX('Прайс-лист'!$C$11:$C$310,MATCH(ROWS($A$16:A282),'Прайс-лист'!$T$11:$T$310,0)),"")</f>
        <v/>
      </c>
      <c r="E282" s="15" t="str">
        <f>IFERROR(INDEX('Прайс-лист'!$E$11:$E$310,MATCH(ROWS($A$16:A282),'Прайс-лист'!$T$11:$T$310,0)),"")</f>
        <v/>
      </c>
      <c r="F282" s="15" t="str">
        <f>IFERROR(INDEX('Прайс-лист'!$F$11:$F$310,MATCH(ROWS($A$16:A282),'Прайс-лист'!$T$11:$T$310,0)),"")</f>
        <v/>
      </c>
      <c r="G282" s="16" t="str">
        <f>IFERROR(INDEX('Прайс-лист'!$R$11:$R$310,MATCH(ROWS($A$16:A282),'Прайс-лист'!$T$11:$T$310,0)),"")</f>
        <v/>
      </c>
      <c r="H282" s="15" t="str">
        <f>IFERROR(INDEX('Прайс-лист'!$P$11:$P$310,MATCH(ROWS($A$16:A282),'Прайс-лист'!$T$11:$T$310,0)),"")</f>
        <v/>
      </c>
      <c r="I282" s="16" t="str">
        <f>IFERROR(INDEX('Прайс-лист'!$S$11:$S$310,MATCH(ROWS($A$16:A282),'Прайс-лист'!$T$11:$T$310,0)),"")</f>
        <v/>
      </c>
      <c r="J282" s="15" t="str">
        <f>IFERROR(INDEX('Прайс-лист'!$Q$11:$Q$310,MATCH(ROWS($A$16:A282),'Прайс-лист'!$T$11:$T$310,0)),"")</f>
        <v/>
      </c>
    </row>
    <row r="283" spans="1:10" ht="13.5" customHeight="1" x14ac:dyDescent="0.2">
      <c r="A283" s="15" t="str">
        <f>IFERROR(IF(INDEX('Прайс-лист'!$T$11:$T$310,MATCH(ROWS($A$16:A283),'Прайс-лист'!$T$11:$T$310,0))="","",ROWS($A$16:A283)),"")</f>
        <v/>
      </c>
      <c r="B283" s="15" t="str">
        <f>IFERROR(INDEX('Прайс-лист'!$A$11:$A$310,MATCH(ROWS($A$16:A283),'Прайс-лист'!$T$11:$T$310,0)),"")</f>
        <v/>
      </c>
      <c r="C283" s="15" t="str">
        <f>IFERROR(INDEX('Прайс-лист'!$B$11:$B$310,MATCH(ROWS($A$16:A283),'Прайс-лист'!$T$11:$T$310,0)),"")</f>
        <v/>
      </c>
      <c r="D283" s="15" t="str">
        <f>IFERROR(INDEX('Прайс-лист'!$C$11:$C$310,MATCH(ROWS($A$16:A283),'Прайс-лист'!$T$11:$T$310,0)),"")</f>
        <v/>
      </c>
      <c r="E283" s="15" t="str">
        <f>IFERROR(INDEX('Прайс-лист'!$E$11:$E$310,MATCH(ROWS($A$16:A283),'Прайс-лист'!$T$11:$T$310,0)),"")</f>
        <v/>
      </c>
      <c r="F283" s="15" t="str">
        <f>IFERROR(INDEX('Прайс-лист'!$F$11:$F$310,MATCH(ROWS($A$16:A283),'Прайс-лист'!$T$11:$T$310,0)),"")</f>
        <v/>
      </c>
      <c r="G283" s="16" t="str">
        <f>IFERROR(INDEX('Прайс-лист'!$R$11:$R$310,MATCH(ROWS($A$16:A283),'Прайс-лист'!$T$11:$T$310,0)),"")</f>
        <v/>
      </c>
      <c r="H283" s="15" t="str">
        <f>IFERROR(INDEX('Прайс-лист'!$P$11:$P$310,MATCH(ROWS($A$16:A283),'Прайс-лист'!$T$11:$T$310,0)),"")</f>
        <v/>
      </c>
      <c r="I283" s="16" t="str">
        <f>IFERROR(INDEX('Прайс-лист'!$S$11:$S$310,MATCH(ROWS($A$16:A283),'Прайс-лист'!$T$11:$T$310,0)),"")</f>
        <v/>
      </c>
      <c r="J283" s="15" t="str">
        <f>IFERROR(INDEX('Прайс-лист'!$Q$11:$Q$310,MATCH(ROWS($A$16:A283),'Прайс-лист'!$T$11:$T$310,0)),"")</f>
        <v/>
      </c>
    </row>
    <row r="284" spans="1:10" ht="13.5" customHeight="1" x14ac:dyDescent="0.2">
      <c r="A284" s="15" t="str">
        <f>IFERROR(IF(INDEX('Прайс-лист'!$T$11:$T$310,MATCH(ROWS($A$16:A284),'Прайс-лист'!$T$11:$T$310,0))="","",ROWS($A$16:A284)),"")</f>
        <v/>
      </c>
      <c r="B284" s="15" t="str">
        <f>IFERROR(INDEX('Прайс-лист'!$A$11:$A$310,MATCH(ROWS($A$16:A284),'Прайс-лист'!$T$11:$T$310,0)),"")</f>
        <v/>
      </c>
      <c r="C284" s="15" t="str">
        <f>IFERROR(INDEX('Прайс-лист'!$B$11:$B$310,MATCH(ROWS($A$16:A284),'Прайс-лист'!$T$11:$T$310,0)),"")</f>
        <v/>
      </c>
      <c r="D284" s="15" t="str">
        <f>IFERROR(INDEX('Прайс-лист'!$C$11:$C$310,MATCH(ROWS($A$16:A284),'Прайс-лист'!$T$11:$T$310,0)),"")</f>
        <v/>
      </c>
      <c r="E284" s="15" t="str">
        <f>IFERROR(INDEX('Прайс-лист'!$E$11:$E$310,MATCH(ROWS($A$16:A284),'Прайс-лист'!$T$11:$T$310,0)),"")</f>
        <v/>
      </c>
      <c r="F284" s="15" t="str">
        <f>IFERROR(INDEX('Прайс-лист'!$F$11:$F$310,MATCH(ROWS($A$16:A284),'Прайс-лист'!$T$11:$T$310,0)),"")</f>
        <v/>
      </c>
      <c r="G284" s="16" t="str">
        <f>IFERROR(INDEX('Прайс-лист'!$R$11:$R$310,MATCH(ROWS($A$16:A284),'Прайс-лист'!$T$11:$T$310,0)),"")</f>
        <v/>
      </c>
      <c r="H284" s="15" t="str">
        <f>IFERROR(INDEX('Прайс-лист'!$P$11:$P$310,MATCH(ROWS($A$16:A284),'Прайс-лист'!$T$11:$T$310,0)),"")</f>
        <v/>
      </c>
      <c r="I284" s="16" t="str">
        <f>IFERROR(INDEX('Прайс-лист'!$S$11:$S$310,MATCH(ROWS($A$16:A284),'Прайс-лист'!$T$11:$T$310,0)),"")</f>
        <v/>
      </c>
      <c r="J284" s="15" t="str">
        <f>IFERROR(INDEX('Прайс-лист'!$Q$11:$Q$310,MATCH(ROWS($A$16:A284),'Прайс-лист'!$T$11:$T$310,0)),"")</f>
        <v/>
      </c>
    </row>
    <row r="285" spans="1:10" ht="13.5" customHeight="1" x14ac:dyDescent="0.2">
      <c r="A285" s="15" t="str">
        <f>IFERROR(IF(INDEX('Прайс-лист'!$T$11:$T$310,MATCH(ROWS($A$16:A285),'Прайс-лист'!$T$11:$T$310,0))="","",ROWS($A$16:A285)),"")</f>
        <v/>
      </c>
      <c r="B285" s="15" t="str">
        <f>IFERROR(INDEX('Прайс-лист'!$A$11:$A$310,MATCH(ROWS($A$16:A285),'Прайс-лист'!$T$11:$T$310,0)),"")</f>
        <v/>
      </c>
      <c r="C285" s="15" t="str">
        <f>IFERROR(INDEX('Прайс-лист'!$B$11:$B$310,MATCH(ROWS($A$16:A285),'Прайс-лист'!$T$11:$T$310,0)),"")</f>
        <v/>
      </c>
      <c r="D285" s="15" t="str">
        <f>IFERROR(INDEX('Прайс-лист'!$C$11:$C$310,MATCH(ROWS($A$16:A285),'Прайс-лист'!$T$11:$T$310,0)),"")</f>
        <v/>
      </c>
      <c r="E285" s="15" t="str">
        <f>IFERROR(INDEX('Прайс-лист'!$E$11:$E$310,MATCH(ROWS($A$16:A285),'Прайс-лист'!$T$11:$T$310,0)),"")</f>
        <v/>
      </c>
      <c r="F285" s="15" t="str">
        <f>IFERROR(INDEX('Прайс-лист'!$F$11:$F$310,MATCH(ROWS($A$16:A285),'Прайс-лист'!$T$11:$T$310,0)),"")</f>
        <v/>
      </c>
      <c r="G285" s="16" t="str">
        <f>IFERROR(INDEX('Прайс-лист'!$R$11:$R$310,MATCH(ROWS($A$16:A285),'Прайс-лист'!$T$11:$T$310,0)),"")</f>
        <v/>
      </c>
      <c r="H285" s="15" t="str">
        <f>IFERROR(INDEX('Прайс-лист'!$P$11:$P$310,MATCH(ROWS($A$16:A285),'Прайс-лист'!$T$11:$T$310,0)),"")</f>
        <v/>
      </c>
      <c r="I285" s="16" t="str">
        <f>IFERROR(INDEX('Прайс-лист'!$S$11:$S$310,MATCH(ROWS($A$16:A285),'Прайс-лист'!$T$11:$T$310,0)),"")</f>
        <v/>
      </c>
      <c r="J285" s="15" t="str">
        <f>IFERROR(INDEX('Прайс-лист'!$Q$11:$Q$310,MATCH(ROWS($A$16:A285),'Прайс-лист'!$T$11:$T$310,0)),"")</f>
        <v/>
      </c>
    </row>
    <row r="286" spans="1:10" ht="13.5" customHeight="1" x14ac:dyDescent="0.2">
      <c r="A286" s="15" t="str">
        <f>IFERROR(IF(INDEX('Прайс-лист'!$T$11:$T$310,MATCH(ROWS($A$16:A286),'Прайс-лист'!$T$11:$T$310,0))="","",ROWS($A$16:A286)),"")</f>
        <v/>
      </c>
      <c r="B286" s="15" t="str">
        <f>IFERROR(INDEX('Прайс-лист'!$A$11:$A$310,MATCH(ROWS($A$16:A286),'Прайс-лист'!$T$11:$T$310,0)),"")</f>
        <v/>
      </c>
      <c r="C286" s="15" t="str">
        <f>IFERROR(INDEX('Прайс-лист'!$B$11:$B$310,MATCH(ROWS($A$16:A286),'Прайс-лист'!$T$11:$T$310,0)),"")</f>
        <v/>
      </c>
      <c r="D286" s="15" t="str">
        <f>IFERROR(INDEX('Прайс-лист'!$C$11:$C$310,MATCH(ROWS($A$16:A286),'Прайс-лист'!$T$11:$T$310,0)),"")</f>
        <v/>
      </c>
      <c r="E286" s="15" t="str">
        <f>IFERROR(INDEX('Прайс-лист'!$E$11:$E$310,MATCH(ROWS($A$16:A286),'Прайс-лист'!$T$11:$T$310,0)),"")</f>
        <v/>
      </c>
      <c r="F286" s="15" t="str">
        <f>IFERROR(INDEX('Прайс-лист'!$F$11:$F$310,MATCH(ROWS($A$16:A286),'Прайс-лист'!$T$11:$T$310,0)),"")</f>
        <v/>
      </c>
      <c r="G286" s="16" t="str">
        <f>IFERROR(INDEX('Прайс-лист'!$R$11:$R$310,MATCH(ROWS($A$16:A286),'Прайс-лист'!$T$11:$T$310,0)),"")</f>
        <v/>
      </c>
      <c r="H286" s="15" t="str">
        <f>IFERROR(INDEX('Прайс-лист'!$P$11:$P$310,MATCH(ROWS($A$16:A286),'Прайс-лист'!$T$11:$T$310,0)),"")</f>
        <v/>
      </c>
      <c r="I286" s="16" t="str">
        <f>IFERROR(INDEX('Прайс-лист'!$S$11:$S$310,MATCH(ROWS($A$16:A286),'Прайс-лист'!$T$11:$T$310,0)),"")</f>
        <v/>
      </c>
      <c r="J286" s="15" t="str">
        <f>IFERROR(INDEX('Прайс-лист'!$Q$11:$Q$310,MATCH(ROWS($A$16:A286),'Прайс-лист'!$T$11:$T$310,0)),"")</f>
        <v/>
      </c>
    </row>
    <row r="287" spans="1:10" ht="13.5" customHeight="1" x14ac:dyDescent="0.2">
      <c r="A287" s="15" t="str">
        <f>IFERROR(IF(INDEX('Прайс-лист'!$T$11:$T$310,MATCH(ROWS($A$16:A287),'Прайс-лист'!$T$11:$T$310,0))="","",ROWS($A$16:A287)),"")</f>
        <v/>
      </c>
      <c r="B287" s="15" t="str">
        <f>IFERROR(INDEX('Прайс-лист'!$A$11:$A$310,MATCH(ROWS($A$16:A287),'Прайс-лист'!$T$11:$T$310,0)),"")</f>
        <v/>
      </c>
      <c r="C287" s="15" t="str">
        <f>IFERROR(INDEX('Прайс-лист'!$B$11:$B$310,MATCH(ROWS($A$16:A287),'Прайс-лист'!$T$11:$T$310,0)),"")</f>
        <v/>
      </c>
      <c r="D287" s="15" t="str">
        <f>IFERROR(INDEX('Прайс-лист'!$C$11:$C$310,MATCH(ROWS($A$16:A287),'Прайс-лист'!$T$11:$T$310,0)),"")</f>
        <v/>
      </c>
      <c r="E287" s="15" t="str">
        <f>IFERROR(INDEX('Прайс-лист'!$E$11:$E$310,MATCH(ROWS($A$16:A287),'Прайс-лист'!$T$11:$T$310,0)),"")</f>
        <v/>
      </c>
      <c r="F287" s="15" t="str">
        <f>IFERROR(INDEX('Прайс-лист'!$F$11:$F$310,MATCH(ROWS($A$16:A287),'Прайс-лист'!$T$11:$T$310,0)),"")</f>
        <v/>
      </c>
      <c r="G287" s="16" t="str">
        <f>IFERROR(INDEX('Прайс-лист'!$R$11:$R$310,MATCH(ROWS($A$16:A287),'Прайс-лист'!$T$11:$T$310,0)),"")</f>
        <v/>
      </c>
      <c r="H287" s="15" t="str">
        <f>IFERROR(INDEX('Прайс-лист'!$P$11:$P$310,MATCH(ROWS($A$16:A287),'Прайс-лист'!$T$11:$T$310,0)),"")</f>
        <v/>
      </c>
      <c r="I287" s="16" t="str">
        <f>IFERROR(INDEX('Прайс-лист'!$S$11:$S$310,MATCH(ROWS($A$16:A287),'Прайс-лист'!$T$11:$T$310,0)),"")</f>
        <v/>
      </c>
      <c r="J287" s="15" t="str">
        <f>IFERROR(INDEX('Прайс-лист'!$Q$11:$Q$310,MATCH(ROWS($A$16:A287),'Прайс-лист'!$T$11:$T$310,0)),"")</f>
        <v/>
      </c>
    </row>
    <row r="288" spans="1:10" ht="13.5" customHeight="1" x14ac:dyDescent="0.2">
      <c r="A288" s="15" t="str">
        <f>IFERROR(IF(INDEX('Прайс-лист'!$T$11:$T$310,MATCH(ROWS($A$16:A288),'Прайс-лист'!$T$11:$T$310,0))="","",ROWS($A$16:A288)),"")</f>
        <v/>
      </c>
      <c r="B288" s="15" t="str">
        <f>IFERROR(INDEX('Прайс-лист'!$A$11:$A$310,MATCH(ROWS($A$16:A288),'Прайс-лист'!$T$11:$T$310,0)),"")</f>
        <v/>
      </c>
      <c r="C288" s="15" t="str">
        <f>IFERROR(INDEX('Прайс-лист'!$B$11:$B$310,MATCH(ROWS($A$16:A288),'Прайс-лист'!$T$11:$T$310,0)),"")</f>
        <v/>
      </c>
      <c r="D288" s="15" t="str">
        <f>IFERROR(INDEX('Прайс-лист'!$C$11:$C$310,MATCH(ROWS($A$16:A288),'Прайс-лист'!$T$11:$T$310,0)),"")</f>
        <v/>
      </c>
      <c r="E288" s="15" t="str">
        <f>IFERROR(INDEX('Прайс-лист'!$E$11:$E$310,MATCH(ROWS($A$16:A288),'Прайс-лист'!$T$11:$T$310,0)),"")</f>
        <v/>
      </c>
      <c r="F288" s="15" t="str">
        <f>IFERROR(INDEX('Прайс-лист'!$F$11:$F$310,MATCH(ROWS($A$16:A288),'Прайс-лист'!$T$11:$T$310,0)),"")</f>
        <v/>
      </c>
      <c r="G288" s="16" t="str">
        <f>IFERROR(INDEX('Прайс-лист'!$R$11:$R$310,MATCH(ROWS($A$16:A288),'Прайс-лист'!$T$11:$T$310,0)),"")</f>
        <v/>
      </c>
      <c r="H288" s="15" t="str">
        <f>IFERROR(INDEX('Прайс-лист'!$P$11:$P$310,MATCH(ROWS($A$16:A288),'Прайс-лист'!$T$11:$T$310,0)),"")</f>
        <v/>
      </c>
      <c r="I288" s="16" t="str">
        <f>IFERROR(INDEX('Прайс-лист'!$S$11:$S$310,MATCH(ROWS($A$16:A288),'Прайс-лист'!$T$11:$T$310,0)),"")</f>
        <v/>
      </c>
      <c r="J288" s="15" t="str">
        <f>IFERROR(INDEX('Прайс-лист'!$Q$11:$Q$310,MATCH(ROWS($A$16:A288),'Прайс-лист'!$T$11:$T$310,0)),"")</f>
        <v/>
      </c>
    </row>
    <row r="289" spans="1:10" ht="13.5" customHeight="1" x14ac:dyDescent="0.2">
      <c r="A289" s="15" t="str">
        <f>IFERROR(IF(INDEX('Прайс-лист'!$T$11:$T$310,MATCH(ROWS($A$16:A289),'Прайс-лист'!$T$11:$T$310,0))="","",ROWS($A$16:A289)),"")</f>
        <v/>
      </c>
      <c r="B289" s="15" t="str">
        <f>IFERROR(INDEX('Прайс-лист'!$A$11:$A$310,MATCH(ROWS($A$16:A289),'Прайс-лист'!$T$11:$T$310,0)),"")</f>
        <v/>
      </c>
      <c r="C289" s="15" t="str">
        <f>IFERROR(INDEX('Прайс-лист'!$B$11:$B$310,MATCH(ROWS($A$16:A289),'Прайс-лист'!$T$11:$T$310,0)),"")</f>
        <v/>
      </c>
      <c r="D289" s="15" t="str">
        <f>IFERROR(INDEX('Прайс-лист'!$C$11:$C$310,MATCH(ROWS($A$16:A289),'Прайс-лист'!$T$11:$T$310,0)),"")</f>
        <v/>
      </c>
      <c r="E289" s="15" t="str">
        <f>IFERROR(INDEX('Прайс-лист'!$E$11:$E$310,MATCH(ROWS($A$16:A289),'Прайс-лист'!$T$11:$T$310,0)),"")</f>
        <v/>
      </c>
      <c r="F289" s="15" t="str">
        <f>IFERROR(INDEX('Прайс-лист'!$F$11:$F$310,MATCH(ROWS($A$16:A289),'Прайс-лист'!$T$11:$T$310,0)),"")</f>
        <v/>
      </c>
      <c r="G289" s="16" t="str">
        <f>IFERROR(INDEX('Прайс-лист'!$R$11:$R$310,MATCH(ROWS($A$16:A289),'Прайс-лист'!$T$11:$T$310,0)),"")</f>
        <v/>
      </c>
      <c r="H289" s="15" t="str">
        <f>IFERROR(INDEX('Прайс-лист'!$P$11:$P$310,MATCH(ROWS($A$16:A289),'Прайс-лист'!$T$11:$T$310,0)),"")</f>
        <v/>
      </c>
      <c r="I289" s="16" t="str">
        <f>IFERROR(INDEX('Прайс-лист'!$S$11:$S$310,MATCH(ROWS($A$16:A289),'Прайс-лист'!$T$11:$T$310,0)),"")</f>
        <v/>
      </c>
      <c r="J289" s="15" t="str">
        <f>IFERROR(INDEX('Прайс-лист'!$Q$11:$Q$310,MATCH(ROWS($A$16:A289),'Прайс-лист'!$T$11:$T$310,0)),"")</f>
        <v/>
      </c>
    </row>
    <row r="290" spans="1:10" ht="13.5" customHeight="1" x14ac:dyDescent="0.2">
      <c r="A290" s="15" t="str">
        <f>IFERROR(IF(INDEX('Прайс-лист'!$T$11:$T$310,MATCH(ROWS($A$16:A290),'Прайс-лист'!$T$11:$T$310,0))="","",ROWS($A$16:A290)),"")</f>
        <v/>
      </c>
      <c r="B290" s="15" t="str">
        <f>IFERROR(INDEX('Прайс-лист'!$A$11:$A$310,MATCH(ROWS($A$16:A290),'Прайс-лист'!$T$11:$T$310,0)),"")</f>
        <v/>
      </c>
      <c r="C290" s="15" t="str">
        <f>IFERROR(INDEX('Прайс-лист'!$B$11:$B$310,MATCH(ROWS($A$16:A290),'Прайс-лист'!$T$11:$T$310,0)),"")</f>
        <v/>
      </c>
      <c r="D290" s="15" t="str">
        <f>IFERROR(INDEX('Прайс-лист'!$C$11:$C$310,MATCH(ROWS($A$16:A290),'Прайс-лист'!$T$11:$T$310,0)),"")</f>
        <v/>
      </c>
      <c r="E290" s="15" t="str">
        <f>IFERROR(INDEX('Прайс-лист'!$E$11:$E$310,MATCH(ROWS($A$16:A290),'Прайс-лист'!$T$11:$T$310,0)),"")</f>
        <v/>
      </c>
      <c r="F290" s="15" t="str">
        <f>IFERROR(INDEX('Прайс-лист'!$F$11:$F$310,MATCH(ROWS($A$16:A290),'Прайс-лист'!$T$11:$T$310,0)),"")</f>
        <v/>
      </c>
      <c r="G290" s="16" t="str">
        <f>IFERROR(INDEX('Прайс-лист'!$R$11:$R$310,MATCH(ROWS($A$16:A290),'Прайс-лист'!$T$11:$T$310,0)),"")</f>
        <v/>
      </c>
      <c r="H290" s="15" t="str">
        <f>IFERROR(INDEX('Прайс-лист'!$P$11:$P$310,MATCH(ROWS($A$16:A290),'Прайс-лист'!$T$11:$T$310,0)),"")</f>
        <v/>
      </c>
      <c r="I290" s="16" t="str">
        <f>IFERROR(INDEX('Прайс-лист'!$S$11:$S$310,MATCH(ROWS($A$16:A290),'Прайс-лист'!$T$11:$T$310,0)),"")</f>
        <v/>
      </c>
      <c r="J290" s="15" t="str">
        <f>IFERROR(INDEX('Прайс-лист'!$Q$11:$Q$310,MATCH(ROWS($A$16:A290),'Прайс-лист'!$T$11:$T$310,0)),"")</f>
        <v/>
      </c>
    </row>
    <row r="291" spans="1:10" ht="13.5" customHeight="1" x14ac:dyDescent="0.2">
      <c r="A291" s="15" t="str">
        <f>IFERROR(IF(INDEX('Прайс-лист'!$T$11:$T$310,MATCH(ROWS($A$16:A291),'Прайс-лист'!$T$11:$T$310,0))="","",ROWS($A$16:A291)),"")</f>
        <v/>
      </c>
      <c r="B291" s="15" t="str">
        <f>IFERROR(INDEX('Прайс-лист'!$A$11:$A$310,MATCH(ROWS($A$16:A291),'Прайс-лист'!$T$11:$T$310,0)),"")</f>
        <v/>
      </c>
      <c r="C291" s="15" t="str">
        <f>IFERROR(INDEX('Прайс-лист'!$B$11:$B$310,MATCH(ROWS($A$16:A291),'Прайс-лист'!$T$11:$T$310,0)),"")</f>
        <v/>
      </c>
      <c r="D291" s="15" t="str">
        <f>IFERROR(INDEX('Прайс-лист'!$C$11:$C$310,MATCH(ROWS($A$16:A291),'Прайс-лист'!$T$11:$T$310,0)),"")</f>
        <v/>
      </c>
      <c r="E291" s="15" t="str">
        <f>IFERROR(INDEX('Прайс-лист'!$E$11:$E$310,MATCH(ROWS($A$16:A291),'Прайс-лист'!$T$11:$T$310,0)),"")</f>
        <v/>
      </c>
      <c r="F291" s="15" t="str">
        <f>IFERROR(INDEX('Прайс-лист'!$F$11:$F$310,MATCH(ROWS($A$16:A291),'Прайс-лист'!$T$11:$T$310,0)),"")</f>
        <v/>
      </c>
      <c r="G291" s="16" t="str">
        <f>IFERROR(INDEX('Прайс-лист'!$R$11:$R$310,MATCH(ROWS($A$16:A291),'Прайс-лист'!$T$11:$T$310,0)),"")</f>
        <v/>
      </c>
      <c r="H291" s="15" t="str">
        <f>IFERROR(INDEX('Прайс-лист'!$P$11:$P$310,MATCH(ROWS($A$16:A291),'Прайс-лист'!$T$11:$T$310,0)),"")</f>
        <v/>
      </c>
      <c r="I291" s="16" t="str">
        <f>IFERROR(INDEX('Прайс-лист'!$S$11:$S$310,MATCH(ROWS($A$16:A291),'Прайс-лист'!$T$11:$T$310,0)),"")</f>
        <v/>
      </c>
      <c r="J291" s="15" t="str">
        <f>IFERROR(INDEX('Прайс-лист'!$Q$11:$Q$310,MATCH(ROWS($A$16:A291),'Прайс-лист'!$T$11:$T$310,0)),"")</f>
        <v/>
      </c>
    </row>
    <row r="292" spans="1:10" ht="13.5" customHeight="1" x14ac:dyDescent="0.2">
      <c r="A292" s="15" t="str">
        <f>IFERROR(IF(INDEX('Прайс-лист'!$T$11:$T$310,MATCH(ROWS($A$16:A292),'Прайс-лист'!$T$11:$T$310,0))="","",ROWS($A$16:A292)),"")</f>
        <v/>
      </c>
      <c r="B292" s="15" t="str">
        <f>IFERROR(INDEX('Прайс-лист'!$A$11:$A$310,MATCH(ROWS($A$16:A292),'Прайс-лист'!$T$11:$T$310,0)),"")</f>
        <v/>
      </c>
      <c r="C292" s="15" t="str">
        <f>IFERROR(INDEX('Прайс-лист'!$B$11:$B$310,MATCH(ROWS($A$16:A292),'Прайс-лист'!$T$11:$T$310,0)),"")</f>
        <v/>
      </c>
      <c r="D292" s="15" t="str">
        <f>IFERROR(INDEX('Прайс-лист'!$C$11:$C$310,MATCH(ROWS($A$16:A292),'Прайс-лист'!$T$11:$T$310,0)),"")</f>
        <v/>
      </c>
      <c r="E292" s="15" t="str">
        <f>IFERROR(INDEX('Прайс-лист'!$E$11:$E$310,MATCH(ROWS($A$16:A292),'Прайс-лист'!$T$11:$T$310,0)),"")</f>
        <v/>
      </c>
      <c r="F292" s="15" t="str">
        <f>IFERROR(INDEX('Прайс-лист'!$F$11:$F$310,MATCH(ROWS($A$16:A292),'Прайс-лист'!$T$11:$T$310,0)),"")</f>
        <v/>
      </c>
      <c r="G292" s="16" t="str">
        <f>IFERROR(INDEX('Прайс-лист'!$R$11:$R$310,MATCH(ROWS($A$16:A292),'Прайс-лист'!$T$11:$T$310,0)),"")</f>
        <v/>
      </c>
      <c r="H292" s="15" t="str">
        <f>IFERROR(INDEX('Прайс-лист'!$P$11:$P$310,MATCH(ROWS($A$16:A292),'Прайс-лист'!$T$11:$T$310,0)),"")</f>
        <v/>
      </c>
      <c r="I292" s="16" t="str">
        <f>IFERROR(INDEX('Прайс-лист'!$S$11:$S$310,MATCH(ROWS($A$16:A292),'Прайс-лист'!$T$11:$T$310,0)),"")</f>
        <v/>
      </c>
      <c r="J292" s="15" t="str">
        <f>IFERROR(INDEX('Прайс-лист'!$Q$11:$Q$310,MATCH(ROWS($A$16:A292),'Прайс-лист'!$T$11:$T$310,0)),"")</f>
        <v/>
      </c>
    </row>
    <row r="293" spans="1:10" ht="13.5" customHeight="1" x14ac:dyDescent="0.2">
      <c r="A293" s="15" t="str">
        <f>IFERROR(IF(INDEX('Прайс-лист'!$T$11:$T$310,MATCH(ROWS($A$16:A293),'Прайс-лист'!$T$11:$T$310,0))="","",ROWS($A$16:A293)),"")</f>
        <v/>
      </c>
      <c r="B293" s="15" t="str">
        <f>IFERROR(INDEX('Прайс-лист'!$A$11:$A$310,MATCH(ROWS($A$16:A293),'Прайс-лист'!$T$11:$T$310,0)),"")</f>
        <v/>
      </c>
      <c r="C293" s="15" t="str">
        <f>IFERROR(INDEX('Прайс-лист'!$B$11:$B$310,MATCH(ROWS($A$16:A293),'Прайс-лист'!$T$11:$T$310,0)),"")</f>
        <v/>
      </c>
      <c r="D293" s="15" t="str">
        <f>IFERROR(INDEX('Прайс-лист'!$C$11:$C$310,MATCH(ROWS($A$16:A293),'Прайс-лист'!$T$11:$T$310,0)),"")</f>
        <v/>
      </c>
      <c r="E293" s="15" t="str">
        <f>IFERROR(INDEX('Прайс-лист'!$E$11:$E$310,MATCH(ROWS($A$16:A293),'Прайс-лист'!$T$11:$T$310,0)),"")</f>
        <v/>
      </c>
      <c r="F293" s="15" t="str">
        <f>IFERROR(INDEX('Прайс-лист'!$F$11:$F$310,MATCH(ROWS($A$16:A293),'Прайс-лист'!$T$11:$T$310,0)),"")</f>
        <v/>
      </c>
      <c r="G293" s="16" t="str">
        <f>IFERROR(INDEX('Прайс-лист'!$R$11:$R$310,MATCH(ROWS($A$16:A293),'Прайс-лист'!$T$11:$T$310,0)),"")</f>
        <v/>
      </c>
      <c r="H293" s="15" t="str">
        <f>IFERROR(INDEX('Прайс-лист'!$P$11:$P$310,MATCH(ROWS($A$16:A293),'Прайс-лист'!$T$11:$T$310,0)),"")</f>
        <v/>
      </c>
      <c r="I293" s="16" t="str">
        <f>IFERROR(INDEX('Прайс-лист'!$S$11:$S$310,MATCH(ROWS($A$16:A293),'Прайс-лист'!$T$11:$T$310,0)),"")</f>
        <v/>
      </c>
      <c r="J293" s="15" t="str">
        <f>IFERROR(INDEX('Прайс-лист'!$Q$11:$Q$310,MATCH(ROWS($A$16:A293),'Прайс-лист'!$T$11:$T$310,0)),"")</f>
        <v/>
      </c>
    </row>
    <row r="294" spans="1:10" ht="13.5" customHeight="1" x14ac:dyDescent="0.2">
      <c r="A294" s="15" t="str">
        <f>IFERROR(IF(INDEX('Прайс-лист'!$T$11:$T$310,MATCH(ROWS($A$16:A294),'Прайс-лист'!$T$11:$T$310,0))="","",ROWS($A$16:A294)),"")</f>
        <v/>
      </c>
      <c r="B294" s="15" t="str">
        <f>IFERROR(INDEX('Прайс-лист'!$A$11:$A$310,MATCH(ROWS($A$16:A294),'Прайс-лист'!$T$11:$T$310,0)),"")</f>
        <v/>
      </c>
      <c r="C294" s="15" t="str">
        <f>IFERROR(INDEX('Прайс-лист'!$B$11:$B$310,MATCH(ROWS($A$16:A294),'Прайс-лист'!$T$11:$T$310,0)),"")</f>
        <v/>
      </c>
      <c r="D294" s="15" t="str">
        <f>IFERROR(INDEX('Прайс-лист'!$C$11:$C$310,MATCH(ROWS($A$16:A294),'Прайс-лист'!$T$11:$T$310,0)),"")</f>
        <v/>
      </c>
      <c r="E294" s="15" t="str">
        <f>IFERROR(INDEX('Прайс-лист'!$E$11:$E$310,MATCH(ROWS($A$16:A294),'Прайс-лист'!$T$11:$T$310,0)),"")</f>
        <v/>
      </c>
      <c r="F294" s="15" t="str">
        <f>IFERROR(INDEX('Прайс-лист'!$F$11:$F$310,MATCH(ROWS($A$16:A294),'Прайс-лист'!$T$11:$T$310,0)),"")</f>
        <v/>
      </c>
      <c r="G294" s="16" t="str">
        <f>IFERROR(INDEX('Прайс-лист'!$R$11:$R$310,MATCH(ROWS($A$16:A294),'Прайс-лист'!$T$11:$T$310,0)),"")</f>
        <v/>
      </c>
      <c r="H294" s="15" t="str">
        <f>IFERROR(INDEX('Прайс-лист'!$P$11:$P$310,MATCH(ROWS($A$16:A294),'Прайс-лист'!$T$11:$T$310,0)),"")</f>
        <v/>
      </c>
      <c r="I294" s="16" t="str">
        <f>IFERROR(INDEX('Прайс-лист'!$S$11:$S$310,MATCH(ROWS($A$16:A294),'Прайс-лист'!$T$11:$T$310,0)),"")</f>
        <v/>
      </c>
      <c r="J294" s="15" t="str">
        <f>IFERROR(INDEX('Прайс-лист'!$Q$11:$Q$310,MATCH(ROWS($A$16:A294),'Прайс-лист'!$T$11:$T$310,0)),"")</f>
        <v/>
      </c>
    </row>
    <row r="295" spans="1:10" ht="13.5" customHeight="1" x14ac:dyDescent="0.2">
      <c r="A295" s="15" t="str">
        <f>IFERROR(IF(INDEX('Прайс-лист'!$T$11:$T$310,MATCH(ROWS($A$16:A295),'Прайс-лист'!$T$11:$T$310,0))="","",ROWS($A$16:A295)),"")</f>
        <v/>
      </c>
      <c r="B295" s="15" t="str">
        <f>IFERROR(INDEX('Прайс-лист'!$A$11:$A$310,MATCH(ROWS($A$16:A295),'Прайс-лист'!$T$11:$T$310,0)),"")</f>
        <v/>
      </c>
      <c r="C295" s="15" t="str">
        <f>IFERROR(INDEX('Прайс-лист'!$B$11:$B$310,MATCH(ROWS($A$16:A295),'Прайс-лист'!$T$11:$T$310,0)),"")</f>
        <v/>
      </c>
      <c r="D295" s="15" t="str">
        <f>IFERROR(INDEX('Прайс-лист'!$C$11:$C$310,MATCH(ROWS($A$16:A295),'Прайс-лист'!$T$11:$T$310,0)),"")</f>
        <v/>
      </c>
      <c r="E295" s="15" t="str">
        <f>IFERROR(INDEX('Прайс-лист'!$E$11:$E$310,MATCH(ROWS($A$16:A295),'Прайс-лист'!$T$11:$T$310,0)),"")</f>
        <v/>
      </c>
      <c r="F295" s="15" t="str">
        <f>IFERROR(INDEX('Прайс-лист'!$F$11:$F$310,MATCH(ROWS($A$16:A295),'Прайс-лист'!$T$11:$T$310,0)),"")</f>
        <v/>
      </c>
      <c r="G295" s="16" t="str">
        <f>IFERROR(INDEX('Прайс-лист'!$R$11:$R$310,MATCH(ROWS($A$16:A295),'Прайс-лист'!$T$11:$T$310,0)),"")</f>
        <v/>
      </c>
      <c r="H295" s="15" t="str">
        <f>IFERROR(INDEX('Прайс-лист'!$P$11:$P$310,MATCH(ROWS($A$16:A295),'Прайс-лист'!$T$11:$T$310,0)),"")</f>
        <v/>
      </c>
      <c r="I295" s="16" t="str">
        <f>IFERROR(INDEX('Прайс-лист'!$S$11:$S$310,MATCH(ROWS($A$16:A295),'Прайс-лист'!$T$11:$T$310,0)),"")</f>
        <v/>
      </c>
      <c r="J295" s="15" t="str">
        <f>IFERROR(INDEX('Прайс-лист'!$Q$11:$Q$310,MATCH(ROWS($A$16:A295),'Прайс-лист'!$T$11:$T$310,0)),"")</f>
        <v/>
      </c>
    </row>
    <row r="296" spans="1:10" ht="13.5" customHeight="1" x14ac:dyDescent="0.2">
      <c r="A296" s="15" t="str">
        <f>IFERROR(IF(INDEX('Прайс-лист'!$T$11:$T$310,MATCH(ROWS($A$16:A296),'Прайс-лист'!$T$11:$T$310,0))="","",ROWS($A$16:A296)),"")</f>
        <v/>
      </c>
      <c r="B296" s="15" t="str">
        <f>IFERROR(INDEX('Прайс-лист'!$A$11:$A$310,MATCH(ROWS($A$16:A296),'Прайс-лист'!$T$11:$T$310,0)),"")</f>
        <v/>
      </c>
      <c r="C296" s="15" t="str">
        <f>IFERROR(INDEX('Прайс-лист'!$B$11:$B$310,MATCH(ROWS($A$16:A296),'Прайс-лист'!$T$11:$T$310,0)),"")</f>
        <v/>
      </c>
      <c r="D296" s="15" t="str">
        <f>IFERROR(INDEX('Прайс-лист'!$C$11:$C$310,MATCH(ROWS($A$16:A296),'Прайс-лист'!$T$11:$T$310,0)),"")</f>
        <v/>
      </c>
      <c r="E296" s="15" t="str">
        <f>IFERROR(INDEX('Прайс-лист'!$E$11:$E$310,MATCH(ROWS($A$16:A296),'Прайс-лист'!$T$11:$T$310,0)),"")</f>
        <v/>
      </c>
      <c r="F296" s="15" t="str">
        <f>IFERROR(INDEX('Прайс-лист'!$F$11:$F$310,MATCH(ROWS($A$16:A296),'Прайс-лист'!$T$11:$T$310,0)),"")</f>
        <v/>
      </c>
      <c r="G296" s="16" t="str">
        <f>IFERROR(INDEX('Прайс-лист'!$R$11:$R$310,MATCH(ROWS($A$16:A296),'Прайс-лист'!$T$11:$T$310,0)),"")</f>
        <v/>
      </c>
      <c r="H296" s="15" t="str">
        <f>IFERROR(INDEX('Прайс-лист'!$P$11:$P$310,MATCH(ROWS($A$16:A296),'Прайс-лист'!$T$11:$T$310,0)),"")</f>
        <v/>
      </c>
      <c r="I296" s="16" t="str">
        <f>IFERROR(INDEX('Прайс-лист'!$S$11:$S$310,MATCH(ROWS($A$16:A296),'Прайс-лист'!$T$11:$T$310,0)),"")</f>
        <v/>
      </c>
      <c r="J296" s="15" t="str">
        <f>IFERROR(INDEX('Прайс-лист'!$Q$11:$Q$310,MATCH(ROWS($A$16:A296),'Прайс-лист'!$T$11:$T$310,0)),"")</f>
        <v/>
      </c>
    </row>
    <row r="297" spans="1:10" ht="13.5" customHeight="1" x14ac:dyDescent="0.2">
      <c r="A297" s="15" t="str">
        <f>IFERROR(IF(INDEX('Прайс-лист'!$T$11:$T$310,MATCH(ROWS($A$16:A297),'Прайс-лист'!$T$11:$T$310,0))="","",ROWS($A$16:A297)),"")</f>
        <v/>
      </c>
      <c r="B297" s="15" t="str">
        <f>IFERROR(INDEX('Прайс-лист'!$A$11:$A$310,MATCH(ROWS($A$16:A297),'Прайс-лист'!$T$11:$T$310,0)),"")</f>
        <v/>
      </c>
      <c r="C297" s="15" t="str">
        <f>IFERROR(INDEX('Прайс-лист'!$B$11:$B$310,MATCH(ROWS($A$16:A297),'Прайс-лист'!$T$11:$T$310,0)),"")</f>
        <v/>
      </c>
      <c r="D297" s="15" t="str">
        <f>IFERROR(INDEX('Прайс-лист'!$C$11:$C$310,MATCH(ROWS($A$16:A297),'Прайс-лист'!$T$11:$T$310,0)),"")</f>
        <v/>
      </c>
      <c r="E297" s="15" t="str">
        <f>IFERROR(INDEX('Прайс-лист'!$E$11:$E$310,MATCH(ROWS($A$16:A297),'Прайс-лист'!$T$11:$T$310,0)),"")</f>
        <v/>
      </c>
      <c r="F297" s="15" t="str">
        <f>IFERROR(INDEX('Прайс-лист'!$F$11:$F$310,MATCH(ROWS($A$16:A297),'Прайс-лист'!$T$11:$T$310,0)),"")</f>
        <v/>
      </c>
      <c r="G297" s="16" t="str">
        <f>IFERROR(INDEX('Прайс-лист'!$R$11:$R$310,MATCH(ROWS($A$16:A297),'Прайс-лист'!$T$11:$T$310,0)),"")</f>
        <v/>
      </c>
      <c r="H297" s="15" t="str">
        <f>IFERROR(INDEX('Прайс-лист'!$P$11:$P$310,MATCH(ROWS($A$16:A297),'Прайс-лист'!$T$11:$T$310,0)),"")</f>
        <v/>
      </c>
      <c r="I297" s="16" t="str">
        <f>IFERROR(INDEX('Прайс-лист'!$S$11:$S$310,MATCH(ROWS($A$16:A297),'Прайс-лист'!$T$11:$T$310,0)),"")</f>
        <v/>
      </c>
      <c r="J297" s="15" t="str">
        <f>IFERROR(INDEX('Прайс-лист'!$Q$11:$Q$310,MATCH(ROWS($A$16:A297),'Прайс-лист'!$T$11:$T$310,0)),"")</f>
        <v/>
      </c>
    </row>
    <row r="298" spans="1:10" ht="13.5" customHeight="1" x14ac:dyDescent="0.2">
      <c r="A298" s="15" t="str">
        <f>IFERROR(IF(INDEX('Прайс-лист'!$T$11:$T$310,MATCH(ROWS($A$16:A298),'Прайс-лист'!$T$11:$T$310,0))="","",ROWS($A$16:A298)),"")</f>
        <v/>
      </c>
      <c r="B298" s="15" t="str">
        <f>IFERROR(INDEX('Прайс-лист'!$A$11:$A$310,MATCH(ROWS($A$16:A298),'Прайс-лист'!$T$11:$T$310,0)),"")</f>
        <v/>
      </c>
      <c r="C298" s="15" t="str">
        <f>IFERROR(INDEX('Прайс-лист'!$B$11:$B$310,MATCH(ROWS($A$16:A298),'Прайс-лист'!$T$11:$T$310,0)),"")</f>
        <v/>
      </c>
      <c r="D298" s="15" t="str">
        <f>IFERROR(INDEX('Прайс-лист'!$C$11:$C$310,MATCH(ROWS($A$16:A298),'Прайс-лист'!$T$11:$T$310,0)),"")</f>
        <v/>
      </c>
      <c r="E298" s="15" t="str">
        <f>IFERROR(INDEX('Прайс-лист'!$E$11:$E$310,MATCH(ROWS($A$16:A298),'Прайс-лист'!$T$11:$T$310,0)),"")</f>
        <v/>
      </c>
      <c r="F298" s="15" t="str">
        <f>IFERROR(INDEX('Прайс-лист'!$F$11:$F$310,MATCH(ROWS($A$16:A298),'Прайс-лист'!$T$11:$T$310,0)),"")</f>
        <v/>
      </c>
      <c r="G298" s="16" t="str">
        <f>IFERROR(INDEX('Прайс-лист'!$R$11:$R$310,MATCH(ROWS($A$16:A298),'Прайс-лист'!$T$11:$T$310,0)),"")</f>
        <v/>
      </c>
      <c r="H298" s="15" t="str">
        <f>IFERROR(INDEX('Прайс-лист'!$P$11:$P$310,MATCH(ROWS($A$16:A298),'Прайс-лист'!$T$11:$T$310,0)),"")</f>
        <v/>
      </c>
      <c r="I298" s="16" t="str">
        <f>IFERROR(INDEX('Прайс-лист'!$S$11:$S$310,MATCH(ROWS($A$16:A298),'Прайс-лист'!$T$11:$T$310,0)),"")</f>
        <v/>
      </c>
      <c r="J298" s="15" t="str">
        <f>IFERROR(INDEX('Прайс-лист'!$Q$11:$Q$310,MATCH(ROWS($A$16:A298),'Прайс-лист'!$T$11:$T$310,0)),"")</f>
        <v/>
      </c>
    </row>
    <row r="299" spans="1:10" ht="13.5" customHeight="1" x14ac:dyDescent="0.2">
      <c r="A299" s="15" t="str">
        <f>IFERROR(IF(INDEX('Прайс-лист'!$T$11:$T$310,MATCH(ROWS($A$16:A299),'Прайс-лист'!$T$11:$T$310,0))="","",ROWS($A$16:A299)),"")</f>
        <v/>
      </c>
      <c r="B299" s="15" t="str">
        <f>IFERROR(INDEX('Прайс-лист'!$A$11:$A$310,MATCH(ROWS($A$16:A299),'Прайс-лист'!$T$11:$T$310,0)),"")</f>
        <v/>
      </c>
      <c r="C299" s="15" t="str">
        <f>IFERROR(INDEX('Прайс-лист'!$B$11:$B$310,MATCH(ROWS($A$16:A299),'Прайс-лист'!$T$11:$T$310,0)),"")</f>
        <v/>
      </c>
      <c r="D299" s="15" t="str">
        <f>IFERROR(INDEX('Прайс-лист'!$C$11:$C$310,MATCH(ROWS($A$16:A299),'Прайс-лист'!$T$11:$T$310,0)),"")</f>
        <v/>
      </c>
      <c r="E299" s="15" t="str">
        <f>IFERROR(INDEX('Прайс-лист'!$E$11:$E$310,MATCH(ROWS($A$16:A299),'Прайс-лист'!$T$11:$T$310,0)),"")</f>
        <v/>
      </c>
      <c r="F299" s="15" t="str">
        <f>IFERROR(INDEX('Прайс-лист'!$F$11:$F$310,MATCH(ROWS($A$16:A299),'Прайс-лист'!$T$11:$T$310,0)),"")</f>
        <v/>
      </c>
      <c r="G299" s="16" t="str">
        <f>IFERROR(INDEX('Прайс-лист'!$R$11:$R$310,MATCH(ROWS($A$16:A299),'Прайс-лист'!$T$11:$T$310,0)),"")</f>
        <v/>
      </c>
      <c r="H299" s="15" t="str">
        <f>IFERROR(INDEX('Прайс-лист'!$P$11:$P$310,MATCH(ROWS($A$16:A299),'Прайс-лист'!$T$11:$T$310,0)),"")</f>
        <v/>
      </c>
      <c r="I299" s="16" t="str">
        <f>IFERROR(INDEX('Прайс-лист'!$S$11:$S$310,MATCH(ROWS($A$16:A299),'Прайс-лист'!$T$11:$T$310,0)),"")</f>
        <v/>
      </c>
      <c r="J299" s="15" t="str">
        <f>IFERROR(INDEX('Прайс-лист'!$Q$11:$Q$310,MATCH(ROWS($A$16:A299),'Прайс-лист'!$T$11:$T$310,0)),"")</f>
        <v/>
      </c>
    </row>
    <row r="300" spans="1:10" ht="13.5" customHeight="1" x14ac:dyDescent="0.2">
      <c r="A300" s="15" t="str">
        <f>IFERROR(IF(INDEX('Прайс-лист'!$T$11:$T$310,MATCH(ROWS($A$16:A300),'Прайс-лист'!$T$11:$T$310,0))="","",ROWS($A$16:A300)),"")</f>
        <v/>
      </c>
      <c r="B300" s="15" t="str">
        <f>IFERROR(INDEX('Прайс-лист'!$A$11:$A$310,MATCH(ROWS($A$16:A300),'Прайс-лист'!$T$11:$T$310,0)),"")</f>
        <v/>
      </c>
      <c r="C300" s="15" t="str">
        <f>IFERROR(INDEX('Прайс-лист'!$B$11:$B$310,MATCH(ROWS($A$16:A300),'Прайс-лист'!$T$11:$T$310,0)),"")</f>
        <v/>
      </c>
      <c r="D300" s="15" t="str">
        <f>IFERROR(INDEX('Прайс-лист'!$C$11:$C$310,MATCH(ROWS($A$16:A300),'Прайс-лист'!$T$11:$T$310,0)),"")</f>
        <v/>
      </c>
      <c r="E300" s="15" t="str">
        <f>IFERROR(INDEX('Прайс-лист'!$E$11:$E$310,MATCH(ROWS($A$16:A300),'Прайс-лист'!$T$11:$T$310,0)),"")</f>
        <v/>
      </c>
      <c r="F300" s="15" t="str">
        <f>IFERROR(INDEX('Прайс-лист'!$F$11:$F$310,MATCH(ROWS($A$16:A300),'Прайс-лист'!$T$11:$T$310,0)),"")</f>
        <v/>
      </c>
      <c r="G300" s="16" t="str">
        <f>IFERROR(INDEX('Прайс-лист'!$R$11:$R$310,MATCH(ROWS($A$16:A300),'Прайс-лист'!$T$11:$T$310,0)),"")</f>
        <v/>
      </c>
      <c r="H300" s="15" t="str">
        <f>IFERROR(INDEX('Прайс-лист'!$P$11:$P$310,MATCH(ROWS($A$16:A300),'Прайс-лист'!$T$11:$T$310,0)),"")</f>
        <v/>
      </c>
      <c r="I300" s="16" t="str">
        <f>IFERROR(INDEX('Прайс-лист'!$S$11:$S$310,MATCH(ROWS($A$16:A300),'Прайс-лист'!$T$11:$T$310,0)),"")</f>
        <v/>
      </c>
      <c r="J300" s="15" t="str">
        <f>IFERROR(INDEX('Прайс-лист'!$Q$11:$Q$310,MATCH(ROWS($A$16:A300),'Прайс-лист'!$T$11:$T$310,0)),"")</f>
        <v/>
      </c>
    </row>
    <row r="301" spans="1:10" ht="13.5" customHeight="1" x14ac:dyDescent="0.2">
      <c r="A301" s="15" t="str">
        <f>IFERROR(IF(INDEX('Прайс-лист'!$T$11:$T$310,MATCH(ROWS($A$16:A301),'Прайс-лист'!$T$11:$T$310,0))="","",ROWS($A$16:A301)),"")</f>
        <v/>
      </c>
      <c r="B301" s="15" t="str">
        <f>IFERROR(INDEX('Прайс-лист'!$A$11:$A$310,MATCH(ROWS($A$16:A301),'Прайс-лист'!$T$11:$T$310,0)),"")</f>
        <v/>
      </c>
      <c r="C301" s="15" t="str">
        <f>IFERROR(INDEX('Прайс-лист'!$B$11:$B$310,MATCH(ROWS($A$16:A301),'Прайс-лист'!$T$11:$T$310,0)),"")</f>
        <v/>
      </c>
      <c r="D301" s="15" t="str">
        <f>IFERROR(INDEX('Прайс-лист'!$C$11:$C$310,MATCH(ROWS($A$16:A301),'Прайс-лист'!$T$11:$T$310,0)),"")</f>
        <v/>
      </c>
      <c r="E301" s="15" t="str">
        <f>IFERROR(INDEX('Прайс-лист'!$E$11:$E$310,MATCH(ROWS($A$16:A301),'Прайс-лист'!$T$11:$T$310,0)),"")</f>
        <v/>
      </c>
      <c r="F301" s="15" t="str">
        <f>IFERROR(INDEX('Прайс-лист'!$F$11:$F$310,MATCH(ROWS($A$16:A301),'Прайс-лист'!$T$11:$T$310,0)),"")</f>
        <v/>
      </c>
      <c r="G301" s="16" t="str">
        <f>IFERROR(INDEX('Прайс-лист'!$R$11:$R$310,MATCH(ROWS($A$16:A301),'Прайс-лист'!$T$11:$T$310,0)),"")</f>
        <v/>
      </c>
      <c r="H301" s="15" t="str">
        <f>IFERROR(INDEX('Прайс-лист'!$P$11:$P$310,MATCH(ROWS($A$16:A301),'Прайс-лист'!$T$11:$T$310,0)),"")</f>
        <v/>
      </c>
      <c r="I301" s="16" t="str">
        <f>IFERROR(INDEX('Прайс-лист'!$S$11:$S$310,MATCH(ROWS($A$16:A301),'Прайс-лист'!$T$11:$T$310,0)),"")</f>
        <v/>
      </c>
      <c r="J301" s="15" t="str">
        <f>IFERROR(INDEX('Прайс-лист'!$Q$11:$Q$310,MATCH(ROWS($A$16:A301),'Прайс-лист'!$T$11:$T$310,0)),"")</f>
        <v/>
      </c>
    </row>
    <row r="302" spans="1:10" ht="13.5" customHeight="1" x14ac:dyDescent="0.2">
      <c r="A302" s="15" t="str">
        <f>IFERROR(IF(INDEX('Прайс-лист'!$T$11:$T$310,MATCH(ROWS($A$16:A302),'Прайс-лист'!$T$11:$T$310,0))="","",ROWS($A$16:A302)),"")</f>
        <v/>
      </c>
      <c r="B302" s="15" t="str">
        <f>IFERROR(INDEX('Прайс-лист'!$A$11:$A$310,MATCH(ROWS($A$16:A302),'Прайс-лист'!$T$11:$T$310,0)),"")</f>
        <v/>
      </c>
      <c r="C302" s="15" t="str">
        <f>IFERROR(INDEX('Прайс-лист'!$B$11:$B$310,MATCH(ROWS($A$16:A302),'Прайс-лист'!$T$11:$T$310,0)),"")</f>
        <v/>
      </c>
      <c r="D302" s="15" t="str">
        <f>IFERROR(INDEX('Прайс-лист'!$C$11:$C$310,MATCH(ROWS($A$16:A302),'Прайс-лист'!$T$11:$T$310,0)),"")</f>
        <v/>
      </c>
      <c r="E302" s="15" t="str">
        <f>IFERROR(INDEX('Прайс-лист'!$E$11:$E$310,MATCH(ROWS($A$16:A302),'Прайс-лист'!$T$11:$T$310,0)),"")</f>
        <v/>
      </c>
      <c r="F302" s="15" t="str">
        <f>IFERROR(INDEX('Прайс-лист'!$F$11:$F$310,MATCH(ROWS($A$16:A302),'Прайс-лист'!$T$11:$T$310,0)),"")</f>
        <v/>
      </c>
      <c r="G302" s="16" t="str">
        <f>IFERROR(INDEX('Прайс-лист'!$R$11:$R$310,MATCH(ROWS($A$16:A302),'Прайс-лист'!$T$11:$T$310,0)),"")</f>
        <v/>
      </c>
      <c r="H302" s="15" t="str">
        <f>IFERROR(INDEX('Прайс-лист'!$P$11:$P$310,MATCH(ROWS($A$16:A302),'Прайс-лист'!$T$11:$T$310,0)),"")</f>
        <v/>
      </c>
      <c r="I302" s="16" t="str">
        <f>IFERROR(INDEX('Прайс-лист'!$S$11:$S$310,MATCH(ROWS($A$16:A302),'Прайс-лист'!$T$11:$T$310,0)),"")</f>
        <v/>
      </c>
      <c r="J302" s="15" t="str">
        <f>IFERROR(INDEX('Прайс-лист'!$Q$11:$Q$310,MATCH(ROWS($A$16:A302),'Прайс-лист'!$T$11:$T$310,0)),"")</f>
        <v/>
      </c>
    </row>
    <row r="303" spans="1:10" ht="13.5" customHeight="1" x14ac:dyDescent="0.2">
      <c r="A303" s="15" t="str">
        <f>IFERROR(IF(INDEX('Прайс-лист'!$T$11:$T$310,MATCH(ROWS($A$16:A303),'Прайс-лист'!$T$11:$T$310,0))="","",ROWS($A$16:A303)),"")</f>
        <v/>
      </c>
      <c r="B303" s="15" t="str">
        <f>IFERROR(INDEX('Прайс-лист'!$A$11:$A$310,MATCH(ROWS($A$16:A303),'Прайс-лист'!$T$11:$T$310,0)),"")</f>
        <v/>
      </c>
      <c r="C303" s="15" t="str">
        <f>IFERROR(INDEX('Прайс-лист'!$B$11:$B$310,MATCH(ROWS($A$16:A303),'Прайс-лист'!$T$11:$T$310,0)),"")</f>
        <v/>
      </c>
      <c r="D303" s="15" t="str">
        <f>IFERROR(INDEX('Прайс-лист'!$C$11:$C$310,MATCH(ROWS($A$16:A303),'Прайс-лист'!$T$11:$T$310,0)),"")</f>
        <v/>
      </c>
      <c r="E303" s="15" t="str">
        <f>IFERROR(INDEX('Прайс-лист'!$E$11:$E$310,MATCH(ROWS($A$16:A303),'Прайс-лист'!$T$11:$T$310,0)),"")</f>
        <v/>
      </c>
      <c r="F303" s="15" t="str">
        <f>IFERROR(INDEX('Прайс-лист'!$F$11:$F$310,MATCH(ROWS($A$16:A303),'Прайс-лист'!$T$11:$T$310,0)),"")</f>
        <v/>
      </c>
      <c r="G303" s="16" t="str">
        <f>IFERROR(INDEX('Прайс-лист'!$R$11:$R$310,MATCH(ROWS($A$16:A303),'Прайс-лист'!$T$11:$T$310,0)),"")</f>
        <v/>
      </c>
      <c r="H303" s="15" t="str">
        <f>IFERROR(INDEX('Прайс-лист'!$P$11:$P$310,MATCH(ROWS($A$16:A303),'Прайс-лист'!$T$11:$T$310,0)),"")</f>
        <v/>
      </c>
      <c r="I303" s="16" t="str">
        <f>IFERROR(INDEX('Прайс-лист'!$S$11:$S$310,MATCH(ROWS($A$16:A303),'Прайс-лист'!$T$11:$T$310,0)),"")</f>
        <v/>
      </c>
      <c r="J303" s="15" t="str">
        <f>IFERROR(INDEX('Прайс-лист'!$Q$11:$Q$310,MATCH(ROWS($A$16:A303),'Прайс-лист'!$T$11:$T$310,0)),"")</f>
        <v/>
      </c>
    </row>
    <row r="304" spans="1:10" ht="13.5" customHeight="1" x14ac:dyDescent="0.2">
      <c r="A304" s="15" t="str">
        <f>IFERROR(IF(INDEX('Прайс-лист'!$T$11:$T$310,MATCH(ROWS($A$16:A304),'Прайс-лист'!$T$11:$T$310,0))="","",ROWS($A$16:A304)),"")</f>
        <v/>
      </c>
      <c r="B304" s="15" t="str">
        <f>IFERROR(INDEX('Прайс-лист'!$A$11:$A$310,MATCH(ROWS($A$16:A304),'Прайс-лист'!$T$11:$T$310,0)),"")</f>
        <v/>
      </c>
      <c r="C304" s="15" t="str">
        <f>IFERROR(INDEX('Прайс-лист'!$B$11:$B$310,MATCH(ROWS($A$16:A304),'Прайс-лист'!$T$11:$T$310,0)),"")</f>
        <v/>
      </c>
      <c r="D304" s="15" t="str">
        <f>IFERROR(INDEX('Прайс-лист'!$C$11:$C$310,MATCH(ROWS($A$16:A304),'Прайс-лист'!$T$11:$T$310,0)),"")</f>
        <v/>
      </c>
      <c r="E304" s="15" t="str">
        <f>IFERROR(INDEX('Прайс-лист'!$E$11:$E$310,MATCH(ROWS($A$16:A304),'Прайс-лист'!$T$11:$T$310,0)),"")</f>
        <v/>
      </c>
      <c r="F304" s="15" t="str">
        <f>IFERROR(INDEX('Прайс-лист'!$F$11:$F$310,MATCH(ROWS($A$16:A304),'Прайс-лист'!$T$11:$T$310,0)),"")</f>
        <v/>
      </c>
      <c r="G304" s="16" t="str">
        <f>IFERROR(INDEX('Прайс-лист'!$R$11:$R$310,MATCH(ROWS($A$16:A304),'Прайс-лист'!$T$11:$T$310,0)),"")</f>
        <v/>
      </c>
      <c r="H304" s="15" t="str">
        <f>IFERROR(INDEX('Прайс-лист'!$P$11:$P$310,MATCH(ROWS($A$16:A304),'Прайс-лист'!$T$11:$T$310,0)),"")</f>
        <v/>
      </c>
      <c r="I304" s="16" t="str">
        <f>IFERROR(INDEX('Прайс-лист'!$S$11:$S$310,MATCH(ROWS($A$16:A304),'Прайс-лист'!$T$11:$T$310,0)),"")</f>
        <v/>
      </c>
      <c r="J304" s="15" t="str">
        <f>IFERROR(INDEX('Прайс-лист'!$Q$11:$Q$310,MATCH(ROWS($A$16:A304),'Прайс-лист'!$T$11:$T$310,0)),"")</f>
        <v/>
      </c>
    </row>
    <row r="305" spans="1:10" ht="13.5" customHeight="1" x14ac:dyDescent="0.2">
      <c r="A305" s="15" t="str">
        <f>IFERROR(IF(INDEX('Прайс-лист'!$T$11:$T$310,MATCH(ROWS($A$16:A305),'Прайс-лист'!$T$11:$T$310,0))="","",ROWS($A$16:A305)),"")</f>
        <v/>
      </c>
      <c r="B305" s="15" t="str">
        <f>IFERROR(INDEX('Прайс-лист'!$A$11:$A$310,MATCH(ROWS($A$16:A305),'Прайс-лист'!$T$11:$T$310,0)),"")</f>
        <v/>
      </c>
      <c r="C305" s="15" t="str">
        <f>IFERROR(INDEX('Прайс-лист'!$B$11:$B$310,MATCH(ROWS($A$16:A305),'Прайс-лист'!$T$11:$T$310,0)),"")</f>
        <v/>
      </c>
      <c r="D305" s="15" t="str">
        <f>IFERROR(INDEX('Прайс-лист'!$C$11:$C$310,MATCH(ROWS($A$16:A305),'Прайс-лист'!$T$11:$T$310,0)),"")</f>
        <v/>
      </c>
      <c r="E305" s="15" t="str">
        <f>IFERROR(INDEX('Прайс-лист'!$E$11:$E$310,MATCH(ROWS($A$16:A305),'Прайс-лист'!$T$11:$T$310,0)),"")</f>
        <v/>
      </c>
      <c r="F305" s="15" t="str">
        <f>IFERROR(INDEX('Прайс-лист'!$F$11:$F$310,MATCH(ROWS($A$16:A305),'Прайс-лист'!$T$11:$T$310,0)),"")</f>
        <v/>
      </c>
      <c r="G305" s="16" t="str">
        <f>IFERROR(INDEX('Прайс-лист'!$R$11:$R$310,MATCH(ROWS($A$16:A305),'Прайс-лист'!$T$11:$T$310,0)),"")</f>
        <v/>
      </c>
      <c r="H305" s="15" t="str">
        <f>IFERROR(INDEX('Прайс-лист'!$P$11:$P$310,MATCH(ROWS($A$16:A305),'Прайс-лист'!$T$11:$T$310,0)),"")</f>
        <v/>
      </c>
      <c r="I305" s="16" t="str">
        <f>IFERROR(INDEX('Прайс-лист'!$S$11:$S$310,MATCH(ROWS($A$16:A305),'Прайс-лист'!$T$11:$T$310,0)),"")</f>
        <v/>
      </c>
      <c r="J305" s="15" t="str">
        <f>IFERROR(INDEX('Прайс-лист'!$Q$11:$Q$310,MATCH(ROWS($A$16:A305),'Прайс-лист'!$T$11:$T$310,0)),"")</f>
        <v/>
      </c>
    </row>
    <row r="306" spans="1:10" ht="13.5" customHeight="1" x14ac:dyDescent="0.2">
      <c r="A306" s="15" t="str">
        <f>IFERROR(IF(INDEX('Прайс-лист'!$T$11:$T$310,MATCH(ROWS($A$16:A306),'Прайс-лист'!$T$11:$T$310,0))="","",ROWS($A$16:A306)),"")</f>
        <v/>
      </c>
      <c r="B306" s="15" t="str">
        <f>IFERROR(INDEX('Прайс-лист'!$A$11:$A$310,MATCH(ROWS($A$16:A306),'Прайс-лист'!$T$11:$T$310,0)),"")</f>
        <v/>
      </c>
      <c r="C306" s="15" t="str">
        <f>IFERROR(INDEX('Прайс-лист'!$B$11:$B$310,MATCH(ROWS($A$16:A306),'Прайс-лист'!$T$11:$T$310,0)),"")</f>
        <v/>
      </c>
      <c r="D306" s="15" t="str">
        <f>IFERROR(INDEX('Прайс-лист'!$C$11:$C$310,MATCH(ROWS($A$16:A306),'Прайс-лист'!$T$11:$T$310,0)),"")</f>
        <v/>
      </c>
      <c r="E306" s="15" t="str">
        <f>IFERROR(INDEX('Прайс-лист'!$E$11:$E$310,MATCH(ROWS($A$16:A306),'Прайс-лист'!$T$11:$T$310,0)),"")</f>
        <v/>
      </c>
      <c r="F306" s="15" t="str">
        <f>IFERROR(INDEX('Прайс-лист'!$F$11:$F$310,MATCH(ROWS($A$16:A306),'Прайс-лист'!$T$11:$T$310,0)),"")</f>
        <v/>
      </c>
      <c r="G306" s="16" t="str">
        <f>IFERROR(INDEX('Прайс-лист'!$R$11:$R$310,MATCH(ROWS($A$16:A306),'Прайс-лист'!$T$11:$T$310,0)),"")</f>
        <v/>
      </c>
      <c r="H306" s="15" t="str">
        <f>IFERROR(INDEX('Прайс-лист'!$P$11:$P$310,MATCH(ROWS($A$16:A306),'Прайс-лист'!$T$11:$T$310,0)),"")</f>
        <v/>
      </c>
      <c r="I306" s="16" t="str">
        <f>IFERROR(INDEX('Прайс-лист'!$S$11:$S$310,MATCH(ROWS($A$16:A306),'Прайс-лист'!$T$11:$T$310,0)),"")</f>
        <v/>
      </c>
      <c r="J306" s="15" t="str">
        <f>IFERROR(INDEX('Прайс-лист'!$Q$11:$Q$310,MATCH(ROWS($A$16:A306),'Прайс-лист'!$T$11:$T$310,0)),"")</f>
        <v/>
      </c>
    </row>
    <row r="307" spans="1:10" ht="13.5" customHeight="1" x14ac:dyDescent="0.2">
      <c r="A307" s="15" t="str">
        <f>IFERROR(IF(INDEX('Прайс-лист'!$T$11:$T$310,MATCH(ROWS($A$16:A307),'Прайс-лист'!$T$11:$T$310,0))="","",ROWS($A$16:A307)),"")</f>
        <v/>
      </c>
      <c r="B307" s="15" t="str">
        <f>IFERROR(INDEX('Прайс-лист'!$A$11:$A$310,MATCH(ROWS($A$16:A307),'Прайс-лист'!$T$11:$T$310,0)),"")</f>
        <v/>
      </c>
      <c r="C307" s="15" t="str">
        <f>IFERROR(INDEX('Прайс-лист'!$B$11:$B$310,MATCH(ROWS($A$16:A307),'Прайс-лист'!$T$11:$T$310,0)),"")</f>
        <v/>
      </c>
      <c r="D307" s="15" t="str">
        <f>IFERROR(INDEX('Прайс-лист'!$C$11:$C$310,MATCH(ROWS($A$16:A307),'Прайс-лист'!$T$11:$T$310,0)),"")</f>
        <v/>
      </c>
      <c r="E307" s="15" t="str">
        <f>IFERROR(INDEX('Прайс-лист'!$E$11:$E$310,MATCH(ROWS($A$16:A307),'Прайс-лист'!$T$11:$T$310,0)),"")</f>
        <v/>
      </c>
      <c r="F307" s="15" t="str">
        <f>IFERROR(INDEX('Прайс-лист'!$F$11:$F$310,MATCH(ROWS($A$16:A307),'Прайс-лист'!$T$11:$T$310,0)),"")</f>
        <v/>
      </c>
      <c r="G307" s="16" t="str">
        <f>IFERROR(INDEX('Прайс-лист'!$R$11:$R$310,MATCH(ROWS($A$16:A307),'Прайс-лист'!$T$11:$T$310,0)),"")</f>
        <v/>
      </c>
      <c r="H307" s="15" t="str">
        <f>IFERROR(INDEX('Прайс-лист'!$P$11:$P$310,MATCH(ROWS($A$16:A307),'Прайс-лист'!$T$11:$T$310,0)),"")</f>
        <v/>
      </c>
      <c r="I307" s="16" t="str">
        <f>IFERROR(INDEX('Прайс-лист'!$S$11:$S$310,MATCH(ROWS($A$16:A307),'Прайс-лист'!$T$11:$T$310,0)),"")</f>
        <v/>
      </c>
      <c r="J307" s="15" t="str">
        <f>IFERROR(INDEX('Прайс-лист'!$Q$11:$Q$310,MATCH(ROWS($A$16:A307),'Прайс-лист'!$T$11:$T$310,0)),"")</f>
        <v/>
      </c>
    </row>
    <row r="308" spans="1:10" ht="13.5" customHeight="1" x14ac:dyDescent="0.2">
      <c r="A308" s="15" t="str">
        <f>IFERROR(IF(INDEX('Прайс-лист'!$T$11:$T$310,MATCH(ROWS($A$16:A308),'Прайс-лист'!$T$11:$T$310,0))="","",ROWS($A$16:A308)),"")</f>
        <v/>
      </c>
      <c r="B308" s="15" t="str">
        <f>IFERROR(INDEX('Прайс-лист'!$A$11:$A$310,MATCH(ROWS($A$16:A308),'Прайс-лист'!$T$11:$T$310,0)),"")</f>
        <v/>
      </c>
      <c r="C308" s="15" t="str">
        <f>IFERROR(INDEX('Прайс-лист'!$B$11:$B$310,MATCH(ROWS($A$16:A308),'Прайс-лист'!$T$11:$T$310,0)),"")</f>
        <v/>
      </c>
      <c r="D308" s="15" t="str">
        <f>IFERROR(INDEX('Прайс-лист'!$C$11:$C$310,MATCH(ROWS($A$16:A308),'Прайс-лист'!$T$11:$T$310,0)),"")</f>
        <v/>
      </c>
      <c r="E308" s="15" t="str">
        <f>IFERROR(INDEX('Прайс-лист'!$E$11:$E$310,MATCH(ROWS($A$16:A308),'Прайс-лист'!$T$11:$T$310,0)),"")</f>
        <v/>
      </c>
      <c r="F308" s="15" t="str">
        <f>IFERROR(INDEX('Прайс-лист'!$F$11:$F$310,MATCH(ROWS($A$16:A308),'Прайс-лист'!$T$11:$T$310,0)),"")</f>
        <v/>
      </c>
      <c r="G308" s="16" t="str">
        <f>IFERROR(INDEX('Прайс-лист'!$R$11:$R$310,MATCH(ROWS($A$16:A308),'Прайс-лист'!$T$11:$T$310,0)),"")</f>
        <v/>
      </c>
      <c r="H308" s="15" t="str">
        <f>IFERROR(INDEX('Прайс-лист'!$P$11:$P$310,MATCH(ROWS($A$16:A308),'Прайс-лист'!$T$11:$T$310,0)),"")</f>
        <v/>
      </c>
      <c r="I308" s="16" t="str">
        <f>IFERROR(INDEX('Прайс-лист'!$S$11:$S$310,MATCH(ROWS($A$16:A308),'Прайс-лист'!$T$11:$T$310,0)),"")</f>
        <v/>
      </c>
      <c r="J308" s="15" t="str">
        <f>IFERROR(INDEX('Прайс-лист'!$Q$11:$Q$310,MATCH(ROWS($A$16:A308),'Прайс-лист'!$T$11:$T$310,0)),"")</f>
        <v/>
      </c>
    </row>
    <row r="309" spans="1:10" ht="13.5" customHeight="1" x14ac:dyDescent="0.2">
      <c r="A309" s="15" t="str">
        <f>IFERROR(IF(INDEX('Прайс-лист'!$T$11:$T$310,MATCH(ROWS($A$16:A309),'Прайс-лист'!$T$11:$T$310,0))="","",ROWS($A$16:A309)),"")</f>
        <v/>
      </c>
      <c r="B309" s="15" t="str">
        <f>IFERROR(INDEX('Прайс-лист'!$A$11:$A$310,MATCH(ROWS($A$16:A309),'Прайс-лист'!$T$11:$T$310,0)),"")</f>
        <v/>
      </c>
      <c r="C309" s="15" t="str">
        <f>IFERROR(INDEX('Прайс-лист'!$B$11:$B$310,MATCH(ROWS($A$16:A309),'Прайс-лист'!$T$11:$T$310,0)),"")</f>
        <v/>
      </c>
      <c r="D309" s="15" t="str">
        <f>IFERROR(INDEX('Прайс-лист'!$C$11:$C$310,MATCH(ROWS($A$16:A309),'Прайс-лист'!$T$11:$T$310,0)),"")</f>
        <v/>
      </c>
      <c r="E309" s="15" t="str">
        <f>IFERROR(INDEX('Прайс-лист'!$E$11:$E$310,MATCH(ROWS($A$16:A309),'Прайс-лист'!$T$11:$T$310,0)),"")</f>
        <v/>
      </c>
      <c r="F309" s="15" t="str">
        <f>IFERROR(INDEX('Прайс-лист'!$F$11:$F$310,MATCH(ROWS($A$16:A309),'Прайс-лист'!$T$11:$T$310,0)),"")</f>
        <v/>
      </c>
      <c r="G309" s="16" t="str">
        <f>IFERROR(INDEX('Прайс-лист'!$R$11:$R$310,MATCH(ROWS($A$16:A309),'Прайс-лист'!$T$11:$T$310,0)),"")</f>
        <v/>
      </c>
      <c r="H309" s="15" t="str">
        <f>IFERROR(INDEX('Прайс-лист'!$P$11:$P$310,MATCH(ROWS($A$16:A309),'Прайс-лист'!$T$11:$T$310,0)),"")</f>
        <v/>
      </c>
      <c r="I309" s="16" t="str">
        <f>IFERROR(INDEX('Прайс-лист'!$S$11:$S$310,MATCH(ROWS($A$16:A309),'Прайс-лист'!$T$11:$T$310,0)),"")</f>
        <v/>
      </c>
      <c r="J309" s="15" t="str">
        <f>IFERROR(INDEX('Прайс-лист'!$Q$11:$Q$310,MATCH(ROWS($A$16:A309),'Прайс-лист'!$T$11:$T$310,0)),"")</f>
        <v/>
      </c>
    </row>
    <row r="310" spans="1:10" ht="13.5" customHeight="1" x14ac:dyDescent="0.2">
      <c r="A310" s="15" t="str">
        <f>IFERROR(IF(INDEX('Прайс-лист'!$T$11:$T$310,MATCH(ROWS($A$16:A310),'Прайс-лист'!$T$11:$T$310,0))="","",ROWS($A$16:A310)),"")</f>
        <v/>
      </c>
      <c r="B310" s="15" t="str">
        <f>IFERROR(INDEX('Прайс-лист'!$A$11:$A$310,MATCH(ROWS($A$16:A310),'Прайс-лист'!$T$11:$T$310,0)),"")</f>
        <v/>
      </c>
      <c r="C310" s="15" t="str">
        <f>IFERROR(INDEX('Прайс-лист'!$B$11:$B$310,MATCH(ROWS($A$16:A310),'Прайс-лист'!$T$11:$T$310,0)),"")</f>
        <v/>
      </c>
      <c r="D310" s="15" t="str">
        <f>IFERROR(INDEX('Прайс-лист'!$C$11:$C$310,MATCH(ROWS($A$16:A310),'Прайс-лист'!$T$11:$T$310,0)),"")</f>
        <v/>
      </c>
      <c r="E310" s="15" t="str">
        <f>IFERROR(INDEX('Прайс-лист'!$E$11:$E$310,MATCH(ROWS($A$16:A310),'Прайс-лист'!$T$11:$T$310,0)),"")</f>
        <v/>
      </c>
      <c r="F310" s="15" t="str">
        <f>IFERROR(INDEX('Прайс-лист'!$F$11:$F$310,MATCH(ROWS($A$16:A310),'Прайс-лист'!$T$11:$T$310,0)),"")</f>
        <v/>
      </c>
      <c r="G310" s="16" t="str">
        <f>IFERROR(INDEX('Прайс-лист'!$R$11:$R$310,MATCH(ROWS($A$16:A310),'Прайс-лист'!$T$11:$T$310,0)),"")</f>
        <v/>
      </c>
      <c r="H310" s="15" t="str">
        <f>IFERROR(INDEX('Прайс-лист'!$P$11:$P$310,MATCH(ROWS($A$16:A310),'Прайс-лист'!$T$11:$T$310,0)),"")</f>
        <v/>
      </c>
      <c r="I310" s="16" t="str">
        <f>IFERROR(INDEX('Прайс-лист'!$S$11:$S$310,MATCH(ROWS($A$16:A310),'Прайс-лист'!$T$11:$T$310,0)),"")</f>
        <v/>
      </c>
      <c r="J310" s="15" t="str">
        <f>IFERROR(INDEX('Прайс-лист'!$Q$11:$Q$310,MATCH(ROWS($A$16:A310),'Прайс-лист'!$T$11:$T$310,0)),"")</f>
        <v/>
      </c>
    </row>
    <row r="311" spans="1:10" ht="13.5" customHeight="1" x14ac:dyDescent="0.2">
      <c r="A311" s="15" t="str">
        <f>IFERROR(IF(INDEX('Прайс-лист'!$T$11:$T$310,MATCH(ROWS($A$16:A311),'Прайс-лист'!$T$11:$T$310,0))="","",ROWS($A$16:A311)),"")</f>
        <v/>
      </c>
      <c r="B311" s="15" t="str">
        <f>IFERROR(INDEX('Прайс-лист'!$A$11:$A$310,MATCH(ROWS($A$16:A311),'Прайс-лист'!$T$11:$T$310,0)),"")</f>
        <v/>
      </c>
      <c r="C311" s="15" t="str">
        <f>IFERROR(INDEX('Прайс-лист'!$B$11:$B$310,MATCH(ROWS($A$16:A311),'Прайс-лист'!$T$11:$T$310,0)),"")</f>
        <v/>
      </c>
      <c r="D311" s="15" t="str">
        <f>IFERROR(INDEX('Прайс-лист'!$C$11:$C$310,MATCH(ROWS($A$16:A311),'Прайс-лист'!$T$11:$T$310,0)),"")</f>
        <v/>
      </c>
      <c r="E311" s="15" t="str">
        <f>IFERROR(INDEX('Прайс-лист'!$E$11:$E$310,MATCH(ROWS($A$16:A311),'Прайс-лист'!$T$11:$T$310,0)),"")</f>
        <v/>
      </c>
      <c r="F311" s="15" t="str">
        <f>IFERROR(INDEX('Прайс-лист'!$F$11:$F$310,MATCH(ROWS($A$16:A311),'Прайс-лист'!$T$11:$T$310,0)),"")</f>
        <v/>
      </c>
      <c r="G311" s="16" t="str">
        <f>IFERROR(INDEX('Прайс-лист'!$R$11:$R$310,MATCH(ROWS($A$16:A311),'Прайс-лист'!$T$11:$T$310,0)),"")</f>
        <v/>
      </c>
      <c r="H311" s="15" t="str">
        <f>IFERROR(INDEX('Прайс-лист'!$P$11:$P$310,MATCH(ROWS($A$16:A311),'Прайс-лист'!$T$11:$T$310,0)),"")</f>
        <v/>
      </c>
      <c r="I311" s="16" t="str">
        <f>IFERROR(INDEX('Прайс-лист'!$S$11:$S$310,MATCH(ROWS($A$16:A311),'Прайс-лист'!$T$11:$T$310,0)),"")</f>
        <v/>
      </c>
      <c r="J311" s="15" t="str">
        <f>IFERROR(INDEX('Прайс-лист'!$Q$11:$Q$310,MATCH(ROWS($A$16:A311),'Прайс-лист'!$T$11:$T$310,0)),"")</f>
        <v/>
      </c>
    </row>
    <row r="312" spans="1:10" ht="13.5" customHeight="1" x14ac:dyDescent="0.2">
      <c r="A312" s="15" t="str">
        <f>IFERROR(IF(INDEX('Прайс-лист'!$T$11:$T$310,MATCH(ROWS($A$16:A312),'Прайс-лист'!$T$11:$T$310,0))="","",ROWS($A$16:A312)),"")</f>
        <v/>
      </c>
      <c r="B312" s="15" t="str">
        <f>IFERROR(INDEX('Прайс-лист'!$A$11:$A$310,MATCH(ROWS($A$16:A312),'Прайс-лист'!$T$11:$T$310,0)),"")</f>
        <v/>
      </c>
      <c r="C312" s="15" t="str">
        <f>IFERROR(INDEX('Прайс-лист'!$B$11:$B$310,MATCH(ROWS($A$16:A312),'Прайс-лист'!$T$11:$T$310,0)),"")</f>
        <v/>
      </c>
      <c r="D312" s="15" t="str">
        <f>IFERROR(INDEX('Прайс-лист'!$C$11:$C$310,MATCH(ROWS($A$16:A312),'Прайс-лист'!$T$11:$T$310,0)),"")</f>
        <v/>
      </c>
      <c r="E312" s="15" t="str">
        <f>IFERROR(INDEX('Прайс-лист'!$E$11:$E$310,MATCH(ROWS($A$16:A312),'Прайс-лист'!$T$11:$T$310,0)),"")</f>
        <v/>
      </c>
      <c r="F312" s="15" t="str">
        <f>IFERROR(INDEX('Прайс-лист'!$F$11:$F$310,MATCH(ROWS($A$16:A312),'Прайс-лист'!$T$11:$T$310,0)),"")</f>
        <v/>
      </c>
      <c r="G312" s="16" t="str">
        <f>IFERROR(INDEX('Прайс-лист'!$R$11:$R$310,MATCH(ROWS($A$16:A312),'Прайс-лист'!$T$11:$T$310,0)),"")</f>
        <v/>
      </c>
      <c r="H312" s="15" t="str">
        <f>IFERROR(INDEX('Прайс-лист'!$P$11:$P$310,MATCH(ROWS($A$16:A312),'Прайс-лист'!$T$11:$T$310,0)),"")</f>
        <v/>
      </c>
      <c r="I312" s="16" t="str">
        <f>IFERROR(INDEX('Прайс-лист'!$S$11:$S$310,MATCH(ROWS($A$16:A312),'Прайс-лист'!$T$11:$T$310,0)),"")</f>
        <v/>
      </c>
      <c r="J312" s="15" t="str">
        <f>IFERROR(INDEX('Прайс-лист'!$Q$11:$Q$310,MATCH(ROWS($A$16:A312),'Прайс-лист'!$T$11:$T$310,0)),"")</f>
        <v/>
      </c>
    </row>
    <row r="313" spans="1:10" ht="13.5" customHeight="1" x14ac:dyDescent="0.2">
      <c r="A313" s="15" t="str">
        <f>IFERROR(IF(INDEX('Прайс-лист'!$T$11:$T$310,MATCH(ROWS($A$16:A313),'Прайс-лист'!$T$11:$T$310,0))="","",ROWS($A$16:A313)),"")</f>
        <v/>
      </c>
      <c r="B313" s="15" t="str">
        <f>IFERROR(INDEX('Прайс-лист'!$A$11:$A$310,MATCH(ROWS($A$16:A313),'Прайс-лист'!$T$11:$T$310,0)),"")</f>
        <v/>
      </c>
      <c r="C313" s="15" t="str">
        <f>IFERROR(INDEX('Прайс-лист'!$B$11:$B$310,MATCH(ROWS($A$16:A313),'Прайс-лист'!$T$11:$T$310,0)),"")</f>
        <v/>
      </c>
      <c r="D313" s="15" t="str">
        <f>IFERROR(INDEX('Прайс-лист'!$C$11:$C$310,MATCH(ROWS($A$16:A313),'Прайс-лист'!$T$11:$T$310,0)),"")</f>
        <v/>
      </c>
      <c r="E313" s="15" t="str">
        <f>IFERROR(INDEX('Прайс-лист'!$E$11:$E$310,MATCH(ROWS($A$16:A313),'Прайс-лист'!$T$11:$T$310,0)),"")</f>
        <v/>
      </c>
      <c r="F313" s="15" t="str">
        <f>IFERROR(INDEX('Прайс-лист'!$F$11:$F$310,MATCH(ROWS($A$16:A313),'Прайс-лист'!$T$11:$T$310,0)),"")</f>
        <v/>
      </c>
      <c r="G313" s="16" t="str">
        <f>IFERROR(INDEX('Прайс-лист'!$R$11:$R$310,MATCH(ROWS($A$16:A313),'Прайс-лист'!$T$11:$T$310,0)),"")</f>
        <v/>
      </c>
      <c r="H313" s="15" t="str">
        <f>IFERROR(INDEX('Прайс-лист'!$P$11:$P$310,MATCH(ROWS($A$16:A313),'Прайс-лист'!$T$11:$T$310,0)),"")</f>
        <v/>
      </c>
      <c r="I313" s="16" t="str">
        <f>IFERROR(INDEX('Прайс-лист'!$S$11:$S$310,MATCH(ROWS($A$16:A313),'Прайс-лист'!$T$11:$T$310,0)),"")</f>
        <v/>
      </c>
      <c r="J313" s="15" t="str">
        <f>IFERROR(INDEX('Прайс-лист'!$Q$11:$Q$310,MATCH(ROWS($A$16:A313),'Прайс-лист'!$T$11:$T$310,0)),"")</f>
        <v/>
      </c>
    </row>
    <row r="314" spans="1:10" ht="13.5" customHeight="1" x14ac:dyDescent="0.2">
      <c r="A314" s="15" t="str">
        <f>IFERROR(IF(INDEX('Прайс-лист'!$T$11:$T$310,MATCH(ROWS($A$16:A314),'Прайс-лист'!$T$11:$T$310,0))="","",ROWS($A$16:A314)),"")</f>
        <v/>
      </c>
      <c r="B314" s="15" t="str">
        <f>IFERROR(INDEX('Прайс-лист'!$A$11:$A$310,MATCH(ROWS($A$16:A314),'Прайс-лист'!$T$11:$T$310,0)),"")</f>
        <v/>
      </c>
      <c r="C314" s="15" t="str">
        <f>IFERROR(INDEX('Прайс-лист'!$B$11:$B$310,MATCH(ROWS($A$16:A314),'Прайс-лист'!$T$11:$T$310,0)),"")</f>
        <v/>
      </c>
      <c r="D314" s="15" t="str">
        <f>IFERROR(INDEX('Прайс-лист'!$C$11:$C$310,MATCH(ROWS($A$16:A314),'Прайс-лист'!$T$11:$T$310,0)),"")</f>
        <v/>
      </c>
      <c r="E314" s="15" t="str">
        <f>IFERROR(INDEX('Прайс-лист'!$E$11:$E$310,MATCH(ROWS($A$16:A314),'Прайс-лист'!$T$11:$T$310,0)),"")</f>
        <v/>
      </c>
      <c r="F314" s="15" t="str">
        <f>IFERROR(INDEX('Прайс-лист'!$F$11:$F$310,MATCH(ROWS($A$16:A314),'Прайс-лист'!$T$11:$T$310,0)),"")</f>
        <v/>
      </c>
      <c r="G314" s="16" t="str">
        <f>IFERROR(INDEX('Прайс-лист'!$R$11:$R$310,MATCH(ROWS($A$16:A314),'Прайс-лист'!$T$11:$T$310,0)),"")</f>
        <v/>
      </c>
      <c r="H314" s="15" t="str">
        <f>IFERROR(INDEX('Прайс-лист'!$P$11:$P$310,MATCH(ROWS($A$16:A314),'Прайс-лист'!$T$11:$T$310,0)),"")</f>
        <v/>
      </c>
      <c r="I314" s="16" t="str">
        <f>IFERROR(INDEX('Прайс-лист'!$S$11:$S$310,MATCH(ROWS($A$16:A314),'Прайс-лист'!$T$11:$T$310,0)),"")</f>
        <v/>
      </c>
      <c r="J314" s="15" t="str">
        <f>IFERROR(INDEX('Прайс-лист'!$Q$11:$Q$310,MATCH(ROWS($A$16:A314),'Прайс-лист'!$T$11:$T$310,0)),"")</f>
        <v/>
      </c>
    </row>
    <row r="315" spans="1:10" ht="13.5" customHeight="1" x14ac:dyDescent="0.2">
      <c r="A315" s="15" t="str">
        <f>IFERROR(IF(INDEX('Прайс-лист'!$T$11:$T$310,MATCH(ROWS($A$16:A315),'Прайс-лист'!$T$11:$T$310,0))="","",ROWS($A$16:A315)),"")</f>
        <v/>
      </c>
      <c r="B315" s="15" t="str">
        <f>IFERROR(INDEX('Прайс-лист'!$A$11:$A$310,MATCH(ROWS($A$16:A315),'Прайс-лист'!$T$11:$T$310,0)),"")</f>
        <v/>
      </c>
      <c r="C315" s="15" t="str">
        <f>IFERROR(INDEX('Прайс-лист'!$B$11:$B$310,MATCH(ROWS($A$16:A315),'Прайс-лист'!$T$11:$T$310,0)),"")</f>
        <v/>
      </c>
      <c r="D315" s="15" t="str">
        <f>IFERROR(INDEX('Прайс-лист'!$C$11:$C$310,MATCH(ROWS($A$16:A315),'Прайс-лист'!$T$11:$T$310,0)),"")</f>
        <v/>
      </c>
      <c r="E315" s="15" t="str">
        <f>IFERROR(INDEX('Прайс-лист'!$E$11:$E$310,MATCH(ROWS($A$16:A315),'Прайс-лист'!$T$11:$T$310,0)),"")</f>
        <v/>
      </c>
      <c r="F315" s="15" t="str">
        <f>IFERROR(INDEX('Прайс-лист'!$F$11:$F$310,MATCH(ROWS($A$16:A315),'Прайс-лист'!$T$11:$T$310,0)),"")</f>
        <v/>
      </c>
      <c r="G315" s="16" t="str">
        <f>IFERROR(INDEX('Прайс-лист'!$R$11:$R$310,MATCH(ROWS($A$16:A315),'Прайс-лист'!$T$11:$T$310,0)),"")</f>
        <v/>
      </c>
      <c r="H315" s="15" t="str">
        <f>IFERROR(INDEX('Прайс-лист'!$P$11:$P$310,MATCH(ROWS($A$16:A315),'Прайс-лист'!$T$11:$T$310,0)),"")</f>
        <v/>
      </c>
      <c r="I315" s="16" t="str">
        <f>IFERROR(INDEX('Прайс-лист'!$S$11:$S$310,MATCH(ROWS($A$16:A315),'Прайс-лист'!$T$11:$T$310,0)),"")</f>
        <v/>
      </c>
      <c r="J315" s="15" t="str">
        <f>IFERROR(INDEX('Прайс-лист'!$Q$11:$Q$310,MATCH(ROWS($A$16:A315),'Прайс-лист'!$T$11:$T$310,0)),"")</f>
        <v/>
      </c>
    </row>
    <row r="317" spans="1:10" ht="13.5" customHeight="1" x14ac:dyDescent="0.2">
      <c r="A317" s="6" t="s">
        <v>49</v>
      </c>
      <c r="B317" s="6"/>
      <c r="C317" s="6"/>
      <c r="D317" s="6"/>
      <c r="E317" s="6"/>
      <c r="F317" s="6"/>
      <c r="G317" s="6"/>
      <c r="H317" s="6"/>
      <c r="I317" s="6"/>
      <c r="J317" s="6"/>
    </row>
    <row r="318" spans="1:10" ht="13.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</row>
  </sheetData>
  <mergeCells count="3">
    <mergeCell ref="A1:J1"/>
    <mergeCell ref="A2:J2"/>
    <mergeCell ref="A317:J31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7"/>
  <sheetViews>
    <sheetView showGridLines="0" topLeftCell="A3" zoomScale="106" zoomScaleNormal="106" workbookViewId="0">
      <selection activeCell="A62" sqref="A62"/>
    </sheetView>
  </sheetViews>
  <sheetFormatPr baseColWidth="10" defaultColWidth="8.6640625" defaultRowHeight="15" x14ac:dyDescent="0.2"/>
  <cols>
    <col min="1" max="1" width="28" customWidth="1"/>
    <col min="2" max="2" width="36" customWidth="1"/>
    <col min="3" max="3" width="44" customWidth="1"/>
    <col min="4" max="4" width="30" customWidth="1"/>
    <col min="5" max="5" width="4" customWidth="1"/>
  </cols>
  <sheetData>
    <row r="1" spans="1:6" ht="30" customHeight="1" x14ac:dyDescent="0.2">
      <c r="A1" s="5" t="s">
        <v>50</v>
      </c>
      <c r="B1" s="5"/>
      <c r="C1" s="5"/>
      <c r="D1" s="5"/>
      <c r="E1" s="22"/>
      <c r="F1" s="22"/>
    </row>
    <row r="2" spans="1:6" ht="25.5" customHeight="1" x14ac:dyDescent="0.2">
      <c r="A2" s="4" t="s">
        <v>51</v>
      </c>
      <c r="B2" s="4"/>
      <c r="C2" s="4"/>
      <c r="D2" s="4"/>
      <c r="E2" s="23"/>
      <c r="F2" s="23"/>
    </row>
    <row r="3" spans="1:6" ht="39.75" customHeight="1" x14ac:dyDescent="0.2">
      <c r="A3" s="3" t="s">
        <v>52</v>
      </c>
      <c r="B3" s="3"/>
      <c r="C3" s="3"/>
      <c r="D3" s="3"/>
      <c r="E3" s="24"/>
      <c r="F3" s="24"/>
    </row>
    <row r="4" spans="1:6" ht="24" customHeight="1" x14ac:dyDescent="0.2">
      <c r="A4" s="25"/>
      <c r="B4" s="25"/>
      <c r="C4" s="25"/>
      <c r="D4" s="25"/>
      <c r="E4" s="25"/>
      <c r="F4" s="25"/>
    </row>
    <row r="5" spans="1:6" ht="24" customHeight="1" x14ac:dyDescent="0.2">
      <c r="A5" s="2" t="s">
        <v>53</v>
      </c>
      <c r="B5" s="2"/>
      <c r="C5" s="2"/>
      <c r="D5" s="2"/>
      <c r="E5" s="27"/>
      <c r="F5" s="27"/>
    </row>
    <row r="6" spans="1:6" s="39" customFormat="1" ht="24" customHeight="1" x14ac:dyDescent="0.2">
      <c r="A6" s="30" t="s">
        <v>54</v>
      </c>
      <c r="B6" s="30" t="s">
        <v>55</v>
      </c>
      <c r="C6" s="30" t="s">
        <v>56</v>
      </c>
      <c r="D6" s="30" t="s">
        <v>57</v>
      </c>
      <c r="E6" s="30"/>
      <c r="F6" s="30"/>
    </row>
    <row r="7" spans="1:6" s="39" customFormat="1" ht="24" customHeight="1" x14ac:dyDescent="0.2">
      <c r="A7" s="29" t="s">
        <v>3</v>
      </c>
      <c r="B7" s="29" t="s">
        <v>58</v>
      </c>
      <c r="C7" s="29" t="s">
        <v>59</v>
      </c>
      <c r="D7" s="32" t="s">
        <v>60</v>
      </c>
      <c r="E7" s="29"/>
      <c r="F7" s="29"/>
    </row>
    <row r="8" spans="1:6" s="39" customFormat="1" ht="24" customHeight="1" x14ac:dyDescent="0.2">
      <c r="A8" s="29" t="s">
        <v>16</v>
      </c>
      <c r="B8" s="29" t="s">
        <v>61</v>
      </c>
      <c r="C8" s="29" t="s">
        <v>62</v>
      </c>
      <c r="D8" s="32" t="s">
        <v>60</v>
      </c>
      <c r="E8" s="29"/>
      <c r="F8" s="29"/>
    </row>
    <row r="9" spans="1:6" s="39" customFormat="1" ht="24" customHeight="1" x14ac:dyDescent="0.2">
      <c r="A9" s="29" t="s">
        <v>17</v>
      </c>
      <c r="B9" s="29" t="s">
        <v>63</v>
      </c>
      <c r="C9" s="29" t="s">
        <v>64</v>
      </c>
      <c r="D9" s="32" t="s">
        <v>65</v>
      </c>
      <c r="E9" s="29"/>
      <c r="F9" s="29"/>
    </row>
    <row r="10" spans="1:6" s="39" customFormat="1" ht="24" customHeight="1" x14ac:dyDescent="0.2">
      <c r="A10" s="29" t="s">
        <v>18</v>
      </c>
      <c r="B10" s="29" t="s">
        <v>66</v>
      </c>
      <c r="C10" s="29" t="s">
        <v>67</v>
      </c>
      <c r="D10" s="32" t="s">
        <v>68</v>
      </c>
      <c r="E10" s="29"/>
      <c r="F10" s="29"/>
    </row>
    <row r="11" spans="1:6" s="39" customFormat="1" ht="28.5" customHeight="1" x14ac:dyDescent="0.2">
      <c r="A11" s="29" t="s">
        <v>19</v>
      </c>
      <c r="B11" s="29" t="s">
        <v>69</v>
      </c>
      <c r="C11" s="29" t="s">
        <v>70</v>
      </c>
      <c r="D11" s="32" t="s">
        <v>71</v>
      </c>
      <c r="E11" s="29"/>
      <c r="F11" s="29"/>
    </row>
    <row r="12" spans="1:6" ht="24" customHeight="1" x14ac:dyDescent="0.2">
      <c r="A12" s="25"/>
      <c r="B12" s="25"/>
      <c r="C12" s="25"/>
      <c r="D12" s="25"/>
      <c r="E12" s="25"/>
      <c r="F12" s="25"/>
    </row>
    <row r="13" spans="1:6" ht="24" customHeight="1" x14ac:dyDescent="0.2">
      <c r="A13" s="2" t="s">
        <v>72</v>
      </c>
      <c r="B13" s="2"/>
      <c r="C13" s="2"/>
      <c r="D13" s="2"/>
      <c r="E13" s="27"/>
      <c r="F13" s="27"/>
    </row>
    <row r="14" spans="1:6" ht="24" customHeight="1" x14ac:dyDescent="0.2">
      <c r="A14" s="30" t="s">
        <v>73</v>
      </c>
      <c r="B14" s="30" t="s">
        <v>74</v>
      </c>
      <c r="C14" s="30" t="s">
        <v>75</v>
      </c>
      <c r="D14" s="30" t="s">
        <v>21</v>
      </c>
      <c r="E14" s="28"/>
      <c r="F14" s="28"/>
    </row>
    <row r="15" spans="1:6" ht="30" customHeight="1" x14ac:dyDescent="0.2">
      <c r="A15" s="29" t="s">
        <v>76</v>
      </c>
      <c r="B15" s="29" t="s">
        <v>77</v>
      </c>
      <c r="C15" s="29" t="s">
        <v>78</v>
      </c>
      <c r="D15" s="29" t="s">
        <v>79</v>
      </c>
      <c r="E15" s="25"/>
      <c r="F15" s="25"/>
    </row>
    <row r="16" spans="1:6" ht="30" customHeight="1" x14ac:dyDescent="0.2">
      <c r="A16" s="29" t="s">
        <v>80</v>
      </c>
      <c r="B16" s="29" t="s">
        <v>81</v>
      </c>
      <c r="C16" s="29" t="s">
        <v>82</v>
      </c>
      <c r="D16" s="29" t="s">
        <v>83</v>
      </c>
      <c r="E16" s="25"/>
      <c r="F16" s="25"/>
    </row>
    <row r="17" spans="1:6" ht="24" customHeight="1" x14ac:dyDescent="0.2">
      <c r="A17" s="29" t="s">
        <v>84</v>
      </c>
      <c r="B17" s="29" t="s">
        <v>85</v>
      </c>
      <c r="C17" s="29" t="s">
        <v>86</v>
      </c>
      <c r="D17" s="29" t="s">
        <v>87</v>
      </c>
      <c r="E17" s="25"/>
      <c r="F17" s="25"/>
    </row>
    <row r="18" spans="1:6" ht="24" customHeight="1" x14ac:dyDescent="0.2">
      <c r="A18" s="29" t="s">
        <v>88</v>
      </c>
      <c r="B18" s="29" t="s">
        <v>89</v>
      </c>
      <c r="C18" s="29" t="s">
        <v>90</v>
      </c>
      <c r="D18" s="29" t="s">
        <v>91</v>
      </c>
      <c r="E18" s="25"/>
      <c r="F18" s="25"/>
    </row>
    <row r="19" spans="1:6" ht="30.75" customHeight="1" x14ac:dyDescent="0.2">
      <c r="A19" s="29" t="s">
        <v>92</v>
      </c>
      <c r="B19" s="29" t="s">
        <v>93</v>
      </c>
      <c r="C19" s="29" t="s">
        <v>94</v>
      </c>
      <c r="D19" s="29" t="s">
        <v>95</v>
      </c>
      <c r="E19" s="25"/>
      <c r="F19" s="25"/>
    </row>
    <row r="20" spans="1:6" ht="24" customHeight="1" x14ac:dyDescent="0.2">
      <c r="A20" s="25"/>
      <c r="B20" s="25"/>
      <c r="C20" s="25"/>
      <c r="D20" s="25"/>
      <c r="E20" s="25"/>
      <c r="F20" s="25"/>
    </row>
    <row r="21" spans="1:6" ht="24" customHeight="1" x14ac:dyDescent="0.2">
      <c r="A21" s="2" t="s">
        <v>96</v>
      </c>
      <c r="B21" s="2"/>
      <c r="C21" s="2"/>
      <c r="D21" s="2"/>
      <c r="E21" s="27"/>
      <c r="F21" s="27"/>
    </row>
    <row r="22" spans="1:6" s="39" customFormat="1" ht="24" customHeight="1" x14ac:dyDescent="0.2">
      <c r="A22" s="30" t="s">
        <v>97</v>
      </c>
      <c r="B22" s="30" t="s">
        <v>98</v>
      </c>
      <c r="C22" s="30" t="s">
        <v>99</v>
      </c>
      <c r="D22" s="30"/>
      <c r="E22" s="30"/>
      <c r="F22" s="30"/>
    </row>
    <row r="23" spans="1:6" s="39" customFormat="1" ht="30" customHeight="1" x14ac:dyDescent="0.2">
      <c r="A23" s="29" t="s">
        <v>100</v>
      </c>
      <c r="B23" s="29" t="s">
        <v>101</v>
      </c>
      <c r="C23" s="32" t="s">
        <v>102</v>
      </c>
      <c r="D23" s="29"/>
      <c r="E23" s="29"/>
      <c r="F23" s="29"/>
    </row>
    <row r="24" spans="1:6" s="39" customFormat="1" ht="27.75" customHeight="1" x14ac:dyDescent="0.2">
      <c r="A24" s="29" t="s">
        <v>103</v>
      </c>
      <c r="B24" s="29" t="s">
        <v>104</v>
      </c>
      <c r="C24" s="32" t="s">
        <v>105</v>
      </c>
      <c r="D24" s="29"/>
      <c r="E24" s="29"/>
      <c r="F24" s="29"/>
    </row>
    <row r="25" spans="1:6" s="39" customFormat="1" ht="27" customHeight="1" x14ac:dyDescent="0.2">
      <c r="A25" s="29" t="s">
        <v>106</v>
      </c>
      <c r="B25" s="29" t="s">
        <v>107</v>
      </c>
      <c r="C25" s="32" t="s">
        <v>108</v>
      </c>
      <c r="D25" s="29"/>
      <c r="E25" s="29"/>
      <c r="F25" s="29"/>
    </row>
    <row r="26" spans="1:6" ht="24" customHeight="1" x14ac:dyDescent="0.2">
      <c r="A26" s="29"/>
      <c r="B26" s="29"/>
      <c r="C26" s="29"/>
      <c r="D26" s="29"/>
      <c r="E26" s="25"/>
      <c r="F26" s="25"/>
    </row>
    <row r="27" spans="1:6" ht="24" customHeight="1" x14ac:dyDescent="0.2">
      <c r="A27" s="2" t="s">
        <v>109</v>
      </c>
      <c r="B27" s="2"/>
      <c r="C27" s="2"/>
      <c r="D27" s="2"/>
      <c r="E27" s="27"/>
      <c r="F27" s="27"/>
    </row>
    <row r="28" spans="1:6" s="39" customFormat="1" ht="24" customHeight="1" x14ac:dyDescent="0.2">
      <c r="A28" s="30" t="s">
        <v>110</v>
      </c>
      <c r="B28" s="30" t="s">
        <v>98</v>
      </c>
      <c r="C28" s="30" t="s">
        <v>111</v>
      </c>
      <c r="D28" s="30"/>
      <c r="E28" s="30"/>
      <c r="F28" s="30"/>
    </row>
    <row r="29" spans="1:6" s="39" customFormat="1" ht="24" customHeight="1" x14ac:dyDescent="0.2">
      <c r="A29" s="29" t="s">
        <v>112</v>
      </c>
      <c r="B29" s="40" t="s">
        <v>215</v>
      </c>
      <c r="C29" s="29" t="s">
        <v>113</v>
      </c>
      <c r="D29" s="29"/>
      <c r="E29" s="29"/>
      <c r="F29" s="29"/>
    </row>
    <row r="30" spans="1:6" s="39" customFormat="1" ht="24" customHeight="1" x14ac:dyDescent="0.2">
      <c r="A30" s="29" t="s">
        <v>114</v>
      </c>
      <c r="B30" s="40" t="s">
        <v>216</v>
      </c>
      <c r="C30" s="29" t="s">
        <v>115</v>
      </c>
      <c r="D30" s="29"/>
      <c r="E30" s="29"/>
      <c r="F30" s="29"/>
    </row>
    <row r="31" spans="1:6" s="39" customFormat="1" ht="28.5" customHeight="1" x14ac:dyDescent="0.2">
      <c r="A31" s="29" t="s">
        <v>116</v>
      </c>
      <c r="B31" s="29" t="s">
        <v>117</v>
      </c>
      <c r="C31" s="41" t="s">
        <v>217</v>
      </c>
      <c r="D31" s="29"/>
      <c r="E31" s="29"/>
      <c r="F31" s="29"/>
    </row>
    <row r="32" spans="1:6" ht="24" customHeight="1" x14ac:dyDescent="0.2">
      <c r="A32" s="25"/>
      <c r="B32" s="25"/>
      <c r="C32" s="25"/>
      <c r="D32" s="25"/>
      <c r="E32" s="25"/>
      <c r="F32" s="25"/>
    </row>
    <row r="33" spans="1:6" ht="24" customHeight="1" x14ac:dyDescent="0.2">
      <c r="A33" s="2" t="s">
        <v>118</v>
      </c>
      <c r="B33" s="2"/>
      <c r="C33" s="2"/>
      <c r="D33" s="2"/>
      <c r="E33" s="27"/>
      <c r="F33" s="27"/>
    </row>
    <row r="34" spans="1:6" ht="24" customHeight="1" x14ac:dyDescent="0.2">
      <c r="A34" s="30" t="s">
        <v>119</v>
      </c>
      <c r="B34" s="30" t="s">
        <v>98</v>
      </c>
      <c r="C34" s="30" t="s">
        <v>120</v>
      </c>
      <c r="D34" s="30"/>
      <c r="E34" s="30"/>
      <c r="F34" s="30"/>
    </row>
    <row r="35" spans="1:6" ht="24" customHeight="1" x14ac:dyDescent="0.2">
      <c r="A35" s="31" t="s">
        <v>121</v>
      </c>
      <c r="B35" s="31" t="s">
        <v>122</v>
      </c>
      <c r="C35" s="42" t="s">
        <v>221</v>
      </c>
      <c r="D35" s="25"/>
      <c r="E35" s="25"/>
      <c r="F35" s="25"/>
    </row>
    <row r="36" spans="1:6" ht="31.5" customHeight="1" x14ac:dyDescent="0.2">
      <c r="A36" s="31" t="s">
        <v>123</v>
      </c>
      <c r="B36" s="42" t="s">
        <v>219</v>
      </c>
      <c r="C36" s="42" t="s">
        <v>220</v>
      </c>
      <c r="D36" s="25"/>
      <c r="E36" s="25"/>
      <c r="F36" s="25"/>
    </row>
    <row r="37" spans="1:6" ht="31.5" customHeight="1" x14ac:dyDescent="0.2">
      <c r="A37" s="31" t="s">
        <v>124</v>
      </c>
      <c r="B37" s="42" t="s">
        <v>218</v>
      </c>
      <c r="C37" s="42" t="s">
        <v>222</v>
      </c>
      <c r="D37" s="25"/>
      <c r="E37" s="25"/>
      <c r="F37" s="25"/>
    </row>
    <row r="38" spans="1:6" ht="24" customHeight="1" x14ac:dyDescent="0.2">
      <c r="A38" s="25"/>
      <c r="B38" s="25"/>
      <c r="C38" s="25"/>
      <c r="D38" s="25"/>
      <c r="E38" s="25"/>
      <c r="F38" s="25"/>
    </row>
    <row r="39" spans="1:6" s="39" customFormat="1" ht="24" customHeight="1" x14ac:dyDescent="0.2">
      <c r="A39" s="2" t="s">
        <v>125</v>
      </c>
      <c r="B39" s="2"/>
      <c r="C39" s="2"/>
      <c r="D39" s="2"/>
      <c r="E39" s="26"/>
      <c r="F39" s="26"/>
    </row>
    <row r="40" spans="1:6" s="39" customFormat="1" ht="24" customHeight="1" x14ac:dyDescent="0.2">
      <c r="A40" s="30" t="s">
        <v>126</v>
      </c>
      <c r="B40" s="30" t="s">
        <v>92</v>
      </c>
      <c r="C40" s="30" t="s">
        <v>21</v>
      </c>
      <c r="D40" s="30"/>
      <c r="E40" s="30"/>
      <c r="F40" s="30"/>
    </row>
    <row r="41" spans="1:6" s="39" customFormat="1" ht="24" customHeight="1" x14ac:dyDescent="0.2">
      <c r="A41" s="29" t="s">
        <v>3</v>
      </c>
      <c r="B41" s="29" t="s">
        <v>127</v>
      </c>
      <c r="C41" s="29" t="s">
        <v>128</v>
      </c>
      <c r="D41" s="29"/>
      <c r="E41" s="29"/>
      <c r="F41" s="29"/>
    </row>
    <row r="42" spans="1:6" s="39" customFormat="1" ht="24" customHeight="1" x14ac:dyDescent="0.2">
      <c r="A42" s="29" t="s">
        <v>16</v>
      </c>
      <c r="B42" s="29" t="s">
        <v>127</v>
      </c>
      <c r="C42" s="29" t="s">
        <v>129</v>
      </c>
      <c r="D42" s="29"/>
      <c r="E42" s="29"/>
      <c r="F42" s="29"/>
    </row>
    <row r="43" spans="1:6" s="39" customFormat="1" ht="24" customHeight="1" x14ac:dyDescent="0.2">
      <c r="A43" s="29" t="s">
        <v>17</v>
      </c>
      <c r="B43" s="29" t="s">
        <v>130</v>
      </c>
      <c r="C43" s="29" t="s">
        <v>131</v>
      </c>
      <c r="D43" s="29"/>
      <c r="E43" s="29"/>
      <c r="F43" s="29"/>
    </row>
    <row r="44" spans="1:6" s="39" customFormat="1" ht="24" customHeight="1" x14ac:dyDescent="0.2">
      <c r="A44" s="29" t="s">
        <v>18</v>
      </c>
      <c r="B44" s="29" t="s">
        <v>132</v>
      </c>
      <c r="C44" s="29" t="s">
        <v>133</v>
      </c>
      <c r="D44" s="29"/>
      <c r="E44" s="29"/>
      <c r="F44" s="29"/>
    </row>
    <row r="45" spans="1:6" s="39" customFormat="1" ht="24" customHeight="1" x14ac:dyDescent="0.2">
      <c r="A45" s="29" t="s">
        <v>19</v>
      </c>
      <c r="B45" s="29" t="s">
        <v>134</v>
      </c>
      <c r="C45" s="29" t="s">
        <v>135</v>
      </c>
      <c r="D45" s="29"/>
      <c r="E45" s="29"/>
      <c r="F45" s="29"/>
    </row>
    <row r="46" spans="1:6" ht="24" customHeight="1" x14ac:dyDescent="0.2">
      <c r="A46" s="25"/>
      <c r="B46" s="25"/>
      <c r="C46" s="25"/>
      <c r="D46" s="25"/>
      <c r="E46" s="25"/>
      <c r="F46" s="25"/>
    </row>
    <row r="47" spans="1:6" s="39" customFormat="1" ht="24" customHeight="1" x14ac:dyDescent="0.2">
      <c r="A47" s="2" t="s">
        <v>136</v>
      </c>
      <c r="B47" s="2"/>
      <c r="C47" s="2"/>
      <c r="D47" s="2"/>
      <c r="E47" s="26"/>
      <c r="F47" s="26"/>
    </row>
    <row r="48" spans="1:6" s="39" customFormat="1" ht="24" customHeight="1" x14ac:dyDescent="0.2">
      <c r="A48" s="30" t="s">
        <v>137</v>
      </c>
      <c r="B48" s="30" t="s">
        <v>98</v>
      </c>
      <c r="C48" s="30" t="s">
        <v>21</v>
      </c>
      <c r="D48" s="30"/>
      <c r="E48" s="30"/>
      <c r="F48" s="30"/>
    </row>
    <row r="49" spans="1:6" s="39" customFormat="1" ht="24" customHeight="1" x14ac:dyDescent="0.2">
      <c r="A49" s="29" t="s">
        <v>138</v>
      </c>
      <c r="B49" s="29" t="s">
        <v>139</v>
      </c>
      <c r="C49" s="29" t="s">
        <v>140</v>
      </c>
      <c r="D49" s="29"/>
      <c r="E49" s="29"/>
      <c r="F49" s="29"/>
    </row>
    <row r="50" spans="1:6" s="39" customFormat="1" ht="24" customHeight="1" x14ac:dyDescent="0.2">
      <c r="A50" s="29" t="s">
        <v>141</v>
      </c>
      <c r="B50" s="29" t="s">
        <v>142</v>
      </c>
      <c r="C50" s="29" t="s">
        <v>143</v>
      </c>
      <c r="D50" s="29"/>
      <c r="E50" s="29"/>
      <c r="F50" s="29"/>
    </row>
    <row r="51" spans="1:6" s="39" customFormat="1" ht="24" customHeight="1" x14ac:dyDescent="0.2">
      <c r="A51" s="29" t="s">
        <v>144</v>
      </c>
      <c r="B51" s="29" t="s">
        <v>145</v>
      </c>
      <c r="C51" s="29" t="s">
        <v>146</v>
      </c>
      <c r="D51" s="29"/>
      <c r="E51" s="29"/>
      <c r="F51" s="29"/>
    </row>
    <row r="52" spans="1:6" s="39" customFormat="1" ht="24" customHeight="1" x14ac:dyDescent="0.2">
      <c r="A52" s="29" t="s">
        <v>147</v>
      </c>
      <c r="B52" s="29" t="s">
        <v>148</v>
      </c>
      <c r="C52" s="29" t="s">
        <v>149</v>
      </c>
      <c r="D52" s="29"/>
      <c r="E52" s="29"/>
      <c r="F52" s="29"/>
    </row>
    <row r="53" spans="1:6" ht="24" customHeight="1" x14ac:dyDescent="0.2">
      <c r="A53" s="2" t="s">
        <v>150</v>
      </c>
      <c r="B53" s="2"/>
      <c r="C53" s="2"/>
      <c r="D53" s="2"/>
      <c r="E53" s="27"/>
      <c r="F53" s="27"/>
    </row>
    <row r="54" spans="1:6" ht="24" customHeight="1" x14ac:dyDescent="0.2">
      <c r="A54" s="30" t="s">
        <v>151</v>
      </c>
      <c r="B54" s="30" t="s">
        <v>152</v>
      </c>
      <c r="C54" s="30" t="s">
        <v>21</v>
      </c>
      <c r="D54" s="30"/>
      <c r="E54" s="30"/>
      <c r="F54" s="30"/>
    </row>
    <row r="55" spans="1:6" ht="36" customHeight="1" x14ac:dyDescent="0.2">
      <c r="A55" s="29" t="s">
        <v>153</v>
      </c>
      <c r="B55" s="29" t="s">
        <v>154</v>
      </c>
      <c r="C55" s="29" t="s">
        <v>155</v>
      </c>
      <c r="D55" s="25"/>
      <c r="E55" s="25"/>
      <c r="F55" s="25"/>
    </row>
    <row r="56" spans="1:6" ht="24" customHeight="1" x14ac:dyDescent="0.2">
      <c r="A56" s="29" t="s">
        <v>156</v>
      </c>
      <c r="B56" s="29" t="s">
        <v>157</v>
      </c>
      <c r="C56" s="29" t="s">
        <v>108</v>
      </c>
      <c r="D56" s="25"/>
      <c r="E56" s="25"/>
      <c r="F56" s="25"/>
    </row>
    <row r="57" spans="1:6" ht="31" customHeight="1" x14ac:dyDescent="0.2">
      <c r="A57" s="29" t="s">
        <v>158</v>
      </c>
      <c r="B57" s="29" t="s">
        <v>159</v>
      </c>
      <c r="C57" s="29" t="s">
        <v>160</v>
      </c>
      <c r="D57" s="25"/>
      <c r="E57" s="25"/>
      <c r="F57" s="25"/>
    </row>
    <row r="58" spans="1:6" ht="31" customHeight="1" x14ac:dyDescent="0.2">
      <c r="A58" s="29" t="s">
        <v>161</v>
      </c>
      <c r="B58" s="29" t="s">
        <v>162</v>
      </c>
      <c r="C58" s="29" t="s">
        <v>163</v>
      </c>
      <c r="D58" s="25"/>
      <c r="E58" s="25"/>
      <c r="F58" s="25"/>
    </row>
    <row r="59" spans="1:6" ht="24" customHeight="1" x14ac:dyDescent="0.2">
      <c r="A59" s="29" t="s">
        <v>164</v>
      </c>
      <c r="B59" s="29" t="s">
        <v>165</v>
      </c>
      <c r="C59" s="29" t="s">
        <v>166</v>
      </c>
      <c r="D59" s="25"/>
      <c r="E59" s="25"/>
      <c r="F59" s="25"/>
    </row>
    <row r="60" spans="1:6" ht="24" customHeight="1" x14ac:dyDescent="0.2">
      <c r="A60" s="2" t="s">
        <v>167</v>
      </c>
      <c r="B60" s="2"/>
      <c r="C60" s="2"/>
      <c r="D60" s="2"/>
      <c r="E60" s="27"/>
      <c r="F60" s="27"/>
    </row>
    <row r="61" spans="1:6" ht="24" customHeight="1" x14ac:dyDescent="0.2">
      <c r="A61" s="30" t="s">
        <v>168</v>
      </c>
      <c r="B61" s="30" t="s">
        <v>169</v>
      </c>
      <c r="C61" s="30" t="s">
        <v>170</v>
      </c>
      <c r="D61" s="30"/>
      <c r="E61" s="30"/>
      <c r="F61" s="30"/>
    </row>
    <row r="62" spans="1:6" ht="30.75" customHeight="1" x14ac:dyDescent="0.2">
      <c r="A62" s="32" t="s">
        <v>171</v>
      </c>
      <c r="B62" s="29" t="s">
        <v>172</v>
      </c>
      <c r="C62" s="29" t="s">
        <v>173</v>
      </c>
      <c r="D62" s="25"/>
      <c r="E62" s="25"/>
      <c r="F62" s="25"/>
    </row>
    <row r="63" spans="1:6" ht="31.5" customHeight="1" x14ac:dyDescent="0.2">
      <c r="A63" s="32" t="s">
        <v>174</v>
      </c>
      <c r="B63" s="29" t="s">
        <v>175</v>
      </c>
      <c r="C63" s="29" t="s">
        <v>176</v>
      </c>
      <c r="D63" s="25"/>
      <c r="E63" s="25"/>
      <c r="F63" s="25"/>
    </row>
    <row r="64" spans="1:6" ht="24" customHeight="1" x14ac:dyDescent="0.2">
      <c r="A64" s="32" t="s">
        <v>177</v>
      </c>
      <c r="B64" s="29" t="s">
        <v>178</v>
      </c>
      <c r="C64" s="29" t="s">
        <v>179</v>
      </c>
      <c r="D64" s="25"/>
      <c r="E64" s="25"/>
      <c r="F64" s="25"/>
    </row>
    <row r="65" spans="1:6" ht="24" customHeight="1" x14ac:dyDescent="0.2">
      <c r="A65" s="32" t="s">
        <v>180</v>
      </c>
      <c r="B65" s="29" t="s">
        <v>181</v>
      </c>
      <c r="C65" s="29" t="s">
        <v>182</v>
      </c>
      <c r="D65" s="25"/>
      <c r="E65" s="25"/>
      <c r="F65" s="25"/>
    </row>
    <row r="66" spans="1:6" ht="24" customHeight="1" x14ac:dyDescent="0.2">
      <c r="A66" s="25"/>
      <c r="B66" s="25"/>
      <c r="C66" s="25"/>
      <c r="D66" s="25"/>
      <c r="E66" s="25"/>
      <c r="F66" s="25"/>
    </row>
    <row r="67" spans="1:6" ht="39.75" customHeight="1" x14ac:dyDescent="0.2">
      <c r="A67" s="1" t="s">
        <v>183</v>
      </c>
      <c r="B67" s="1"/>
      <c r="C67" s="1"/>
      <c r="D67" s="1"/>
      <c r="E67" s="25"/>
      <c r="F67" s="25"/>
    </row>
  </sheetData>
  <mergeCells count="13">
    <mergeCell ref="A53:D53"/>
    <mergeCell ref="A60:D60"/>
    <mergeCell ref="A67:D67"/>
    <mergeCell ref="A21:D21"/>
    <mergeCell ref="A27:D27"/>
    <mergeCell ref="A33:D33"/>
    <mergeCell ref="A39:D39"/>
    <mergeCell ref="A47:D47"/>
    <mergeCell ref="A1:D1"/>
    <mergeCell ref="A2:D2"/>
    <mergeCell ref="A3:D3"/>
    <mergeCell ref="A5:D5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"/>
  <sheetViews>
    <sheetView topLeftCell="A4" zoomScale="230" zoomScaleNormal="230" workbookViewId="0">
      <selection activeCell="B10" sqref="B10"/>
    </sheetView>
  </sheetViews>
  <sheetFormatPr baseColWidth="10" defaultColWidth="8.83203125" defaultRowHeight="15" x14ac:dyDescent="0.2"/>
  <cols>
    <col min="1" max="1" width="28" customWidth="1"/>
    <col min="2" max="2" width="95" customWidth="1"/>
  </cols>
  <sheetData>
    <row r="1" spans="1:26" ht="15" customHeight="1" x14ac:dyDescent="0.2">
      <c r="A1" s="9" t="s">
        <v>184</v>
      </c>
      <c r="B1" s="9"/>
      <c r="C1" s="9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 ht="55.5" customHeight="1" x14ac:dyDescent="0.2">
      <c r="A3" s="37" t="s">
        <v>185</v>
      </c>
      <c r="B3" s="38" t="s">
        <v>186</v>
      </c>
    </row>
    <row r="4" spans="1:26" ht="55.5" customHeight="1" x14ac:dyDescent="0.2">
      <c r="A4" s="37" t="s">
        <v>187</v>
      </c>
      <c r="B4" s="38" t="s">
        <v>188</v>
      </c>
    </row>
    <row r="5" spans="1:26" ht="55.5" customHeight="1" x14ac:dyDescent="0.2">
      <c r="A5" s="37" t="s">
        <v>189</v>
      </c>
      <c r="B5" s="38" t="s">
        <v>190</v>
      </c>
    </row>
    <row r="6" spans="1:26" ht="55.5" customHeight="1" x14ac:dyDescent="0.2">
      <c r="A6" s="37" t="s">
        <v>191</v>
      </c>
      <c r="B6" s="38" t="s">
        <v>192</v>
      </c>
    </row>
    <row r="7" spans="1:26" ht="55.5" customHeight="1" x14ac:dyDescent="0.2">
      <c r="A7" s="37" t="s">
        <v>193</v>
      </c>
      <c r="B7" s="38" t="s">
        <v>194</v>
      </c>
    </row>
    <row r="8" spans="1:26" ht="55.5" customHeight="1" x14ac:dyDescent="0.2">
      <c r="A8" s="37" t="s">
        <v>195</v>
      </c>
      <c r="B8" s="38" t="s">
        <v>196</v>
      </c>
    </row>
    <row r="9" spans="1:26" ht="55.5" customHeight="1" x14ac:dyDescent="0.2">
      <c r="A9" s="37" t="s">
        <v>197</v>
      </c>
      <c r="B9" s="38" t="s">
        <v>198</v>
      </c>
    </row>
    <row r="10" spans="1:26" ht="55.5" customHeight="1" x14ac:dyDescent="0.2">
      <c r="A10" s="37" t="s">
        <v>199</v>
      </c>
      <c r="B10" s="38" t="s">
        <v>200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3"/>
  <sheetViews>
    <sheetView tabSelected="1" zoomScale="335" zoomScaleNormal="335" workbookViewId="0"/>
  </sheetViews>
  <sheetFormatPr baseColWidth="10" defaultColWidth="8.83203125" defaultRowHeight="15" x14ac:dyDescent="0.2"/>
  <cols>
    <col min="1" max="1" width="15.6640625" customWidth="1"/>
    <col min="2" max="2" width="47.5" customWidth="1"/>
    <col min="3" max="3" width="33.5" customWidth="1"/>
  </cols>
  <sheetData>
    <row r="1" spans="1:26" ht="15" customHeight="1" x14ac:dyDescent="0.2">
      <c r="A1" s="33" t="s">
        <v>201</v>
      </c>
      <c r="B1" s="34">
        <v>0.22</v>
      </c>
      <c r="C1" s="3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 ht="13.5" customHeight="1" x14ac:dyDescent="0.2">
      <c r="A3" s="35" t="s">
        <v>54</v>
      </c>
      <c r="B3" s="35" t="s">
        <v>202</v>
      </c>
      <c r="C3" s="35" t="s">
        <v>21</v>
      </c>
    </row>
    <row r="4" spans="1:26" ht="13.5" customHeight="1" x14ac:dyDescent="0.2">
      <c r="A4" t="s">
        <v>3</v>
      </c>
      <c r="B4" s="36">
        <v>20000</v>
      </c>
      <c r="C4" t="s">
        <v>203</v>
      </c>
    </row>
    <row r="5" spans="1:26" ht="13.5" customHeight="1" x14ac:dyDescent="0.2">
      <c r="A5" t="s">
        <v>16</v>
      </c>
      <c r="B5" s="36">
        <v>50000</v>
      </c>
      <c r="C5" t="s">
        <v>204</v>
      </c>
    </row>
    <row r="6" spans="1:26" ht="13.5" customHeight="1" x14ac:dyDescent="0.2">
      <c r="A6" t="s">
        <v>17</v>
      </c>
      <c r="B6" s="36">
        <v>150000</v>
      </c>
      <c r="C6" t="s">
        <v>205</v>
      </c>
    </row>
    <row r="7" spans="1:26" ht="13.5" customHeight="1" x14ac:dyDescent="0.2">
      <c r="A7" t="s">
        <v>18</v>
      </c>
      <c r="B7" s="36">
        <v>300000</v>
      </c>
      <c r="C7" t="s">
        <v>206</v>
      </c>
    </row>
    <row r="8" spans="1:26" ht="13.5" customHeight="1" x14ac:dyDescent="0.2">
      <c r="A8" t="s">
        <v>19</v>
      </c>
      <c r="B8" s="36">
        <v>500000</v>
      </c>
      <c r="C8" t="s">
        <v>57</v>
      </c>
    </row>
    <row r="10" spans="1:26" ht="13.5" customHeight="1" x14ac:dyDescent="0.2">
      <c r="A10" t="s">
        <v>207</v>
      </c>
      <c r="B10" t="s">
        <v>208</v>
      </c>
    </row>
    <row r="11" spans="1:26" ht="13.5" customHeight="1" x14ac:dyDescent="0.2">
      <c r="A11" t="s">
        <v>209</v>
      </c>
      <c r="B11" t="s">
        <v>210</v>
      </c>
    </row>
    <row r="12" spans="1:26" ht="13.5" customHeight="1" x14ac:dyDescent="0.2">
      <c r="A12" t="s">
        <v>211</v>
      </c>
      <c r="B12" t="s">
        <v>212</v>
      </c>
    </row>
    <row r="13" spans="1:26" ht="13.5" customHeight="1" x14ac:dyDescent="0.2">
      <c r="A13" t="s">
        <v>213</v>
      </c>
      <c r="B13" t="s">
        <v>214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Прайс-лист</vt:lpstr>
      <vt:lpstr>Бланк заказа</vt:lpstr>
      <vt:lpstr>Партнерская программа</vt:lpstr>
      <vt:lpstr>Условия работы</vt:lpstr>
      <vt:lpstr>Служебный 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Мануйлов</cp:lastModifiedBy>
  <dcterms:modified xsi:type="dcterms:W3CDTF">2026-05-11T06:13:17Z</dcterms:modified>
</cp:coreProperties>
</file>