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Прайс-лист" sheetId="1" state="visible" r:id="rId1"/>
    <sheet xmlns:r="http://schemas.openxmlformats.org/officeDocument/2006/relationships" name="Бланк заказа" sheetId="2" state="visible" r:id="rId2"/>
    <sheet xmlns:r="http://schemas.openxmlformats.org/officeDocument/2006/relationships" name="Партнерская программа" sheetId="3" state="visible" r:id="rId3"/>
    <sheet xmlns:r="http://schemas.openxmlformats.org/officeDocument/2006/relationships" name="Условия работы" sheetId="4" state="visible" r:id="rId4"/>
    <sheet xmlns:r="http://schemas.openxmlformats.org/officeDocument/2006/relationships" name="Служебный лист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dd\.mm\.yyyy"/>
  </numFmts>
  <fonts count="18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FFFFFF"/>
      <sz val="10"/>
    </font>
    <font>
      <name val="Aptos"/>
      <charset val="1"/>
      <family val="0"/>
      <sz val="10"/>
    </font>
    <font>
      <name val="Calibri"/>
      <charset val="1"/>
      <family val="2"/>
      <i val="1"/>
      <color rgb="FF333333"/>
      <sz val="11"/>
    </font>
    <font>
      <name val="Calibri"/>
      <charset val="1"/>
      <family val="2"/>
      <b val="1"/>
      <sz val="11"/>
    </font>
    <font>
      <name val="Calibri"/>
      <charset val="1"/>
      <family val="2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b val="1"/>
      <color rgb="FF111827"/>
      <sz val="12"/>
    </font>
    <font>
      <name val="Calibri"/>
      <charset val="1"/>
      <family val="2"/>
      <i val="1"/>
      <color rgb="FF374151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b val="1"/>
      <color rgb="FF111827"/>
      <sz val="10"/>
    </font>
  </fonts>
  <fills count="11">
    <fill>
      <patternFill/>
    </fill>
    <fill>
      <patternFill patternType="gray125"/>
    </fill>
    <fill>
      <patternFill patternType="solid">
        <fgColor rgb="FF1F4E3D"/>
        <bgColor rgb="FF184C3A"/>
      </patternFill>
    </fill>
    <fill>
      <patternFill patternType="solid">
        <fgColor rgb="FFF7F1E3"/>
        <bgColor rgb="FFF6F1E7"/>
      </patternFill>
    </fill>
    <fill>
      <patternFill patternType="solid">
        <fgColor rgb="FFEFE4C8"/>
        <bgColor rgb="FFFFF2CC"/>
      </patternFill>
    </fill>
    <fill>
      <patternFill patternType="solid">
        <fgColor rgb="FFFFF2CC"/>
        <bgColor rgb="FFF7F1E3"/>
      </patternFill>
    </fill>
    <fill>
      <patternFill patternType="solid">
        <fgColor rgb="FFF2F2F2"/>
        <bgColor rgb="FFF6F1E7"/>
      </patternFill>
    </fill>
    <fill>
      <patternFill patternType="solid">
        <fgColor rgb="FF184C3A"/>
        <bgColor rgb="FF1F4E3D"/>
      </patternFill>
    </fill>
    <fill>
      <patternFill patternType="solid">
        <fgColor rgb="FFD9A441"/>
        <bgColor rgb="FFFF8080"/>
      </patternFill>
    </fill>
    <fill>
      <patternFill patternType="solid">
        <fgColor rgb="FFF6F1E7"/>
        <bgColor rgb="FFF7F1E3"/>
      </patternFill>
    </fill>
    <fill>
      <patternFill patternType="solid">
        <fgColor rgb="FF2F6B4F"/>
        <bgColor rgb="FF1F4E3D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right" vertical="center" wrapText="1"/>
    </xf>
    <xf numFmtId="164" fontId="0" fillId="0" borderId="0" applyAlignment="1" pivotButton="0" quotePrefix="0" xfId="0">
      <alignment horizontal="right" vertical="center" wrapText="1"/>
    </xf>
    <xf numFmtId="1" fontId="0" fillId="5" borderId="0" applyAlignment="1" pivotButton="0" quotePrefix="0" xfId="0">
      <alignment horizontal="right" vertical="center" wrapText="1"/>
    </xf>
    <xf numFmtId="0" fontId="0" fillId="5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bottom"/>
    </xf>
    <xf numFmtId="165" fontId="0" fillId="5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164" fontId="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bottom" wrapText="1"/>
    </xf>
    <xf numFmtId="1" fontId="8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general" vertical="top" wrapText="1"/>
    </xf>
    <xf numFmtId="0" fontId="13" fillId="8" borderId="0" applyAlignment="1" pivotButton="0" quotePrefix="0" xfId="0">
      <alignment horizontal="general" vertical="top" wrapText="1"/>
    </xf>
    <xf numFmtId="0" fontId="14" fillId="9" borderId="0" applyAlignment="1" pivotButton="0" quotePrefix="0" xfId="0">
      <alignment horizontal="general" vertical="center" wrapText="1"/>
    </xf>
    <xf numFmtId="0" fontId="14" fillId="9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10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top" wrapText="1"/>
    </xf>
    <xf numFmtId="0" fontId="15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0" fontId="15" fillId="7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17" fillId="9" borderId="0" applyAlignment="1" pivotButton="0" quotePrefix="0" xfId="0">
      <alignment horizontal="general" vertical="center" wrapText="1"/>
    </xf>
    <xf numFmtId="0" fontId="0" fillId="3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/>
    </xf>
    <xf numFmtId="9" fontId="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right" vertical="center" wrapText="1"/>
    </xf>
    <xf numFmtId="164" fontId="0" fillId="0" borderId="0" applyAlignment="1" pivotButton="0" quotePrefix="0" xfId="0">
      <alignment horizontal="right" vertical="center" wrapText="1"/>
    </xf>
    <xf numFmtId="1" fontId="0" fillId="5" borderId="0" applyAlignment="1" pivotButton="0" quotePrefix="0" xfId="0">
      <alignment horizontal="right" vertical="center" wrapText="1"/>
    </xf>
    <xf numFmtId="0" fontId="0" fillId="5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bottom"/>
    </xf>
    <xf numFmtId="165" fontId="0" fillId="5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164" fontId="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bottom" wrapText="1"/>
    </xf>
    <xf numFmtId="1" fontId="8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general" vertical="top" wrapText="1"/>
    </xf>
    <xf numFmtId="0" fontId="14" fillId="9" borderId="0" applyAlignment="1" pivotButton="0" quotePrefix="0" xfId="0">
      <alignment horizontal="general" vertical="center" wrapText="1"/>
    </xf>
    <xf numFmtId="0" fontId="14" fillId="9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10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/>
    </xf>
    <xf numFmtId="0" fontId="15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15" fillId="7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left" vertical="center" wrapText="1"/>
    </xf>
    <xf numFmtId="0" fontId="17" fillId="9" borderId="0" applyAlignment="1" pivotButton="0" quotePrefix="0" xfId="0">
      <alignment horizontal="general" vertical="center" wrapText="1"/>
    </xf>
    <xf numFmtId="0" fontId="0" fillId="3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/>
    </xf>
    <xf numFmtId="9" fontId="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4F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1E7"/>
      <rgbColor rgb="FFF7F1E3"/>
      <rgbColor rgb="FFFFFF99"/>
      <rgbColor rgb="FF99CCFF"/>
      <rgbColor rgb="FFFF99CC"/>
      <rgbColor rgb="FFCC99FF"/>
      <rgbColor rgb="FFEFE4C8"/>
      <rgbColor rgb="FF3366FF"/>
      <rgbColor rgb="FF33CCCC"/>
      <rgbColor rgb="FF99CC00"/>
      <rgbColor rgb="FFFFCC00"/>
      <rgbColor rgb="FFD9A441"/>
      <rgbColor rgb="FFFF6600"/>
      <rgbColor rgb="FF666699"/>
      <rgbColor rgb="FF969696"/>
      <rgbColor rgb="FF184C3A"/>
      <rgbColor rgb="FF339966"/>
      <rgbColor rgb="FF111827"/>
      <rgbColor rgb="FF1F4E3D"/>
      <rgbColor rgb="FF993300"/>
      <rgbColor rgb="FF993366"/>
      <rgbColor rgb="FF3741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810"/>
  <sheetViews>
    <sheetView showFormulas="0" showGridLines="1" showRowColHeaders="1" showZeros="1" rightToLeft="0" tabSelected="0" showOutlineSymbols="1" defaultGridColor="1" view="normal" topLeftCell="A1" colorId="64" zoomScale="98" zoomScaleNormal="98" zoomScalePageLayoutView="100" workbookViewId="0">
      <selection pane="topLeft" activeCell="E11" activeCellId="0" sqref="E11"/>
    </sheetView>
  </sheetViews>
  <sheetFormatPr baseColWidth="8" defaultColWidth="8.83203125" defaultRowHeight="15" zeroHeight="0" outlineLevelRow="0"/>
  <cols>
    <col width="16" customWidth="1" style="48" min="1" max="1"/>
    <col width="18" customWidth="1" style="48" min="2" max="2"/>
    <col width="30" customWidth="1" style="48" min="3" max="3"/>
    <col width="32" customWidth="1" style="48" min="4" max="5"/>
    <col width="10" customWidth="1" style="48" min="6" max="6"/>
    <col width="11" customWidth="1" style="48" min="7" max="9"/>
    <col width="13" customWidth="1" style="48" min="10" max="14"/>
    <col width="18" customWidth="1" style="48" min="15" max="15"/>
    <col width="12" customWidth="1" style="48" min="16" max="16"/>
    <col width="22" customWidth="1" style="48" min="17" max="17"/>
    <col width="14" customWidth="1" style="48" min="18" max="20"/>
    <col width="8" customWidth="1" style="48" min="21" max="21"/>
  </cols>
  <sheetData>
    <row r="1" ht="15" customHeight="1" s="49">
      <c r="A1" s="50" t="inlineStr">
        <is>
          <t>ПЧК — B2B прайс-лист и выбор позиций для заказа</t>
        </is>
      </c>
      <c r="W1" s="51" t="n"/>
      <c r="X1" s="51" t="n"/>
      <c r="Y1" s="51" t="n"/>
      <c r="Z1" s="51" t="n"/>
      <c r="AA1" s="51" t="n"/>
    </row>
    <row r="2" ht="15" customHeight="1" s="49">
      <c r="A2" s="52" t="inlineStr">
        <is>
          <t>Поставьте количество в колонке «Кол-во в заказ». Выбранные позиции автоматически попадут на лист «Бланк заказа». В макете уже заполнены 3 тестовые строки — их можно удалить.</t>
        </is>
      </c>
    </row>
    <row r="4" ht="13.5" customHeight="1" s="49">
      <c r="A4" s="53" t="inlineStr">
        <is>
          <t>Уровень цен для расчета (авто)</t>
        </is>
      </c>
      <c r="B4" s="54">
        <f>IF('Служебный лист'!$B$15&lt;50000,"Базовый",IF('Служебный лист'!$B$15&lt;150000,"Опт",IF('Служебный лист'!$B$15&lt;300000,"Опт+",IF('Служебный лист'!$B$15&lt;500000,"Партнер","Ключевой партнер"))))</f>
        <v/>
      </c>
    </row>
    <row r="5" ht="13.5" customHeight="1" s="49">
      <c r="A5" s="53" t="inlineStr">
        <is>
          <t>Статус минимального заказа</t>
        </is>
      </c>
      <c r="B5" s="54">
        <f>IF('Служебный лист'!$B$15&lt;15000,"⚠ Сумма ниже минимума 15 000 ₽ — доберите заказ","✓ Минимум достигнут")</f>
        <v/>
      </c>
    </row>
    <row r="6" ht="13.5" customHeight="1" s="49">
      <c r="A6" s="53" t="inlineStr">
        <is>
          <t>До следующего уровня осталось</t>
        </is>
      </c>
      <c r="B6" s="54">
        <f>IF('Служебный лист'!$B$15&lt;15000,15000-'Служебный лист'!$B$15,IF('Служебный лист'!$B$15&lt;50000,50000-'Служебный лист'!$B$15,IF('Служебный лист'!$B$15&lt;150000,150000-'Служебный лист'!$B$15,IF('Служебный лист'!$B$15&lt;300000,300000-'Служебный лист'!$B$15,IF('Служебный лист'!$B$15&lt;500000,500000-'Служебный лист'!$B$15,"максимальный уровень")))))</f>
        <v/>
      </c>
    </row>
    <row r="7" ht="15" customHeight="1" s="49">
      <c r="A7" s="53" t="inlineStr">
        <is>
          <t>Важно</t>
        </is>
      </c>
      <c r="B7" s="55" t="inlineStr">
        <is>
          <t>Итоговые цены, наличие, бонусы и специальные условия подтверждаются менеджером. Прайс-лист не является публичной офертой.</t>
        </is>
      </c>
    </row>
    <row r="10" ht="30" customHeight="1" s="49">
      <c r="A10" s="56" t="inlineStr">
        <is>
          <t>Категория</t>
        </is>
      </c>
      <c r="B10" s="56" t="inlineStr">
        <is>
          <t>Артикул</t>
        </is>
      </c>
      <c r="C10" s="56" t="inlineStr">
        <is>
          <t>Наименование</t>
        </is>
      </c>
      <c r="D10" s="56" t="inlineStr">
        <is>
          <t>Краткое описание</t>
        </is>
      </c>
      <c r="E10" s="56" t="inlineStr">
        <is>
          <t>Фасовка</t>
        </is>
      </c>
      <c r="F10" s="56" t="inlineStr">
        <is>
          <t>Ед. изм.</t>
        </is>
      </c>
      <c r="G10" s="56" t="inlineStr">
        <is>
          <t>Мин. партия</t>
        </is>
      </c>
      <c r="H10" s="56" t="inlineStr">
        <is>
          <t>Кратность</t>
        </is>
      </c>
      <c r="I10" s="56" t="inlineStr">
        <is>
          <t>Базовый</t>
        </is>
      </c>
      <c r="J10" s="56" t="inlineStr">
        <is>
          <t>Опт</t>
        </is>
      </c>
      <c r="K10" s="56" t="inlineStr">
        <is>
          <t>Опт+</t>
        </is>
      </c>
      <c r="L10" s="56" t="inlineStr">
        <is>
          <t>Партнер</t>
        </is>
      </c>
      <c r="M10" s="56" t="inlineStr">
        <is>
          <t>Ключевой партнер</t>
        </is>
      </c>
      <c r="N10" s="56" t="inlineStr">
        <is>
          <t>Статус</t>
        </is>
      </c>
      <c r="O10" s="56" t="inlineStr">
        <is>
          <t>Комментарий</t>
        </is>
      </c>
      <c r="P10" s="56" t="inlineStr">
        <is>
          <t>Кол-во в заказ</t>
        </is>
      </c>
      <c r="Q10" s="56" t="inlineStr">
        <is>
          <t>Комментарий к заказу</t>
        </is>
      </c>
      <c r="R10" s="56" t="inlineStr">
        <is>
          <t>Цена для расчета</t>
        </is>
      </c>
      <c r="S10" s="56" t="inlineStr">
        <is>
          <t>Сумма без НДС</t>
        </is>
      </c>
      <c r="T10" s="57" t="inlineStr">
        <is>
          <t>Сумма с НДС</t>
        </is>
      </c>
      <c r="U10" s="56" t="inlineStr">
        <is>
          <t>№ в заказе</t>
        </is>
      </c>
    </row>
    <row r="11" ht="15" customHeight="1" s="49">
      <c r="A11" s="58" t="n"/>
      <c r="B11" s="58" t="n"/>
      <c r="C11" s="59" t="n"/>
      <c r="D11" s="59" t="n"/>
      <c r="E11" s="59" t="n"/>
      <c r="F11" s="58" t="n"/>
      <c r="G11" s="60" t="n"/>
      <c r="H11" s="60" t="n"/>
      <c r="I11" s="61" t="n"/>
      <c r="J11" s="61" t="n"/>
      <c r="K11" s="61" t="n"/>
      <c r="L11" s="61" t="n"/>
      <c r="M11" s="61" t="n"/>
      <c r="N11" s="58" t="n"/>
      <c r="O11" s="59" t="n"/>
      <c r="P11" s="62" t="n"/>
      <c r="Q11" s="63" t="n"/>
      <c r="R11" s="61">
        <f>IF($P11&gt;0,CHOOSE(MATCH($B$4,'Служебный лист'!$A$4:$A$8,0),I11,J11,K11,L11,M11),"")</f>
        <v/>
      </c>
      <c r="S11" s="61">
        <f>IFERROR($P11*$R11,0)</f>
        <v/>
      </c>
      <c r="T11" s="61">
        <f>$S11*1.22</f>
        <v/>
      </c>
      <c r="U11" s="64">
        <f>IF($P11&gt;0,COUNTIF($P$11:P11,"&gt;0"),"")</f>
        <v/>
      </c>
    </row>
    <row r="12" ht="15" customHeight="1" s="49">
      <c r="A12" s="58" t="n"/>
      <c r="B12" s="58" t="n"/>
      <c r="C12" s="59" t="n"/>
      <c r="D12" s="59" t="n"/>
      <c r="E12" s="59" t="n"/>
      <c r="F12" s="58" t="n"/>
      <c r="G12" s="60" t="n"/>
      <c r="H12" s="60" t="n"/>
      <c r="I12" s="61" t="n"/>
      <c r="J12" s="61" t="n"/>
      <c r="K12" s="61" t="n"/>
      <c r="L12" s="61" t="n"/>
      <c r="M12" s="61" t="n"/>
      <c r="N12" s="58" t="n"/>
      <c r="O12" s="59" t="n"/>
      <c r="P12" s="62" t="n"/>
      <c r="Q12" s="63" t="n"/>
      <c r="R12" s="61">
        <f>IF($P12&gt;0,CHOOSE(MATCH($B$4,'Служебный лист'!$A$4:$A$8,0),I12,J12,K12,L12,M12),"")</f>
        <v/>
      </c>
      <c r="S12" s="61">
        <f>IFERROR($P12*$R12,0)</f>
        <v/>
      </c>
      <c r="T12" s="61">
        <f>$S12*1.22</f>
        <v/>
      </c>
      <c r="U12" s="64">
        <f>IF($P12&gt;0,COUNTIF($P$11:P12,"&gt;0"),"")</f>
        <v/>
      </c>
    </row>
    <row r="13" ht="15" customHeight="1" s="49">
      <c r="A13" s="58" t="n"/>
      <c r="B13" s="58" t="n"/>
      <c r="C13" s="59" t="n"/>
      <c r="D13" s="59" t="n"/>
      <c r="E13" s="59" t="n"/>
      <c r="F13" s="58" t="n"/>
      <c r="G13" s="60" t="n"/>
      <c r="H13" s="60" t="n"/>
      <c r="I13" s="61" t="n"/>
      <c r="J13" s="61" t="n"/>
      <c r="K13" s="61" t="n"/>
      <c r="L13" s="61" t="n"/>
      <c r="M13" s="61" t="n"/>
      <c r="N13" s="58" t="n"/>
      <c r="O13" s="59" t="n"/>
      <c r="P13" s="62" t="n"/>
      <c r="Q13" s="63" t="n"/>
      <c r="R13" s="61">
        <f>IF($P13&gt;0,CHOOSE(MATCH($B$4,'Служебный лист'!$A$4:$A$8,0),I13,J13,K13,L13,M13),"")</f>
        <v/>
      </c>
      <c r="S13" s="61">
        <f>IFERROR($P13*$R13,0)</f>
        <v/>
      </c>
      <c r="T13" s="61">
        <f>$S13*1.22</f>
        <v/>
      </c>
      <c r="U13" s="64">
        <f>IF($P13&gt;0,COUNTIF($P$11:P13,"&gt;0"),"")</f>
        <v/>
      </c>
    </row>
    <row r="14" ht="15" customHeight="1" s="49">
      <c r="A14" s="58" t="n"/>
      <c r="B14" s="58" t="n"/>
      <c r="C14" s="59" t="n"/>
      <c r="D14" s="59" t="n"/>
      <c r="E14" s="59" t="n"/>
      <c r="F14" s="58" t="n"/>
      <c r="G14" s="60" t="n"/>
      <c r="H14" s="60" t="n"/>
      <c r="I14" s="61" t="n"/>
      <c r="J14" s="61" t="n"/>
      <c r="K14" s="61" t="n"/>
      <c r="L14" s="61" t="n"/>
      <c r="M14" s="61" t="n"/>
      <c r="N14" s="58" t="n"/>
      <c r="O14" s="59" t="n"/>
      <c r="P14" s="62" t="n"/>
      <c r="Q14" s="63" t="n"/>
      <c r="R14" s="61">
        <f>IF($P14&gt;0,CHOOSE(MATCH($B$4,'Служебный лист'!$A$4:$A$8,0),I14,J14,K14,L14,M14),"")</f>
        <v/>
      </c>
      <c r="S14" s="61">
        <f>IFERROR($P14*$R14,0)</f>
        <v/>
      </c>
      <c r="T14" s="61">
        <f>$S14*1.22</f>
        <v/>
      </c>
      <c r="U14" s="64">
        <f>IF($P14&gt;0,COUNTIF($P$11:P14,"&gt;0"),"")</f>
        <v/>
      </c>
    </row>
    <row r="15" ht="15" customHeight="1" s="49">
      <c r="A15" s="58" t="n"/>
      <c r="B15" s="58" t="n"/>
      <c r="C15" s="59" t="n"/>
      <c r="D15" s="59" t="n"/>
      <c r="E15" s="59" t="n"/>
      <c r="F15" s="58" t="n"/>
      <c r="G15" s="60" t="n"/>
      <c r="H15" s="60" t="n"/>
      <c r="I15" s="61" t="n"/>
      <c r="J15" s="61" t="n"/>
      <c r="K15" s="61" t="n"/>
      <c r="L15" s="61" t="n"/>
      <c r="M15" s="61" t="n"/>
      <c r="N15" s="58" t="n"/>
      <c r="O15" s="59" t="n"/>
      <c r="P15" s="62" t="n"/>
      <c r="Q15" s="63" t="n"/>
      <c r="R15" s="61">
        <f>IF($P15&gt;0,CHOOSE(MATCH($B$4,'Служебный лист'!$A$4:$A$8,0),I15,J15,K15,L15,M15),"")</f>
        <v/>
      </c>
      <c r="S15" s="61">
        <f>IFERROR($P15*$R15,0)</f>
        <v/>
      </c>
      <c r="T15" s="61">
        <f>$S15*1.22</f>
        <v/>
      </c>
      <c r="U15" s="64">
        <f>IF($P15&gt;0,COUNTIF($P$11:P15,"&gt;0"),"")</f>
        <v/>
      </c>
    </row>
    <row r="16" ht="15" customHeight="1" s="49">
      <c r="A16" s="58" t="n"/>
      <c r="B16" s="58" t="n"/>
      <c r="C16" s="59" t="n"/>
      <c r="D16" s="59" t="n"/>
      <c r="E16" s="59" t="n"/>
      <c r="F16" s="58" t="n"/>
      <c r="G16" s="60" t="n"/>
      <c r="H16" s="60" t="n"/>
      <c r="I16" s="61" t="n"/>
      <c r="J16" s="61" t="n"/>
      <c r="K16" s="61" t="n"/>
      <c r="L16" s="61" t="n"/>
      <c r="M16" s="61" t="n"/>
      <c r="N16" s="58" t="n"/>
      <c r="O16" s="59" t="n"/>
      <c r="P16" s="62" t="n"/>
      <c r="Q16" s="63" t="n"/>
      <c r="R16" s="61">
        <f>IF($P16&gt;0,CHOOSE(MATCH($B$4,'Служебный лист'!$A$4:$A$8,0),I16,J16,K16,L16,M16),"")</f>
        <v/>
      </c>
      <c r="S16" s="61">
        <f>IFERROR($P16*$R16,0)</f>
        <v/>
      </c>
      <c r="T16" s="61">
        <f>$S16*1.22</f>
        <v/>
      </c>
      <c r="U16" s="64">
        <f>IF($P16&gt;0,COUNTIF($P$11:P16,"&gt;0"),"")</f>
        <v/>
      </c>
    </row>
    <row r="17" ht="15" customHeight="1" s="49">
      <c r="A17" s="58" t="n"/>
      <c r="B17" s="58" t="n"/>
      <c r="C17" s="59" t="n"/>
      <c r="D17" s="59" t="n"/>
      <c r="E17" s="59" t="n"/>
      <c r="F17" s="58" t="n"/>
      <c r="G17" s="60" t="n"/>
      <c r="H17" s="60" t="n"/>
      <c r="I17" s="61" t="n"/>
      <c r="J17" s="61" t="n"/>
      <c r="K17" s="61" t="n"/>
      <c r="L17" s="61" t="n"/>
      <c r="M17" s="61" t="n"/>
      <c r="N17" s="58" t="n"/>
      <c r="O17" s="59" t="n"/>
      <c r="P17" s="62" t="n"/>
      <c r="Q17" s="63" t="n"/>
      <c r="R17" s="61">
        <f>IF($P17&gt;0,CHOOSE(MATCH($B$4,'Служебный лист'!$A$4:$A$8,0),I17,J17,K17,L17,M17),"")</f>
        <v/>
      </c>
      <c r="S17" s="61">
        <f>IFERROR($P17*$R17,0)</f>
        <v/>
      </c>
      <c r="T17" s="61">
        <f>$S17*1.22</f>
        <v/>
      </c>
      <c r="U17" s="64">
        <f>IF($P17&gt;0,COUNTIF($P$11:P17,"&gt;0"),"")</f>
        <v/>
      </c>
    </row>
    <row r="18" ht="15" customHeight="1" s="49">
      <c r="A18" s="58" t="n"/>
      <c r="B18" s="58" t="n"/>
      <c r="C18" s="59" t="n"/>
      <c r="D18" s="59" t="n"/>
      <c r="E18" s="59" t="n"/>
      <c r="F18" s="58" t="n"/>
      <c r="G18" s="60" t="n"/>
      <c r="H18" s="60" t="n"/>
      <c r="I18" s="61" t="n"/>
      <c r="J18" s="61" t="n"/>
      <c r="K18" s="61" t="n"/>
      <c r="L18" s="61" t="n"/>
      <c r="M18" s="61" t="n"/>
      <c r="N18" s="58" t="n"/>
      <c r="O18" s="59" t="n"/>
      <c r="P18" s="62" t="n"/>
      <c r="Q18" s="63" t="n"/>
      <c r="R18" s="61">
        <f>IF($P18&gt;0,CHOOSE(MATCH($B$4,'Служебный лист'!$A$4:$A$8,0),I18,J18,K18,L18,M18),"")</f>
        <v/>
      </c>
      <c r="S18" s="61">
        <f>IFERROR($P18*$R18,0)</f>
        <v/>
      </c>
      <c r="T18" s="61">
        <f>$S18*1.22</f>
        <v/>
      </c>
      <c r="U18" s="64">
        <f>IF($P18&gt;0,COUNTIF($P$11:P18,"&gt;0"),"")</f>
        <v/>
      </c>
    </row>
    <row r="19" ht="15" customHeight="1" s="49">
      <c r="A19" s="58" t="n"/>
      <c r="B19" s="58" t="n"/>
      <c r="C19" s="59" t="n"/>
      <c r="D19" s="59" t="n"/>
      <c r="E19" s="59" t="n"/>
      <c r="F19" s="58" t="n"/>
      <c r="G19" s="60" t="n"/>
      <c r="H19" s="60" t="n"/>
      <c r="I19" s="61" t="n"/>
      <c r="J19" s="61" t="n"/>
      <c r="K19" s="61" t="n"/>
      <c r="L19" s="61" t="n"/>
      <c r="M19" s="61" t="n"/>
      <c r="N19" s="58" t="n"/>
      <c r="O19" s="59" t="n"/>
      <c r="P19" s="62" t="n"/>
      <c r="Q19" s="63" t="n"/>
      <c r="R19" s="61">
        <f>IF($P19&gt;0,CHOOSE(MATCH($B$4,'Служебный лист'!$A$4:$A$8,0),I19,J19,K19,L19,M19),"")</f>
        <v/>
      </c>
      <c r="S19" s="61">
        <f>IFERROR($P19*$R19,0)</f>
        <v/>
      </c>
      <c r="T19" s="61">
        <f>$S19*1.22</f>
        <v/>
      </c>
      <c r="U19" s="64">
        <f>IF($P19&gt;0,COUNTIF($P$11:P19,"&gt;0"),"")</f>
        <v/>
      </c>
    </row>
    <row r="20" ht="15" customHeight="1" s="49">
      <c r="A20" s="58" t="n"/>
      <c r="B20" s="58" t="n"/>
      <c r="C20" s="59" t="n"/>
      <c r="D20" s="59" t="n"/>
      <c r="E20" s="59" t="n"/>
      <c r="F20" s="58" t="n"/>
      <c r="G20" s="60" t="n"/>
      <c r="H20" s="60" t="n"/>
      <c r="I20" s="61" t="n"/>
      <c r="J20" s="61" t="n"/>
      <c r="K20" s="61" t="n"/>
      <c r="L20" s="61" t="n"/>
      <c r="M20" s="61" t="n"/>
      <c r="N20" s="58" t="n"/>
      <c r="O20" s="59" t="n"/>
      <c r="P20" s="62" t="n"/>
      <c r="Q20" s="63" t="n"/>
      <c r="R20" s="61">
        <f>IF($P20&gt;0,CHOOSE(MATCH($B$4,'Служебный лист'!$A$4:$A$8,0),I20,J20,K20,L20,M20),"")</f>
        <v/>
      </c>
      <c r="S20" s="61">
        <f>IFERROR($P20*$R20,0)</f>
        <v/>
      </c>
      <c r="T20" s="61">
        <f>$S20*1.22</f>
        <v/>
      </c>
      <c r="U20" s="64">
        <f>IF($P20&gt;0,COUNTIF($P$11:P20,"&gt;0"),"")</f>
        <v/>
      </c>
    </row>
    <row r="21" ht="15" customHeight="1" s="49">
      <c r="A21" s="58" t="n"/>
      <c r="B21" s="58" t="n"/>
      <c r="C21" s="59" t="n"/>
      <c r="D21" s="59" t="n"/>
      <c r="E21" s="59" t="n"/>
      <c r="F21" s="58" t="n"/>
      <c r="G21" s="60" t="n"/>
      <c r="H21" s="60" t="n"/>
      <c r="I21" s="61" t="n"/>
      <c r="J21" s="61" t="n"/>
      <c r="K21" s="61" t="n"/>
      <c r="L21" s="61" t="n"/>
      <c r="M21" s="61" t="n"/>
      <c r="N21" s="58" t="n"/>
      <c r="O21" s="59" t="n"/>
      <c r="P21" s="62" t="n"/>
      <c r="Q21" s="63" t="n"/>
      <c r="R21" s="61">
        <f>IF($P21&gt;0,CHOOSE(MATCH($B$4,'Служебный лист'!$A$4:$A$8,0),I21,J21,K21,L21,M21),"")</f>
        <v/>
      </c>
      <c r="S21" s="61">
        <f>IFERROR($P21*$R21,0)</f>
        <v/>
      </c>
      <c r="T21" s="61">
        <f>$S21*1.22</f>
        <v/>
      </c>
      <c r="U21" s="64">
        <f>IF($P21&gt;0,COUNTIF($P$11:P21,"&gt;0"),"")</f>
        <v/>
      </c>
    </row>
    <row r="22" ht="15" customHeight="1" s="49">
      <c r="A22" s="58" t="n"/>
      <c r="B22" s="58" t="n"/>
      <c r="C22" s="59" t="n"/>
      <c r="D22" s="59" t="n"/>
      <c r="E22" s="59" t="n"/>
      <c r="F22" s="58" t="n"/>
      <c r="G22" s="60" t="n"/>
      <c r="H22" s="60" t="n"/>
      <c r="I22" s="61" t="n"/>
      <c r="J22" s="61" t="n"/>
      <c r="K22" s="61" t="n"/>
      <c r="L22" s="61" t="n"/>
      <c r="M22" s="61" t="n"/>
      <c r="N22" s="58" t="n"/>
      <c r="O22" s="59" t="n"/>
      <c r="P22" s="62" t="n"/>
      <c r="Q22" s="63" t="n"/>
      <c r="R22" s="61">
        <f>IF($P22&gt;0,CHOOSE(MATCH($B$4,'Служебный лист'!$A$4:$A$8,0),I22,J22,K22,L22,M22),"")</f>
        <v/>
      </c>
      <c r="S22" s="61">
        <f>IFERROR($P22*$R22,0)</f>
        <v/>
      </c>
      <c r="T22" s="61">
        <f>$S22*1.22</f>
        <v/>
      </c>
      <c r="U22" s="64">
        <f>IF($P22&gt;0,COUNTIF($P$11:P22,"&gt;0"),"")</f>
        <v/>
      </c>
    </row>
    <row r="23" ht="15" customHeight="1" s="49">
      <c r="A23" s="58" t="n"/>
      <c r="B23" s="58" t="n"/>
      <c r="C23" s="59" t="n"/>
      <c r="D23" s="59" t="n"/>
      <c r="E23" s="59" t="n"/>
      <c r="F23" s="58" t="n"/>
      <c r="G23" s="60" t="n"/>
      <c r="H23" s="60" t="n"/>
      <c r="I23" s="61" t="n"/>
      <c r="J23" s="61" t="n"/>
      <c r="K23" s="61" t="n"/>
      <c r="L23" s="61" t="n"/>
      <c r="M23" s="61" t="n"/>
      <c r="N23" s="58" t="n"/>
      <c r="O23" s="59" t="n"/>
      <c r="P23" s="62" t="n"/>
      <c r="Q23" s="63" t="n"/>
      <c r="R23" s="61">
        <f>IF($P23&gt;0,CHOOSE(MATCH($B$4,'Служебный лист'!$A$4:$A$8,0),I23,J23,K23,L23,M23),"")</f>
        <v/>
      </c>
      <c r="S23" s="61">
        <f>IFERROR($P23*$R23,0)</f>
        <v/>
      </c>
      <c r="T23" s="61">
        <f>$S23*1.22</f>
        <v/>
      </c>
      <c r="U23" s="64">
        <f>IF($P23&gt;0,COUNTIF($P$11:P23,"&gt;0"),"")</f>
        <v/>
      </c>
    </row>
    <row r="24" ht="15" customHeight="1" s="49">
      <c r="A24" s="58" t="n"/>
      <c r="B24" s="58" t="n"/>
      <c r="C24" s="59" t="n"/>
      <c r="D24" s="59" t="n"/>
      <c r="E24" s="59" t="n"/>
      <c r="F24" s="58" t="n"/>
      <c r="G24" s="60" t="n"/>
      <c r="H24" s="60" t="n"/>
      <c r="I24" s="61" t="n"/>
      <c r="J24" s="61" t="n"/>
      <c r="K24" s="61" t="n"/>
      <c r="L24" s="61" t="n"/>
      <c r="M24" s="61" t="n"/>
      <c r="N24" s="58" t="n"/>
      <c r="O24" s="59" t="n"/>
      <c r="P24" s="62" t="n"/>
      <c r="Q24" s="63" t="n"/>
      <c r="R24" s="61">
        <f>IF($P24&gt;0,CHOOSE(MATCH($B$4,'Служебный лист'!$A$4:$A$8,0),I24,J24,K24,L24,M24),"")</f>
        <v/>
      </c>
      <c r="S24" s="61">
        <f>IFERROR($P24*$R24,0)</f>
        <v/>
      </c>
      <c r="T24" s="61">
        <f>$S24*1.22</f>
        <v/>
      </c>
      <c r="U24" s="64">
        <f>IF($P24&gt;0,COUNTIF($P$11:P24,"&gt;0"),"")</f>
        <v/>
      </c>
    </row>
    <row r="25" ht="15" customHeight="1" s="49">
      <c r="A25" s="58" t="n"/>
      <c r="B25" s="58" t="n"/>
      <c r="C25" s="59" t="n"/>
      <c r="D25" s="59" t="n"/>
      <c r="E25" s="59" t="n"/>
      <c r="F25" s="58" t="n"/>
      <c r="G25" s="60" t="n"/>
      <c r="H25" s="60" t="n"/>
      <c r="I25" s="61" t="n"/>
      <c r="J25" s="61" t="n"/>
      <c r="K25" s="61" t="n"/>
      <c r="L25" s="61" t="n"/>
      <c r="M25" s="61" t="n"/>
      <c r="N25" s="58" t="n"/>
      <c r="O25" s="59" t="n"/>
      <c r="P25" s="62" t="n"/>
      <c r="Q25" s="63" t="n"/>
      <c r="R25" s="61">
        <f>IF($P25&gt;0,CHOOSE(MATCH($B$4,'Служебный лист'!$A$4:$A$8,0),I25,J25,K25,L25,M25),"")</f>
        <v/>
      </c>
      <c r="S25" s="61">
        <f>IFERROR($P25*$R25,0)</f>
        <v/>
      </c>
      <c r="T25" s="61">
        <f>$S25*1.22</f>
        <v/>
      </c>
      <c r="U25" s="64">
        <f>IF($P25&gt;0,COUNTIF($P$11:P25,"&gt;0"),"")</f>
        <v/>
      </c>
    </row>
    <row r="26" ht="15" customHeight="1" s="49">
      <c r="A26" s="58" t="n"/>
      <c r="B26" s="58" t="n"/>
      <c r="C26" s="59" t="n"/>
      <c r="D26" s="59" t="n"/>
      <c r="E26" s="59" t="n"/>
      <c r="F26" s="58" t="n"/>
      <c r="G26" s="60" t="n"/>
      <c r="H26" s="60" t="n"/>
      <c r="I26" s="61" t="n"/>
      <c r="J26" s="61" t="n"/>
      <c r="K26" s="61" t="n"/>
      <c r="L26" s="61" t="n"/>
      <c r="M26" s="61" t="n"/>
      <c r="N26" s="58" t="n"/>
      <c r="O26" s="59" t="n"/>
      <c r="P26" s="62" t="n"/>
      <c r="Q26" s="63" t="n"/>
      <c r="R26" s="61">
        <f>IF($P26&gt;0,CHOOSE(MATCH($B$4,'Служебный лист'!$A$4:$A$8,0),I26,J26,K26,L26,M26),"")</f>
        <v/>
      </c>
      <c r="S26" s="61">
        <f>IFERROR($P26*$R26,0)</f>
        <v/>
      </c>
      <c r="T26" s="61">
        <f>$S26*1.22</f>
        <v/>
      </c>
      <c r="U26" s="64">
        <f>IF($P26&gt;0,COUNTIF($P$11:P26,"&gt;0"),"")</f>
        <v/>
      </c>
    </row>
    <row r="27" ht="15" customHeight="1" s="49">
      <c r="A27" s="58" t="n"/>
      <c r="B27" s="58" t="n"/>
      <c r="C27" s="59" t="n"/>
      <c r="D27" s="59" t="n"/>
      <c r="E27" s="59" t="n"/>
      <c r="F27" s="58" t="n"/>
      <c r="G27" s="60" t="n"/>
      <c r="H27" s="60" t="n"/>
      <c r="I27" s="61" t="n"/>
      <c r="J27" s="61" t="n"/>
      <c r="K27" s="61" t="n"/>
      <c r="L27" s="61" t="n"/>
      <c r="M27" s="61" t="n"/>
      <c r="N27" s="58" t="n"/>
      <c r="O27" s="59" t="n"/>
      <c r="P27" s="62" t="n"/>
      <c r="Q27" s="63" t="n"/>
      <c r="R27" s="61">
        <f>IF($P27&gt;0,CHOOSE(MATCH($B$4,'Служебный лист'!$A$4:$A$8,0),I27,J27,K27,L27,M27),"")</f>
        <v/>
      </c>
      <c r="S27" s="61">
        <f>IFERROR($P27*$R27,0)</f>
        <v/>
      </c>
      <c r="T27" s="61">
        <f>$S27*1.22</f>
        <v/>
      </c>
      <c r="U27" s="64">
        <f>IF($P27&gt;0,COUNTIF($P$11:P27,"&gt;0"),"")</f>
        <v/>
      </c>
    </row>
    <row r="28" ht="15" customHeight="1" s="49">
      <c r="A28" s="58" t="n"/>
      <c r="B28" s="58" t="n"/>
      <c r="C28" s="59" t="n"/>
      <c r="D28" s="59" t="n"/>
      <c r="E28" s="59" t="n"/>
      <c r="F28" s="58" t="n"/>
      <c r="G28" s="60" t="n"/>
      <c r="H28" s="60" t="n"/>
      <c r="I28" s="61" t="n"/>
      <c r="J28" s="61" t="n"/>
      <c r="K28" s="61" t="n"/>
      <c r="L28" s="61" t="n"/>
      <c r="M28" s="61" t="n"/>
      <c r="N28" s="58" t="n"/>
      <c r="O28" s="59" t="n"/>
      <c r="P28" s="62" t="n"/>
      <c r="Q28" s="63" t="n"/>
      <c r="R28" s="61">
        <f>IF($P28&gt;0,CHOOSE(MATCH($B$4,'Служебный лист'!$A$4:$A$8,0),I28,J28,K28,L28,M28),"")</f>
        <v/>
      </c>
      <c r="S28" s="61">
        <f>IFERROR($P28*$R28,0)</f>
        <v/>
      </c>
      <c r="T28" s="61">
        <f>$S28*1.22</f>
        <v/>
      </c>
      <c r="U28" s="64">
        <f>IF($P28&gt;0,COUNTIF($P$11:P28,"&gt;0"),"")</f>
        <v/>
      </c>
    </row>
    <row r="29" ht="15" customHeight="1" s="49">
      <c r="A29" s="58" t="n"/>
      <c r="B29" s="58" t="n"/>
      <c r="C29" s="59" t="n"/>
      <c r="D29" s="59" t="n"/>
      <c r="E29" s="59" t="n"/>
      <c r="F29" s="58" t="n"/>
      <c r="G29" s="60" t="n"/>
      <c r="H29" s="60" t="n"/>
      <c r="I29" s="61" t="n"/>
      <c r="J29" s="61" t="n"/>
      <c r="K29" s="61" t="n"/>
      <c r="L29" s="61" t="n"/>
      <c r="M29" s="61" t="n"/>
      <c r="N29" s="58" t="n"/>
      <c r="O29" s="59" t="n"/>
      <c r="P29" s="62" t="n"/>
      <c r="Q29" s="63" t="n"/>
      <c r="R29" s="61">
        <f>IF($P29&gt;0,CHOOSE(MATCH($B$4,'Служебный лист'!$A$4:$A$8,0),I29,J29,K29,L29,M29),"")</f>
        <v/>
      </c>
      <c r="S29" s="61">
        <f>IFERROR($P29*$R29,0)</f>
        <v/>
      </c>
      <c r="T29" s="61">
        <f>$S29*1.22</f>
        <v/>
      </c>
      <c r="U29" s="64">
        <f>IF($P29&gt;0,COUNTIF($P$11:P29,"&gt;0"),"")</f>
        <v/>
      </c>
    </row>
    <row r="30" ht="15" customHeight="1" s="49">
      <c r="A30" s="58" t="n"/>
      <c r="B30" s="58" t="n"/>
      <c r="C30" s="59" t="n"/>
      <c r="D30" s="59" t="n"/>
      <c r="E30" s="59" t="n"/>
      <c r="F30" s="58" t="n"/>
      <c r="G30" s="60" t="n"/>
      <c r="H30" s="60" t="n"/>
      <c r="I30" s="61" t="n"/>
      <c r="J30" s="61" t="n"/>
      <c r="K30" s="61" t="n"/>
      <c r="L30" s="61" t="n"/>
      <c r="M30" s="61" t="n"/>
      <c r="N30" s="58" t="n"/>
      <c r="O30" s="59" t="n"/>
      <c r="P30" s="62" t="n"/>
      <c r="Q30" s="63" t="n"/>
      <c r="R30" s="61">
        <f>IF($P30&gt;0,CHOOSE(MATCH($B$4,'Служебный лист'!$A$4:$A$8,0),I30,J30,K30,L30,M30),"")</f>
        <v/>
      </c>
      <c r="S30" s="61">
        <f>IFERROR($P30*$R30,0)</f>
        <v/>
      </c>
      <c r="T30" s="61">
        <f>$S30*1.22</f>
        <v/>
      </c>
      <c r="U30" s="64">
        <f>IF($P30&gt;0,COUNTIF($P$11:P30,"&gt;0"),"")</f>
        <v/>
      </c>
    </row>
    <row r="31" ht="15" customHeight="1" s="49">
      <c r="A31" s="58" t="n"/>
      <c r="B31" s="58" t="n"/>
      <c r="C31" s="59" t="n"/>
      <c r="D31" s="59" t="n"/>
      <c r="E31" s="59" t="n"/>
      <c r="F31" s="58" t="n"/>
      <c r="G31" s="60" t="n"/>
      <c r="H31" s="60" t="n"/>
      <c r="I31" s="61" t="n"/>
      <c r="J31" s="61" t="n"/>
      <c r="K31" s="61" t="n"/>
      <c r="L31" s="61" t="n"/>
      <c r="M31" s="61" t="n"/>
      <c r="N31" s="58" t="n"/>
      <c r="O31" s="59" t="n"/>
      <c r="P31" s="62" t="n"/>
      <c r="Q31" s="63" t="n"/>
      <c r="R31" s="61">
        <f>IF($P31&gt;0,CHOOSE(MATCH($B$4,'Служебный лист'!$A$4:$A$8,0),I31,J31,K31,L31,M31),"")</f>
        <v/>
      </c>
      <c r="S31" s="61">
        <f>IFERROR($P31*$R31,0)</f>
        <v/>
      </c>
      <c r="T31" s="61">
        <f>$S31*1.22</f>
        <v/>
      </c>
      <c r="U31" s="64">
        <f>IF($P31&gt;0,COUNTIF($P$11:P31,"&gt;0"),"")</f>
        <v/>
      </c>
    </row>
    <row r="32" ht="15" customHeight="1" s="49">
      <c r="A32" s="58" t="n"/>
      <c r="B32" s="58" t="n"/>
      <c r="C32" s="59" t="n"/>
      <c r="D32" s="59" t="n"/>
      <c r="E32" s="59" t="n"/>
      <c r="F32" s="58" t="n"/>
      <c r="G32" s="60" t="n"/>
      <c r="H32" s="60" t="n"/>
      <c r="I32" s="61" t="n"/>
      <c r="J32" s="61" t="n"/>
      <c r="K32" s="61" t="n"/>
      <c r="L32" s="61" t="n"/>
      <c r="M32" s="61" t="n"/>
      <c r="N32" s="58" t="n"/>
      <c r="O32" s="59" t="n"/>
      <c r="P32" s="62" t="n"/>
      <c r="Q32" s="63" t="n"/>
      <c r="R32" s="61">
        <f>IF($P32&gt;0,CHOOSE(MATCH($B$4,'Служебный лист'!$A$4:$A$8,0),I32,J32,K32,L32,M32),"")</f>
        <v/>
      </c>
      <c r="S32" s="61">
        <f>IFERROR($P32*$R32,0)</f>
        <v/>
      </c>
      <c r="T32" s="61">
        <f>$S32*1.22</f>
        <v/>
      </c>
      <c r="U32" s="64">
        <f>IF($P32&gt;0,COUNTIF($P$11:P32,"&gt;0"),"")</f>
        <v/>
      </c>
    </row>
    <row r="33" ht="15" customHeight="1" s="49">
      <c r="A33" s="58" t="n"/>
      <c r="B33" s="58" t="n"/>
      <c r="C33" s="59" t="n"/>
      <c r="D33" s="59" t="n"/>
      <c r="E33" s="59" t="n"/>
      <c r="F33" s="58" t="n"/>
      <c r="G33" s="60" t="n"/>
      <c r="H33" s="60" t="n"/>
      <c r="I33" s="61" t="n"/>
      <c r="J33" s="61" t="n"/>
      <c r="K33" s="61" t="n"/>
      <c r="L33" s="61" t="n"/>
      <c r="M33" s="61" t="n"/>
      <c r="N33" s="58" t="n"/>
      <c r="O33" s="59" t="n"/>
      <c r="P33" s="62" t="n"/>
      <c r="Q33" s="63" t="n"/>
      <c r="R33" s="61">
        <f>IF($P33&gt;0,CHOOSE(MATCH($B$4,'Служебный лист'!$A$4:$A$8,0),I33,J33,K33,L33,M33),"")</f>
        <v/>
      </c>
      <c r="S33" s="61">
        <f>IFERROR($P33*$R33,0)</f>
        <v/>
      </c>
      <c r="T33" s="61">
        <f>$S33*1.22</f>
        <v/>
      </c>
      <c r="U33" s="64">
        <f>IF($P33&gt;0,COUNTIF($P$11:P33,"&gt;0"),"")</f>
        <v/>
      </c>
    </row>
    <row r="34" ht="15" customHeight="1" s="49">
      <c r="A34" s="58" t="n"/>
      <c r="B34" s="58" t="n"/>
      <c r="C34" s="59" t="n"/>
      <c r="D34" s="59" t="n"/>
      <c r="E34" s="59" t="n"/>
      <c r="F34" s="58" t="n"/>
      <c r="G34" s="60" t="n"/>
      <c r="H34" s="60" t="n"/>
      <c r="I34" s="61" t="n"/>
      <c r="J34" s="61" t="n"/>
      <c r="K34" s="61" t="n"/>
      <c r="L34" s="61" t="n"/>
      <c r="M34" s="61" t="n"/>
      <c r="N34" s="58" t="n"/>
      <c r="O34" s="59" t="n"/>
      <c r="P34" s="62" t="n"/>
      <c r="Q34" s="63" t="n"/>
      <c r="R34" s="61">
        <f>IF($P34&gt;0,CHOOSE(MATCH($B$4,'Служебный лист'!$A$4:$A$8,0),I34,J34,K34,L34,M34),"")</f>
        <v/>
      </c>
      <c r="S34" s="61">
        <f>IFERROR($P34*$R34,0)</f>
        <v/>
      </c>
      <c r="T34" s="61">
        <f>$S34*1.22</f>
        <v/>
      </c>
      <c r="U34" s="64">
        <f>IF($P34&gt;0,COUNTIF($P$11:P34,"&gt;0"),"")</f>
        <v/>
      </c>
    </row>
    <row r="35" ht="15" customHeight="1" s="49">
      <c r="A35" s="58" t="n"/>
      <c r="B35" s="58" t="n"/>
      <c r="C35" s="59" t="n"/>
      <c r="D35" s="59" t="n"/>
      <c r="E35" s="59" t="n"/>
      <c r="F35" s="58" t="n"/>
      <c r="G35" s="60" t="n"/>
      <c r="H35" s="60" t="n"/>
      <c r="I35" s="61" t="n"/>
      <c r="J35" s="61" t="n"/>
      <c r="K35" s="61" t="n"/>
      <c r="L35" s="61" t="n"/>
      <c r="M35" s="61" t="n"/>
      <c r="N35" s="58" t="n"/>
      <c r="O35" s="59" t="n"/>
      <c r="P35" s="62" t="n"/>
      <c r="Q35" s="63" t="n"/>
      <c r="R35" s="61">
        <f>IF($P35&gt;0,CHOOSE(MATCH($B$4,'Служебный лист'!$A$4:$A$8,0),I35,J35,K35,L35,M35),"")</f>
        <v/>
      </c>
      <c r="S35" s="61">
        <f>IFERROR($P35*$R35,0)</f>
        <v/>
      </c>
      <c r="T35" s="61">
        <f>$S35*1.22</f>
        <v/>
      </c>
      <c r="U35" s="64">
        <f>IF($P35&gt;0,COUNTIF($P$11:P35,"&gt;0"),"")</f>
        <v/>
      </c>
    </row>
    <row r="36" ht="15" customHeight="1" s="49">
      <c r="A36" s="58" t="n"/>
      <c r="B36" s="58" t="n"/>
      <c r="C36" s="59" t="n"/>
      <c r="D36" s="59" t="n"/>
      <c r="E36" s="59" t="n"/>
      <c r="F36" s="58" t="n"/>
      <c r="G36" s="60" t="n"/>
      <c r="H36" s="60" t="n"/>
      <c r="I36" s="61" t="n"/>
      <c r="J36" s="61" t="n"/>
      <c r="K36" s="61" t="n"/>
      <c r="L36" s="61" t="n"/>
      <c r="M36" s="61" t="n"/>
      <c r="N36" s="58" t="n"/>
      <c r="O36" s="59" t="n"/>
      <c r="P36" s="62" t="n"/>
      <c r="Q36" s="63" t="n"/>
      <c r="R36" s="61">
        <f>IF($P36&gt;0,CHOOSE(MATCH($B$4,'Служебный лист'!$A$4:$A$8,0),I36,J36,K36,L36,M36),"")</f>
        <v/>
      </c>
      <c r="S36" s="61">
        <f>IFERROR($P36*$R36,0)</f>
        <v/>
      </c>
      <c r="T36" s="61">
        <f>$S36*1.22</f>
        <v/>
      </c>
      <c r="U36" s="64">
        <f>IF($P36&gt;0,COUNTIF($P$11:P36,"&gt;0"),"")</f>
        <v/>
      </c>
    </row>
    <row r="37" ht="15" customHeight="1" s="49">
      <c r="A37" s="58" t="n"/>
      <c r="B37" s="58" t="n"/>
      <c r="C37" s="59" t="n"/>
      <c r="D37" s="59" t="n"/>
      <c r="E37" s="59" t="n"/>
      <c r="F37" s="58" t="n"/>
      <c r="G37" s="60" t="n"/>
      <c r="H37" s="60" t="n"/>
      <c r="I37" s="61" t="n"/>
      <c r="J37" s="61" t="n"/>
      <c r="K37" s="61" t="n"/>
      <c r="L37" s="61" t="n"/>
      <c r="M37" s="61" t="n"/>
      <c r="N37" s="58" t="n"/>
      <c r="O37" s="59" t="n"/>
      <c r="P37" s="62" t="n"/>
      <c r="Q37" s="63" t="n"/>
      <c r="R37" s="61">
        <f>IF($P37&gt;0,CHOOSE(MATCH($B$4,'Служебный лист'!$A$4:$A$8,0),I37,J37,K37,L37,M37),"")</f>
        <v/>
      </c>
      <c r="S37" s="61">
        <f>IFERROR($P37*$R37,0)</f>
        <v/>
      </c>
      <c r="T37" s="61">
        <f>$S37*1.22</f>
        <v/>
      </c>
      <c r="U37" s="64">
        <f>IF($P37&gt;0,COUNTIF($P$11:P37,"&gt;0"),"")</f>
        <v/>
      </c>
    </row>
    <row r="38" ht="15" customHeight="1" s="49">
      <c r="A38" s="58" t="n"/>
      <c r="B38" s="58" t="n"/>
      <c r="C38" s="59" t="n"/>
      <c r="D38" s="59" t="n"/>
      <c r="E38" s="59" t="n"/>
      <c r="F38" s="58" t="n"/>
      <c r="G38" s="60" t="n"/>
      <c r="H38" s="60" t="n"/>
      <c r="I38" s="61" t="n"/>
      <c r="J38" s="61" t="n"/>
      <c r="K38" s="61" t="n"/>
      <c r="L38" s="61" t="n"/>
      <c r="M38" s="61" t="n"/>
      <c r="N38" s="58" t="n"/>
      <c r="O38" s="59" t="n"/>
      <c r="P38" s="62" t="n"/>
      <c r="Q38" s="63" t="n"/>
      <c r="R38" s="61">
        <f>IF($P38&gt;0,CHOOSE(MATCH($B$4,'Служебный лист'!$A$4:$A$8,0),I38,J38,K38,L38,M38),"")</f>
        <v/>
      </c>
      <c r="S38" s="61">
        <f>IFERROR($P38*$R38,0)</f>
        <v/>
      </c>
      <c r="T38" s="61">
        <f>$S38*1.22</f>
        <v/>
      </c>
      <c r="U38" s="64">
        <f>IF($P38&gt;0,COUNTIF($P$11:P38,"&gt;0"),"")</f>
        <v/>
      </c>
    </row>
    <row r="39" ht="15" customHeight="1" s="49">
      <c r="A39" s="58" t="n"/>
      <c r="B39" s="58" t="n"/>
      <c r="C39" s="59" t="n"/>
      <c r="D39" s="59" t="n"/>
      <c r="E39" s="59" t="n"/>
      <c r="F39" s="58" t="n"/>
      <c r="G39" s="60" t="n"/>
      <c r="H39" s="60" t="n"/>
      <c r="I39" s="61" t="n"/>
      <c r="J39" s="61" t="n"/>
      <c r="K39" s="61" t="n"/>
      <c r="L39" s="61" t="n"/>
      <c r="M39" s="61" t="n"/>
      <c r="N39" s="58" t="n"/>
      <c r="O39" s="59" t="n"/>
      <c r="P39" s="62" t="n"/>
      <c r="Q39" s="63" t="n"/>
      <c r="R39" s="61">
        <f>IF($P39&gt;0,CHOOSE(MATCH($B$4,'Служебный лист'!$A$4:$A$8,0),I39,J39,K39,L39,M39),"")</f>
        <v/>
      </c>
      <c r="S39" s="61">
        <f>IFERROR($P39*$R39,0)</f>
        <v/>
      </c>
      <c r="T39" s="61">
        <f>$S39*1.22</f>
        <v/>
      </c>
      <c r="U39" s="64">
        <f>IF($P39&gt;0,COUNTIF($P$11:P39,"&gt;0"),"")</f>
        <v/>
      </c>
    </row>
    <row r="40" ht="15" customHeight="1" s="49">
      <c r="A40" s="58" t="n"/>
      <c r="B40" s="58" t="n"/>
      <c r="C40" s="59" t="n"/>
      <c r="D40" s="59" t="n"/>
      <c r="E40" s="59" t="n"/>
      <c r="F40" s="58" t="n"/>
      <c r="G40" s="60" t="n"/>
      <c r="H40" s="60" t="n"/>
      <c r="I40" s="61" t="n"/>
      <c r="J40" s="61" t="n"/>
      <c r="K40" s="61" t="n"/>
      <c r="L40" s="61" t="n"/>
      <c r="M40" s="61" t="n"/>
      <c r="N40" s="58" t="n"/>
      <c r="O40" s="59" t="n"/>
      <c r="P40" s="62" t="n"/>
      <c r="Q40" s="63" t="n"/>
      <c r="R40" s="61">
        <f>IF($P40&gt;0,CHOOSE(MATCH($B$4,'Служебный лист'!$A$4:$A$8,0),I40,J40,K40,L40,M40),"")</f>
        <v/>
      </c>
      <c r="S40" s="61">
        <f>IFERROR($P40*$R40,0)</f>
        <v/>
      </c>
      <c r="T40" s="61">
        <f>$S40*1.22</f>
        <v/>
      </c>
      <c r="U40" s="64">
        <f>IF($P40&gt;0,COUNTIF($P$11:P40,"&gt;0"),"")</f>
        <v/>
      </c>
    </row>
    <row r="41" ht="15" customHeight="1" s="49">
      <c r="A41" s="58" t="n"/>
      <c r="B41" s="58" t="n"/>
      <c r="C41" s="59" t="n"/>
      <c r="D41" s="59" t="n"/>
      <c r="E41" s="59" t="n"/>
      <c r="F41" s="58" t="n"/>
      <c r="G41" s="60" t="n"/>
      <c r="H41" s="60" t="n"/>
      <c r="I41" s="61" t="n"/>
      <c r="J41" s="61" t="n"/>
      <c r="K41" s="61" t="n"/>
      <c r="L41" s="61" t="n"/>
      <c r="M41" s="61" t="n"/>
      <c r="N41" s="58" t="n"/>
      <c r="O41" s="59" t="n"/>
      <c r="P41" s="62" t="n"/>
      <c r="Q41" s="63" t="n"/>
      <c r="R41" s="61">
        <f>IF($P41&gt;0,CHOOSE(MATCH($B$4,'Служебный лист'!$A$4:$A$8,0),I41,J41,K41,L41,M41),"")</f>
        <v/>
      </c>
      <c r="S41" s="61">
        <f>IFERROR($P41*$R41,0)</f>
        <v/>
      </c>
      <c r="T41" s="61">
        <f>$S41*1.22</f>
        <v/>
      </c>
      <c r="U41" s="64">
        <f>IF($P41&gt;0,COUNTIF($P$11:P41,"&gt;0"),"")</f>
        <v/>
      </c>
    </row>
    <row r="42" ht="15" customHeight="1" s="49">
      <c r="A42" s="58" t="n"/>
      <c r="B42" s="58" t="n"/>
      <c r="C42" s="59" t="n"/>
      <c r="D42" s="59" t="n"/>
      <c r="E42" s="59" t="n"/>
      <c r="F42" s="58" t="n"/>
      <c r="G42" s="60" t="n"/>
      <c r="H42" s="60" t="n"/>
      <c r="I42" s="61" t="n"/>
      <c r="J42" s="61" t="n"/>
      <c r="K42" s="61" t="n"/>
      <c r="L42" s="61" t="n"/>
      <c r="M42" s="61" t="n"/>
      <c r="N42" s="58" t="n"/>
      <c r="O42" s="59" t="n"/>
      <c r="P42" s="62" t="n"/>
      <c r="Q42" s="63" t="n"/>
      <c r="R42" s="61">
        <f>IF($P42&gt;0,CHOOSE(MATCH($B$4,'Служебный лист'!$A$4:$A$8,0),I42,J42,K42,L42,M42),"")</f>
        <v/>
      </c>
      <c r="S42" s="61">
        <f>IFERROR($P42*$R42,0)</f>
        <v/>
      </c>
      <c r="T42" s="61">
        <f>$S42*1.22</f>
        <v/>
      </c>
      <c r="U42" s="64">
        <f>IF($P42&gt;0,COUNTIF($P$11:P42,"&gt;0"),"")</f>
        <v/>
      </c>
    </row>
    <row r="43" ht="15" customHeight="1" s="49">
      <c r="A43" s="58" t="n"/>
      <c r="B43" s="58" t="n"/>
      <c r="C43" s="59" t="n"/>
      <c r="D43" s="59" t="n"/>
      <c r="E43" s="59" t="n"/>
      <c r="F43" s="58" t="n"/>
      <c r="G43" s="60" t="n"/>
      <c r="H43" s="60" t="n"/>
      <c r="I43" s="61" t="n"/>
      <c r="J43" s="61" t="n"/>
      <c r="K43" s="61" t="n"/>
      <c r="L43" s="61" t="n"/>
      <c r="M43" s="61" t="n"/>
      <c r="N43" s="58" t="n"/>
      <c r="O43" s="59" t="n"/>
      <c r="P43" s="62" t="n"/>
      <c r="Q43" s="63" t="n"/>
      <c r="R43" s="61">
        <f>IF($P43&gt;0,CHOOSE(MATCH($B$4,'Служебный лист'!$A$4:$A$8,0),I43,J43,K43,L43,M43),"")</f>
        <v/>
      </c>
      <c r="S43" s="61">
        <f>IFERROR($P43*$R43,0)</f>
        <v/>
      </c>
      <c r="T43" s="61">
        <f>$S43*1.22</f>
        <v/>
      </c>
      <c r="U43" s="64">
        <f>IF($P43&gt;0,COUNTIF($P$11:P43,"&gt;0"),"")</f>
        <v/>
      </c>
    </row>
    <row r="44" ht="15" customHeight="1" s="49">
      <c r="A44" s="58" t="n"/>
      <c r="B44" s="58" t="n"/>
      <c r="C44" s="59" t="n"/>
      <c r="D44" s="59" t="n"/>
      <c r="E44" s="59" t="n"/>
      <c r="F44" s="58" t="n"/>
      <c r="G44" s="60" t="n"/>
      <c r="H44" s="60" t="n"/>
      <c r="I44" s="61" t="n"/>
      <c r="J44" s="61" t="n"/>
      <c r="K44" s="61" t="n"/>
      <c r="L44" s="61" t="n"/>
      <c r="M44" s="61" t="n"/>
      <c r="N44" s="58" t="n"/>
      <c r="O44" s="59" t="n"/>
      <c r="P44" s="62" t="n"/>
      <c r="Q44" s="63" t="n"/>
      <c r="R44" s="61">
        <f>IF($P44&gt;0,CHOOSE(MATCH($B$4,'Служебный лист'!$A$4:$A$8,0),I44,J44,K44,L44,M44),"")</f>
        <v/>
      </c>
      <c r="S44" s="61">
        <f>IFERROR($P44*$R44,0)</f>
        <v/>
      </c>
      <c r="T44" s="61">
        <f>$S44*1.22</f>
        <v/>
      </c>
      <c r="U44" s="64">
        <f>IF($P44&gt;0,COUNTIF($P$11:P44,"&gt;0"),"")</f>
        <v/>
      </c>
    </row>
    <row r="45" ht="15" customHeight="1" s="49">
      <c r="A45" s="58" t="n"/>
      <c r="B45" s="58" t="n"/>
      <c r="C45" s="59" t="n"/>
      <c r="D45" s="59" t="n"/>
      <c r="E45" s="59" t="n"/>
      <c r="F45" s="58" t="n"/>
      <c r="G45" s="60" t="n"/>
      <c r="H45" s="60" t="n"/>
      <c r="I45" s="61" t="n"/>
      <c r="J45" s="61" t="n"/>
      <c r="K45" s="61" t="n"/>
      <c r="L45" s="61" t="n"/>
      <c r="M45" s="61" t="n"/>
      <c r="N45" s="58" t="n"/>
      <c r="O45" s="59" t="n"/>
      <c r="P45" s="62" t="n"/>
      <c r="Q45" s="63" t="n"/>
      <c r="R45" s="61">
        <f>IF($P45&gt;0,CHOOSE(MATCH($B$4,'Служебный лист'!$A$4:$A$8,0),I45,J45,K45,L45,M45),"")</f>
        <v/>
      </c>
      <c r="S45" s="61">
        <f>IFERROR($P45*$R45,0)</f>
        <v/>
      </c>
      <c r="T45" s="61">
        <f>$S45*1.22</f>
        <v/>
      </c>
      <c r="U45" s="64">
        <f>IF($P45&gt;0,COUNTIF($P$11:P45,"&gt;0"),"")</f>
        <v/>
      </c>
    </row>
    <row r="46" ht="15" customHeight="1" s="49">
      <c r="A46" s="58" t="n"/>
      <c r="B46" s="58" t="n"/>
      <c r="C46" s="59" t="n"/>
      <c r="D46" s="59" t="n"/>
      <c r="E46" s="59" t="n"/>
      <c r="F46" s="58" t="n"/>
      <c r="G46" s="60" t="n"/>
      <c r="H46" s="60" t="n"/>
      <c r="I46" s="61" t="n"/>
      <c r="J46" s="61" t="n"/>
      <c r="K46" s="61" t="n"/>
      <c r="L46" s="61" t="n"/>
      <c r="M46" s="61" t="n"/>
      <c r="N46" s="58" t="n"/>
      <c r="O46" s="59" t="n"/>
      <c r="P46" s="62" t="n"/>
      <c r="Q46" s="63" t="n"/>
      <c r="R46" s="61">
        <f>IF($P46&gt;0,CHOOSE(MATCH($B$4,'Служебный лист'!$A$4:$A$8,0),I46,J46,K46,L46,M46),"")</f>
        <v/>
      </c>
      <c r="S46" s="61">
        <f>IFERROR($P46*$R46,0)</f>
        <v/>
      </c>
      <c r="T46" s="61">
        <f>$S46*1.22</f>
        <v/>
      </c>
      <c r="U46" s="64">
        <f>IF($P46&gt;0,COUNTIF($P$11:P46,"&gt;0"),"")</f>
        <v/>
      </c>
    </row>
    <row r="47" ht="15" customHeight="1" s="49">
      <c r="A47" s="58" t="n"/>
      <c r="B47" s="58" t="n"/>
      <c r="C47" s="59" t="n"/>
      <c r="D47" s="59" t="n"/>
      <c r="E47" s="59" t="n"/>
      <c r="F47" s="58" t="n"/>
      <c r="G47" s="60" t="n"/>
      <c r="H47" s="60" t="n"/>
      <c r="I47" s="61" t="n"/>
      <c r="J47" s="61" t="n"/>
      <c r="K47" s="61" t="n"/>
      <c r="L47" s="61" t="n"/>
      <c r="M47" s="61" t="n"/>
      <c r="N47" s="58" t="n"/>
      <c r="O47" s="59" t="n"/>
      <c r="P47" s="62" t="n"/>
      <c r="Q47" s="63" t="n"/>
      <c r="R47" s="61">
        <f>IF($P47&gt;0,CHOOSE(MATCH($B$4,'Служебный лист'!$A$4:$A$8,0),I47,J47,K47,L47,M47),"")</f>
        <v/>
      </c>
      <c r="S47" s="61">
        <f>IFERROR($P47*$R47,0)</f>
        <v/>
      </c>
      <c r="T47" s="61">
        <f>$S47*1.22</f>
        <v/>
      </c>
      <c r="U47" s="64">
        <f>IF($P47&gt;0,COUNTIF($P$11:P47,"&gt;0"),"")</f>
        <v/>
      </c>
    </row>
    <row r="48" ht="15" customHeight="1" s="49">
      <c r="A48" s="58" t="n"/>
      <c r="B48" s="58" t="n"/>
      <c r="C48" s="59" t="n"/>
      <c r="D48" s="59" t="n"/>
      <c r="E48" s="59" t="n"/>
      <c r="F48" s="58" t="n"/>
      <c r="G48" s="60" t="n"/>
      <c r="H48" s="60" t="n"/>
      <c r="I48" s="61" t="n"/>
      <c r="J48" s="61" t="n"/>
      <c r="K48" s="61" t="n"/>
      <c r="L48" s="61" t="n"/>
      <c r="M48" s="61" t="n"/>
      <c r="N48" s="58" t="n"/>
      <c r="O48" s="59" t="n"/>
      <c r="P48" s="62" t="n"/>
      <c r="Q48" s="63" t="n"/>
      <c r="R48" s="61">
        <f>IF($P48&gt;0,CHOOSE(MATCH($B$4,'Служебный лист'!$A$4:$A$8,0),I48,J48,K48,L48,M48),"")</f>
        <v/>
      </c>
      <c r="S48" s="61">
        <f>IFERROR($P48*$R48,0)</f>
        <v/>
      </c>
      <c r="T48" s="61">
        <f>$S48*1.22</f>
        <v/>
      </c>
      <c r="U48" s="64">
        <f>IF($P48&gt;0,COUNTIF($P$11:P48,"&gt;0"),"")</f>
        <v/>
      </c>
    </row>
    <row r="49" ht="15" customHeight="1" s="49">
      <c r="A49" s="58" t="n"/>
      <c r="B49" s="58" t="n"/>
      <c r="C49" s="59" t="n"/>
      <c r="D49" s="59" t="n"/>
      <c r="E49" s="59" t="n"/>
      <c r="F49" s="58" t="n"/>
      <c r="G49" s="60" t="n"/>
      <c r="H49" s="60" t="n"/>
      <c r="I49" s="61" t="n"/>
      <c r="J49" s="61" t="n"/>
      <c r="K49" s="61" t="n"/>
      <c r="L49" s="61" t="n"/>
      <c r="M49" s="61" t="n"/>
      <c r="N49" s="58" t="n"/>
      <c r="O49" s="59" t="n"/>
      <c r="P49" s="62" t="n"/>
      <c r="Q49" s="63" t="n"/>
      <c r="R49" s="61">
        <f>IF($P49&gt;0,CHOOSE(MATCH($B$4,'Служебный лист'!$A$4:$A$8,0),I49,J49,K49,L49,M49),"")</f>
        <v/>
      </c>
      <c r="S49" s="61">
        <f>IFERROR($P49*$R49,0)</f>
        <v/>
      </c>
      <c r="T49" s="61">
        <f>$S49*1.22</f>
        <v/>
      </c>
      <c r="U49" s="64">
        <f>IF($P49&gt;0,COUNTIF($P$11:P49,"&gt;0"),"")</f>
        <v/>
      </c>
    </row>
    <row r="50" ht="15" customHeight="1" s="49">
      <c r="A50" s="58" t="n"/>
      <c r="B50" s="58" t="n"/>
      <c r="C50" s="59" t="n"/>
      <c r="D50" s="59" t="n"/>
      <c r="E50" s="59" t="n"/>
      <c r="F50" s="58" t="n"/>
      <c r="G50" s="60" t="n"/>
      <c r="H50" s="60" t="n"/>
      <c r="I50" s="61" t="n"/>
      <c r="J50" s="61" t="n"/>
      <c r="K50" s="61" t="n"/>
      <c r="L50" s="61" t="n"/>
      <c r="M50" s="61" t="n"/>
      <c r="N50" s="58" t="n"/>
      <c r="O50" s="59" t="n"/>
      <c r="P50" s="62" t="n"/>
      <c r="Q50" s="63" t="n"/>
      <c r="R50" s="61">
        <f>IF($P50&gt;0,CHOOSE(MATCH($B$4,'Служебный лист'!$A$4:$A$8,0),I50,J50,K50,L50,M50),"")</f>
        <v/>
      </c>
      <c r="S50" s="61">
        <f>IFERROR($P50*$R50,0)</f>
        <v/>
      </c>
      <c r="T50" s="61">
        <f>$S50*1.22</f>
        <v/>
      </c>
      <c r="U50" s="64">
        <f>IF($P50&gt;0,COUNTIF($P$11:P50,"&gt;0"),"")</f>
        <v/>
      </c>
    </row>
    <row r="51" ht="15" customHeight="1" s="49">
      <c r="A51" s="58" t="n"/>
      <c r="B51" s="58" t="n"/>
      <c r="C51" s="59" t="n"/>
      <c r="D51" s="59" t="n"/>
      <c r="E51" s="59" t="n"/>
      <c r="F51" s="58" t="n"/>
      <c r="G51" s="60" t="n"/>
      <c r="H51" s="60" t="n"/>
      <c r="I51" s="61" t="n"/>
      <c r="J51" s="61" t="n"/>
      <c r="K51" s="61" t="n"/>
      <c r="L51" s="61" t="n"/>
      <c r="M51" s="61" t="n"/>
      <c r="N51" s="58" t="n"/>
      <c r="O51" s="59" t="n"/>
      <c r="P51" s="62" t="n"/>
      <c r="Q51" s="63" t="n"/>
      <c r="R51" s="61">
        <f>IF($P51&gt;0,CHOOSE(MATCH($B$4,'Служебный лист'!$A$4:$A$8,0),I51,J51,K51,L51,M51),"")</f>
        <v/>
      </c>
      <c r="S51" s="61">
        <f>IFERROR($P51*$R51,0)</f>
        <v/>
      </c>
      <c r="T51" s="61">
        <f>$S51*1.22</f>
        <v/>
      </c>
      <c r="U51" s="64">
        <f>IF($P51&gt;0,COUNTIF($P$11:P51,"&gt;0"),"")</f>
        <v/>
      </c>
    </row>
    <row r="52" ht="15" customHeight="1" s="49">
      <c r="A52" s="58" t="n"/>
      <c r="B52" s="58" t="n"/>
      <c r="C52" s="59" t="n"/>
      <c r="D52" s="59" t="n"/>
      <c r="E52" s="59" t="n"/>
      <c r="F52" s="58" t="n"/>
      <c r="G52" s="60" t="n"/>
      <c r="H52" s="60" t="n"/>
      <c r="I52" s="61" t="n"/>
      <c r="J52" s="61" t="n"/>
      <c r="K52" s="61" t="n"/>
      <c r="L52" s="61" t="n"/>
      <c r="M52" s="61" t="n"/>
      <c r="N52" s="58" t="n"/>
      <c r="O52" s="59" t="n"/>
      <c r="P52" s="62" t="n"/>
      <c r="Q52" s="63" t="n"/>
      <c r="R52" s="61">
        <f>IF($P52&gt;0,CHOOSE(MATCH($B$4,'Служебный лист'!$A$4:$A$8,0),I52,J52,K52,L52,M52),"")</f>
        <v/>
      </c>
      <c r="S52" s="61">
        <f>IFERROR($P52*$R52,0)</f>
        <v/>
      </c>
      <c r="T52" s="61">
        <f>$S52*1.22</f>
        <v/>
      </c>
      <c r="U52" s="64">
        <f>IF($P52&gt;0,COUNTIF($P$11:P52,"&gt;0"),"")</f>
        <v/>
      </c>
    </row>
    <row r="53" ht="15" customHeight="1" s="49">
      <c r="A53" s="58" t="n"/>
      <c r="B53" s="58" t="n"/>
      <c r="C53" s="59" t="n"/>
      <c r="D53" s="59" t="n"/>
      <c r="E53" s="59" t="n"/>
      <c r="F53" s="58" t="n"/>
      <c r="G53" s="60" t="n"/>
      <c r="H53" s="60" t="n"/>
      <c r="I53" s="61" t="n"/>
      <c r="J53" s="61" t="n"/>
      <c r="K53" s="61" t="n"/>
      <c r="L53" s="61" t="n"/>
      <c r="M53" s="61" t="n"/>
      <c r="N53" s="58" t="n"/>
      <c r="O53" s="59" t="n"/>
      <c r="P53" s="62" t="n"/>
      <c r="Q53" s="63" t="n"/>
      <c r="R53" s="61">
        <f>IF($P53&gt;0,CHOOSE(MATCH($B$4,'Служебный лист'!$A$4:$A$8,0),I53,J53,K53,L53,M53),"")</f>
        <v/>
      </c>
      <c r="S53" s="61">
        <f>IFERROR($P53*$R53,0)</f>
        <v/>
      </c>
      <c r="T53" s="61">
        <f>$S53*1.22</f>
        <v/>
      </c>
      <c r="U53" s="64">
        <f>IF($P53&gt;0,COUNTIF($P$11:P53,"&gt;0"),"")</f>
        <v/>
      </c>
    </row>
    <row r="54" ht="15" customHeight="1" s="49">
      <c r="A54" s="58" t="n"/>
      <c r="B54" s="58" t="n"/>
      <c r="C54" s="59" t="n"/>
      <c r="D54" s="59" t="n"/>
      <c r="E54" s="59" t="n"/>
      <c r="F54" s="58" t="n"/>
      <c r="G54" s="60" t="n"/>
      <c r="H54" s="60" t="n"/>
      <c r="I54" s="61" t="n"/>
      <c r="J54" s="61" t="n"/>
      <c r="K54" s="61" t="n"/>
      <c r="L54" s="61" t="n"/>
      <c r="M54" s="61" t="n"/>
      <c r="N54" s="58" t="n"/>
      <c r="O54" s="59" t="n"/>
      <c r="P54" s="62" t="n"/>
      <c r="Q54" s="63" t="n"/>
      <c r="R54" s="61">
        <f>IF($P54&gt;0,CHOOSE(MATCH($B$4,'Служебный лист'!$A$4:$A$8,0),I54,J54,K54,L54,M54),"")</f>
        <v/>
      </c>
      <c r="S54" s="61">
        <f>IFERROR($P54*$R54,0)</f>
        <v/>
      </c>
      <c r="T54" s="61">
        <f>$S54*1.22</f>
        <v/>
      </c>
      <c r="U54" s="64">
        <f>IF($P54&gt;0,COUNTIF($P$11:P54,"&gt;0"),"")</f>
        <v/>
      </c>
    </row>
    <row r="55" ht="15" customHeight="1" s="49">
      <c r="A55" s="58" t="n"/>
      <c r="B55" s="58" t="n"/>
      <c r="C55" s="59" t="n"/>
      <c r="D55" s="59" t="n"/>
      <c r="E55" s="59" t="n"/>
      <c r="F55" s="58" t="n"/>
      <c r="G55" s="60" t="n"/>
      <c r="H55" s="60" t="n"/>
      <c r="I55" s="61" t="n"/>
      <c r="J55" s="61" t="n"/>
      <c r="K55" s="61" t="n"/>
      <c r="L55" s="61" t="n"/>
      <c r="M55" s="61" t="n"/>
      <c r="N55" s="58" t="n"/>
      <c r="O55" s="59" t="n"/>
      <c r="P55" s="62" t="n"/>
      <c r="Q55" s="63" t="n"/>
      <c r="R55" s="61">
        <f>IF($P55&gt;0,CHOOSE(MATCH($B$4,'Служебный лист'!$A$4:$A$8,0),I55,J55,K55,L55,M55),"")</f>
        <v/>
      </c>
      <c r="S55" s="61">
        <f>IFERROR($P55*$R55,0)</f>
        <v/>
      </c>
      <c r="T55" s="61">
        <f>$S55*1.22</f>
        <v/>
      </c>
      <c r="U55" s="64">
        <f>IF($P55&gt;0,COUNTIF($P$11:P55,"&gt;0"),"")</f>
        <v/>
      </c>
    </row>
    <row r="56" ht="15" customHeight="1" s="49">
      <c r="A56" s="58" t="n"/>
      <c r="B56" s="58" t="n"/>
      <c r="C56" s="59" t="n"/>
      <c r="D56" s="59" t="n"/>
      <c r="E56" s="59" t="n"/>
      <c r="F56" s="58" t="n"/>
      <c r="G56" s="60" t="n"/>
      <c r="H56" s="60" t="n"/>
      <c r="I56" s="61" t="n"/>
      <c r="J56" s="61" t="n"/>
      <c r="K56" s="61" t="n"/>
      <c r="L56" s="61" t="n"/>
      <c r="M56" s="61" t="n"/>
      <c r="N56" s="58" t="n"/>
      <c r="O56" s="59" t="n"/>
      <c r="P56" s="62" t="n"/>
      <c r="Q56" s="63" t="n"/>
      <c r="R56" s="61">
        <f>IF($P56&gt;0,CHOOSE(MATCH($B$4,'Служебный лист'!$A$4:$A$8,0),I56,J56,K56,L56,M56),"")</f>
        <v/>
      </c>
      <c r="S56" s="61">
        <f>IFERROR($P56*$R56,0)</f>
        <v/>
      </c>
      <c r="T56" s="61">
        <f>$S56*1.22</f>
        <v/>
      </c>
      <c r="U56" s="64">
        <f>IF($P56&gt;0,COUNTIF($P$11:P56,"&gt;0"),"")</f>
        <v/>
      </c>
    </row>
    <row r="57" ht="15" customHeight="1" s="49">
      <c r="A57" s="58" t="n"/>
      <c r="B57" s="58" t="n"/>
      <c r="C57" s="59" t="n"/>
      <c r="D57" s="59" t="n"/>
      <c r="E57" s="59" t="n"/>
      <c r="F57" s="58" t="n"/>
      <c r="G57" s="60" t="n"/>
      <c r="H57" s="60" t="n"/>
      <c r="I57" s="61" t="n"/>
      <c r="J57" s="61" t="n"/>
      <c r="K57" s="61" t="n"/>
      <c r="L57" s="61" t="n"/>
      <c r="M57" s="61" t="n"/>
      <c r="N57" s="58" t="n"/>
      <c r="O57" s="59" t="n"/>
      <c r="P57" s="62" t="n"/>
      <c r="Q57" s="63" t="n"/>
      <c r="R57" s="61">
        <f>IF($P57&gt;0,CHOOSE(MATCH($B$4,'Служебный лист'!$A$4:$A$8,0),I57,J57,K57,L57,M57),"")</f>
        <v/>
      </c>
      <c r="S57" s="61">
        <f>IFERROR($P57*$R57,0)</f>
        <v/>
      </c>
      <c r="T57" s="61">
        <f>$S57*1.22</f>
        <v/>
      </c>
      <c r="U57" s="64">
        <f>IF($P57&gt;0,COUNTIF($P$11:P57,"&gt;0"),"")</f>
        <v/>
      </c>
    </row>
    <row r="58" ht="15" customHeight="1" s="49">
      <c r="A58" s="58" t="n"/>
      <c r="B58" s="58" t="n"/>
      <c r="C58" s="59" t="n"/>
      <c r="D58" s="59" t="n"/>
      <c r="E58" s="59" t="n"/>
      <c r="F58" s="58" t="n"/>
      <c r="G58" s="60" t="n"/>
      <c r="H58" s="60" t="n"/>
      <c r="I58" s="61" t="n"/>
      <c r="J58" s="61" t="n"/>
      <c r="K58" s="61" t="n"/>
      <c r="L58" s="61" t="n"/>
      <c r="M58" s="61" t="n"/>
      <c r="N58" s="58" t="n"/>
      <c r="O58" s="59" t="n"/>
      <c r="P58" s="62" t="n"/>
      <c r="Q58" s="63" t="n"/>
      <c r="R58" s="61">
        <f>IF($P58&gt;0,CHOOSE(MATCH($B$4,'Служебный лист'!$A$4:$A$8,0),I58,J58,K58,L58,M58),"")</f>
        <v/>
      </c>
      <c r="S58" s="61">
        <f>IFERROR($P58*$R58,0)</f>
        <v/>
      </c>
      <c r="T58" s="61">
        <f>$S58*1.22</f>
        <v/>
      </c>
      <c r="U58" s="64">
        <f>IF($P58&gt;0,COUNTIF($P$11:P58,"&gt;0"),"")</f>
        <v/>
      </c>
    </row>
    <row r="59" ht="15" customHeight="1" s="49">
      <c r="A59" s="58" t="n"/>
      <c r="B59" s="58" t="n"/>
      <c r="C59" s="59" t="n"/>
      <c r="D59" s="59" t="n"/>
      <c r="E59" s="59" t="n"/>
      <c r="F59" s="58" t="n"/>
      <c r="G59" s="60" t="n"/>
      <c r="H59" s="60" t="n"/>
      <c r="I59" s="61" t="n"/>
      <c r="J59" s="61" t="n"/>
      <c r="K59" s="61" t="n"/>
      <c r="L59" s="61" t="n"/>
      <c r="M59" s="61" t="n"/>
      <c r="N59" s="58" t="n"/>
      <c r="O59" s="59" t="n"/>
      <c r="P59" s="62" t="n"/>
      <c r="Q59" s="63" t="n"/>
      <c r="R59" s="61">
        <f>IF($P59&gt;0,CHOOSE(MATCH($B$4,'Служебный лист'!$A$4:$A$8,0),I59,J59,K59,L59,M59),"")</f>
        <v/>
      </c>
      <c r="S59" s="61">
        <f>IFERROR($P59*$R59,0)</f>
        <v/>
      </c>
      <c r="T59" s="61">
        <f>$S59*1.22</f>
        <v/>
      </c>
      <c r="U59" s="64">
        <f>IF($P59&gt;0,COUNTIF($P$11:P59,"&gt;0"),"")</f>
        <v/>
      </c>
    </row>
    <row r="60" ht="15" customHeight="1" s="49">
      <c r="A60" s="58" t="n"/>
      <c r="B60" s="58" t="n"/>
      <c r="C60" s="59" t="n"/>
      <c r="D60" s="59" t="n"/>
      <c r="E60" s="59" t="n"/>
      <c r="F60" s="58" t="n"/>
      <c r="G60" s="60" t="n"/>
      <c r="H60" s="60" t="n"/>
      <c r="I60" s="61" t="n"/>
      <c r="J60" s="61" t="n"/>
      <c r="K60" s="61" t="n"/>
      <c r="L60" s="61" t="n"/>
      <c r="M60" s="61" t="n"/>
      <c r="N60" s="58" t="n"/>
      <c r="O60" s="59" t="n"/>
      <c r="P60" s="62" t="n"/>
      <c r="Q60" s="63" t="n"/>
      <c r="R60" s="61">
        <f>IF($P60&gt;0,CHOOSE(MATCH($B$4,'Служебный лист'!$A$4:$A$8,0),I60,J60,K60,L60,M60),"")</f>
        <v/>
      </c>
      <c r="S60" s="61">
        <f>IFERROR($P60*$R60,0)</f>
        <v/>
      </c>
      <c r="T60" s="61">
        <f>$S60*1.22</f>
        <v/>
      </c>
      <c r="U60" s="64">
        <f>IF($P60&gt;0,COUNTIF($P$11:P60,"&gt;0"),"")</f>
        <v/>
      </c>
    </row>
    <row r="61" ht="15" customHeight="1" s="49">
      <c r="A61" s="58" t="n"/>
      <c r="B61" s="58" t="n"/>
      <c r="C61" s="59" t="n"/>
      <c r="D61" s="59" t="n"/>
      <c r="E61" s="59" t="n"/>
      <c r="F61" s="58" t="n"/>
      <c r="G61" s="60" t="n"/>
      <c r="H61" s="60" t="n"/>
      <c r="I61" s="61" t="n"/>
      <c r="J61" s="61" t="n"/>
      <c r="K61" s="61" t="n"/>
      <c r="L61" s="61" t="n"/>
      <c r="M61" s="61" t="n"/>
      <c r="N61" s="58" t="n"/>
      <c r="O61" s="59" t="n"/>
      <c r="P61" s="62" t="n"/>
      <c r="Q61" s="63" t="n"/>
      <c r="R61" s="61">
        <f>IF($P61&gt;0,CHOOSE(MATCH($B$4,'Служебный лист'!$A$4:$A$8,0),I61,J61,K61,L61,M61),"")</f>
        <v/>
      </c>
      <c r="S61" s="61">
        <f>IFERROR($P61*$R61,0)</f>
        <v/>
      </c>
      <c r="T61" s="61">
        <f>$S61*1.22</f>
        <v/>
      </c>
      <c r="U61" s="64">
        <f>IF($P61&gt;0,COUNTIF($P$11:P61,"&gt;0"),"")</f>
        <v/>
      </c>
    </row>
    <row r="62" ht="15" customHeight="1" s="49">
      <c r="A62" s="58" t="n"/>
      <c r="B62" s="58" t="n"/>
      <c r="C62" s="59" t="n"/>
      <c r="D62" s="59" t="n"/>
      <c r="E62" s="59" t="n"/>
      <c r="F62" s="58" t="n"/>
      <c r="G62" s="60" t="n"/>
      <c r="H62" s="60" t="n"/>
      <c r="I62" s="61" t="n"/>
      <c r="J62" s="61" t="n"/>
      <c r="K62" s="61" t="n"/>
      <c r="L62" s="61" t="n"/>
      <c r="M62" s="61" t="n"/>
      <c r="N62" s="58" t="n"/>
      <c r="O62" s="59" t="n"/>
      <c r="P62" s="62" t="n"/>
      <c r="Q62" s="63" t="n"/>
      <c r="R62" s="61">
        <f>IF($P62&gt;0,CHOOSE(MATCH($B$4,'Служебный лист'!$A$4:$A$8,0),I62,J62,K62,L62,M62),"")</f>
        <v/>
      </c>
      <c r="S62" s="61">
        <f>IFERROR($P62*$R62,0)</f>
        <v/>
      </c>
      <c r="T62" s="61">
        <f>$S62*1.22</f>
        <v/>
      </c>
      <c r="U62" s="64">
        <f>IF($P62&gt;0,COUNTIF($P$11:P62,"&gt;0"),"")</f>
        <v/>
      </c>
    </row>
    <row r="63" ht="15" customHeight="1" s="49">
      <c r="A63" s="58" t="n"/>
      <c r="B63" s="58" t="n"/>
      <c r="C63" s="59" t="n"/>
      <c r="D63" s="59" t="n"/>
      <c r="E63" s="59" t="n"/>
      <c r="F63" s="58" t="n"/>
      <c r="G63" s="60" t="n"/>
      <c r="H63" s="60" t="n"/>
      <c r="I63" s="61" t="n"/>
      <c r="J63" s="61" t="n"/>
      <c r="K63" s="61" t="n"/>
      <c r="L63" s="61" t="n"/>
      <c r="M63" s="61" t="n"/>
      <c r="N63" s="58" t="n"/>
      <c r="O63" s="59" t="n"/>
      <c r="P63" s="62" t="n"/>
      <c r="Q63" s="63" t="n"/>
      <c r="R63" s="61">
        <f>IF($P63&gt;0,CHOOSE(MATCH($B$4,'Служебный лист'!$A$4:$A$8,0),I63,J63,K63,L63,M63),"")</f>
        <v/>
      </c>
      <c r="S63" s="61">
        <f>IFERROR($P63*$R63,0)</f>
        <v/>
      </c>
      <c r="T63" s="61">
        <f>$S63*1.22</f>
        <v/>
      </c>
      <c r="U63" s="64">
        <f>IF($P63&gt;0,COUNTIF($P$11:P63,"&gt;0"),"")</f>
        <v/>
      </c>
    </row>
    <row r="64" ht="15" customHeight="1" s="49">
      <c r="A64" s="58" t="n"/>
      <c r="B64" s="58" t="n"/>
      <c r="C64" s="59" t="n"/>
      <c r="D64" s="59" t="n"/>
      <c r="E64" s="59" t="n"/>
      <c r="F64" s="58" t="n"/>
      <c r="G64" s="60" t="n"/>
      <c r="H64" s="60" t="n"/>
      <c r="I64" s="61" t="n"/>
      <c r="J64" s="61" t="n"/>
      <c r="K64" s="61" t="n"/>
      <c r="L64" s="61" t="n"/>
      <c r="M64" s="61" t="n"/>
      <c r="N64" s="58" t="n"/>
      <c r="O64" s="59" t="n"/>
      <c r="P64" s="62" t="n"/>
      <c r="Q64" s="63" t="n"/>
      <c r="R64" s="61">
        <f>IF($P64&gt;0,CHOOSE(MATCH($B$4,'Служебный лист'!$A$4:$A$8,0),I64,J64,K64,L64,M64),"")</f>
        <v/>
      </c>
      <c r="S64" s="61">
        <f>IFERROR($P64*$R64,0)</f>
        <v/>
      </c>
      <c r="T64" s="61">
        <f>$S64*1.22</f>
        <v/>
      </c>
      <c r="U64" s="64">
        <f>IF($P64&gt;0,COUNTIF($P$11:P64,"&gt;0"),"")</f>
        <v/>
      </c>
    </row>
    <row r="65" ht="15" customHeight="1" s="49">
      <c r="A65" s="58" t="n"/>
      <c r="B65" s="58" t="n"/>
      <c r="C65" s="59" t="n"/>
      <c r="D65" s="59" t="n"/>
      <c r="E65" s="59" t="n"/>
      <c r="F65" s="58" t="n"/>
      <c r="G65" s="60" t="n"/>
      <c r="H65" s="60" t="n"/>
      <c r="I65" s="61" t="n"/>
      <c r="J65" s="61" t="n"/>
      <c r="K65" s="61" t="n"/>
      <c r="L65" s="61" t="n"/>
      <c r="M65" s="61" t="n"/>
      <c r="N65" s="58" t="n"/>
      <c r="O65" s="59" t="n"/>
      <c r="P65" s="62" t="n"/>
      <c r="Q65" s="63" t="n"/>
      <c r="R65" s="61">
        <f>IF($P65&gt;0,CHOOSE(MATCH($B$4,'Служебный лист'!$A$4:$A$8,0),I65,J65,K65,L65,M65),"")</f>
        <v/>
      </c>
      <c r="S65" s="61">
        <f>IFERROR($P65*$R65,0)</f>
        <v/>
      </c>
      <c r="T65" s="61">
        <f>$S65*1.22</f>
        <v/>
      </c>
      <c r="U65" s="64">
        <f>IF($P65&gt;0,COUNTIF($P$11:P65,"&gt;0"),"")</f>
        <v/>
      </c>
    </row>
    <row r="66" ht="15" customHeight="1" s="49">
      <c r="A66" s="58" t="n"/>
      <c r="B66" s="58" t="n"/>
      <c r="C66" s="59" t="n"/>
      <c r="D66" s="59" t="n"/>
      <c r="E66" s="59" t="n"/>
      <c r="F66" s="58" t="n"/>
      <c r="G66" s="60" t="n"/>
      <c r="H66" s="60" t="n"/>
      <c r="I66" s="61" t="n"/>
      <c r="J66" s="61" t="n"/>
      <c r="K66" s="61" t="n"/>
      <c r="L66" s="61" t="n"/>
      <c r="M66" s="61" t="n"/>
      <c r="N66" s="58" t="n"/>
      <c r="O66" s="59" t="n"/>
      <c r="P66" s="62" t="n"/>
      <c r="Q66" s="63" t="n"/>
      <c r="R66" s="61">
        <f>IF($P66&gt;0,CHOOSE(MATCH($B$4,'Служебный лист'!$A$4:$A$8,0),I66,J66,K66,L66,M66),"")</f>
        <v/>
      </c>
      <c r="S66" s="61">
        <f>IFERROR($P66*$R66,0)</f>
        <v/>
      </c>
      <c r="T66" s="61">
        <f>$S66*1.22</f>
        <v/>
      </c>
      <c r="U66" s="64">
        <f>IF($P66&gt;0,COUNTIF($P$11:P66,"&gt;0"),"")</f>
        <v/>
      </c>
    </row>
    <row r="67" ht="15" customHeight="1" s="49">
      <c r="A67" s="58" t="n"/>
      <c r="B67" s="58" t="n"/>
      <c r="C67" s="59" t="n"/>
      <c r="D67" s="59" t="n"/>
      <c r="E67" s="59" t="n"/>
      <c r="F67" s="58" t="n"/>
      <c r="G67" s="60" t="n"/>
      <c r="H67" s="60" t="n"/>
      <c r="I67" s="61" t="n"/>
      <c r="J67" s="61" t="n"/>
      <c r="K67" s="61" t="n"/>
      <c r="L67" s="61" t="n"/>
      <c r="M67" s="61" t="n"/>
      <c r="N67" s="58" t="n"/>
      <c r="O67" s="59" t="n"/>
      <c r="P67" s="62" t="n"/>
      <c r="Q67" s="63" t="n"/>
      <c r="R67" s="61">
        <f>IF($P67&gt;0,CHOOSE(MATCH($B$4,'Служебный лист'!$A$4:$A$8,0),I67,J67,K67,L67,M67),"")</f>
        <v/>
      </c>
      <c r="S67" s="61">
        <f>IFERROR($P67*$R67,0)</f>
        <v/>
      </c>
      <c r="T67" s="61">
        <f>$S67*1.22</f>
        <v/>
      </c>
      <c r="U67" s="64">
        <f>IF($P67&gt;0,COUNTIF($P$11:P67,"&gt;0"),"")</f>
        <v/>
      </c>
    </row>
    <row r="68" ht="15" customHeight="1" s="49">
      <c r="A68" s="58" t="n"/>
      <c r="B68" s="58" t="n"/>
      <c r="C68" s="59" t="n"/>
      <c r="D68" s="59" t="n"/>
      <c r="E68" s="59" t="n"/>
      <c r="F68" s="58" t="n"/>
      <c r="G68" s="60" t="n"/>
      <c r="H68" s="60" t="n"/>
      <c r="I68" s="61" t="n"/>
      <c r="J68" s="61" t="n"/>
      <c r="K68" s="61" t="n"/>
      <c r="L68" s="61" t="n"/>
      <c r="M68" s="61" t="n"/>
      <c r="N68" s="58" t="n"/>
      <c r="O68" s="59" t="n"/>
      <c r="P68" s="62" t="n"/>
      <c r="Q68" s="63" t="n"/>
      <c r="R68" s="61">
        <f>IF($P68&gt;0,CHOOSE(MATCH($B$4,'Служебный лист'!$A$4:$A$8,0),I68,J68,K68,L68,M68),"")</f>
        <v/>
      </c>
      <c r="S68" s="61">
        <f>IFERROR($P68*$R68,0)</f>
        <v/>
      </c>
      <c r="T68" s="61">
        <f>$S68*1.22</f>
        <v/>
      </c>
      <c r="U68" s="64">
        <f>IF($P68&gt;0,COUNTIF($P$11:P68,"&gt;0"),"")</f>
        <v/>
      </c>
    </row>
    <row r="69" ht="15" customHeight="1" s="49">
      <c r="A69" s="58" t="n"/>
      <c r="B69" s="58" t="n"/>
      <c r="C69" s="59" t="n"/>
      <c r="D69" s="59" t="n"/>
      <c r="E69" s="59" t="n"/>
      <c r="F69" s="58" t="n"/>
      <c r="G69" s="60" t="n"/>
      <c r="H69" s="60" t="n"/>
      <c r="I69" s="61" t="n"/>
      <c r="J69" s="61" t="n"/>
      <c r="K69" s="61" t="n"/>
      <c r="L69" s="61" t="n"/>
      <c r="M69" s="61" t="n"/>
      <c r="N69" s="58" t="n"/>
      <c r="O69" s="59" t="n"/>
      <c r="P69" s="62" t="n"/>
      <c r="Q69" s="63" t="n"/>
      <c r="R69" s="61">
        <f>IF($P69&gt;0,CHOOSE(MATCH($B$4,'Служебный лист'!$A$4:$A$8,0),I69,J69,K69,L69,M69),"")</f>
        <v/>
      </c>
      <c r="S69" s="61">
        <f>IFERROR($P69*$R69,0)</f>
        <v/>
      </c>
      <c r="T69" s="61">
        <f>$S69*1.22</f>
        <v/>
      </c>
      <c r="U69" s="64">
        <f>IF($P69&gt;0,COUNTIF($P$11:P69,"&gt;0"),"")</f>
        <v/>
      </c>
    </row>
    <row r="70" ht="15" customHeight="1" s="49">
      <c r="A70" s="58" t="n"/>
      <c r="B70" s="58" t="n"/>
      <c r="C70" s="59" t="n"/>
      <c r="D70" s="59" t="n"/>
      <c r="E70" s="59" t="n"/>
      <c r="F70" s="58" t="n"/>
      <c r="G70" s="60" t="n"/>
      <c r="H70" s="60" t="n"/>
      <c r="I70" s="61" t="n"/>
      <c r="J70" s="61" t="n"/>
      <c r="K70" s="61" t="n"/>
      <c r="L70" s="61" t="n"/>
      <c r="M70" s="61" t="n"/>
      <c r="N70" s="58" t="n"/>
      <c r="O70" s="59" t="n"/>
      <c r="P70" s="62" t="n"/>
      <c r="Q70" s="63" t="n"/>
      <c r="R70" s="61">
        <f>IF($P70&gt;0,CHOOSE(MATCH($B$4,'Служебный лист'!$A$4:$A$8,0),I70,J70,K70,L70,M70),"")</f>
        <v/>
      </c>
      <c r="S70" s="61">
        <f>IFERROR($P70*$R70,0)</f>
        <v/>
      </c>
      <c r="T70" s="61">
        <f>$S70*1.22</f>
        <v/>
      </c>
      <c r="U70" s="64">
        <f>IF($P70&gt;0,COUNTIF($P$11:P70,"&gt;0"),"")</f>
        <v/>
      </c>
    </row>
    <row r="71" ht="15" customHeight="1" s="49">
      <c r="A71" s="58" t="n"/>
      <c r="B71" s="58" t="n"/>
      <c r="C71" s="59" t="n"/>
      <c r="D71" s="59" t="n"/>
      <c r="E71" s="59" t="n"/>
      <c r="F71" s="58" t="n"/>
      <c r="G71" s="60" t="n"/>
      <c r="H71" s="60" t="n"/>
      <c r="I71" s="61" t="n"/>
      <c r="J71" s="61" t="n"/>
      <c r="K71" s="61" t="n"/>
      <c r="L71" s="61" t="n"/>
      <c r="M71" s="61" t="n"/>
      <c r="N71" s="58" t="n"/>
      <c r="O71" s="59" t="n"/>
      <c r="P71" s="62" t="n"/>
      <c r="Q71" s="63" t="n"/>
      <c r="R71" s="61">
        <f>IF($P71&gt;0,CHOOSE(MATCH($B$4,'Служебный лист'!$A$4:$A$8,0),I71,J71,K71,L71,M71),"")</f>
        <v/>
      </c>
      <c r="S71" s="61">
        <f>IFERROR($P71*$R71,0)</f>
        <v/>
      </c>
      <c r="T71" s="61">
        <f>$S71*1.22</f>
        <v/>
      </c>
      <c r="U71" s="64">
        <f>IF($P71&gt;0,COUNTIF($P$11:P71,"&gt;0"),"")</f>
        <v/>
      </c>
    </row>
    <row r="72" ht="15" customHeight="1" s="49">
      <c r="A72" s="58" t="n"/>
      <c r="B72" s="58" t="n"/>
      <c r="C72" s="59" t="n"/>
      <c r="D72" s="59" t="n"/>
      <c r="E72" s="59" t="n"/>
      <c r="F72" s="58" t="n"/>
      <c r="G72" s="60" t="n"/>
      <c r="H72" s="60" t="n"/>
      <c r="I72" s="61" t="n"/>
      <c r="J72" s="61" t="n"/>
      <c r="K72" s="61" t="n"/>
      <c r="L72" s="61" t="n"/>
      <c r="M72" s="61" t="n"/>
      <c r="N72" s="58" t="n"/>
      <c r="O72" s="59" t="n"/>
      <c r="P72" s="62" t="n"/>
      <c r="Q72" s="63" t="n"/>
      <c r="R72" s="61">
        <f>IF($P72&gt;0,CHOOSE(MATCH($B$4,'Служебный лист'!$A$4:$A$8,0),I72,J72,K72,L72,M72),"")</f>
        <v/>
      </c>
      <c r="S72" s="61">
        <f>IFERROR($P72*$R72,0)</f>
        <v/>
      </c>
      <c r="T72" s="61">
        <f>$S72*1.22</f>
        <v/>
      </c>
      <c r="U72" s="64">
        <f>IF($P72&gt;0,COUNTIF($P$11:P72,"&gt;0"),"")</f>
        <v/>
      </c>
    </row>
    <row r="73" ht="15" customHeight="1" s="49">
      <c r="A73" s="58" t="n"/>
      <c r="B73" s="58" t="n"/>
      <c r="C73" s="59" t="n"/>
      <c r="D73" s="59" t="n"/>
      <c r="E73" s="59" t="n"/>
      <c r="F73" s="58" t="n"/>
      <c r="G73" s="60" t="n"/>
      <c r="H73" s="60" t="n"/>
      <c r="I73" s="61" t="n"/>
      <c r="J73" s="61" t="n"/>
      <c r="K73" s="61" t="n"/>
      <c r="L73" s="61" t="n"/>
      <c r="M73" s="61" t="n"/>
      <c r="N73" s="58" t="n"/>
      <c r="O73" s="59" t="n"/>
      <c r="P73" s="62" t="n"/>
      <c r="Q73" s="63" t="n"/>
      <c r="R73" s="61">
        <f>IF($P73&gt;0,CHOOSE(MATCH($B$4,'Служебный лист'!$A$4:$A$8,0),I73,J73,K73,L73,M73),"")</f>
        <v/>
      </c>
      <c r="S73" s="61">
        <f>IFERROR($P73*$R73,0)</f>
        <v/>
      </c>
      <c r="T73" s="61">
        <f>$S73*1.22</f>
        <v/>
      </c>
      <c r="U73" s="64">
        <f>IF($P73&gt;0,COUNTIF($P$11:P73,"&gt;0"),"")</f>
        <v/>
      </c>
    </row>
    <row r="74" ht="15" customHeight="1" s="49">
      <c r="A74" s="58" t="n"/>
      <c r="B74" s="58" t="n"/>
      <c r="C74" s="59" t="n"/>
      <c r="D74" s="59" t="n"/>
      <c r="E74" s="59" t="n"/>
      <c r="F74" s="58" t="n"/>
      <c r="G74" s="60" t="n"/>
      <c r="H74" s="60" t="n"/>
      <c r="I74" s="61" t="n"/>
      <c r="J74" s="61" t="n"/>
      <c r="K74" s="61" t="n"/>
      <c r="L74" s="61" t="n"/>
      <c r="M74" s="61" t="n"/>
      <c r="N74" s="58" t="n"/>
      <c r="O74" s="59" t="n"/>
      <c r="P74" s="62" t="n"/>
      <c r="Q74" s="63" t="n"/>
      <c r="R74" s="61">
        <f>IF($P74&gt;0,CHOOSE(MATCH($B$4,'Служебный лист'!$A$4:$A$8,0),I74,J74,K74,L74,M74),"")</f>
        <v/>
      </c>
      <c r="S74" s="61">
        <f>IFERROR($P74*$R74,0)</f>
        <v/>
      </c>
      <c r="T74" s="61">
        <f>$S74*1.22</f>
        <v/>
      </c>
      <c r="U74" s="64">
        <f>IF($P74&gt;0,COUNTIF($P$11:P74,"&gt;0"),"")</f>
        <v/>
      </c>
    </row>
    <row r="75" ht="15" customHeight="1" s="49">
      <c r="A75" s="58" t="n"/>
      <c r="B75" s="58" t="n"/>
      <c r="C75" s="59" t="n"/>
      <c r="D75" s="59" t="n"/>
      <c r="E75" s="59" t="n"/>
      <c r="F75" s="58" t="n"/>
      <c r="G75" s="60" t="n"/>
      <c r="H75" s="60" t="n"/>
      <c r="I75" s="61" t="n"/>
      <c r="J75" s="61" t="n"/>
      <c r="K75" s="61" t="n"/>
      <c r="L75" s="61" t="n"/>
      <c r="M75" s="61" t="n"/>
      <c r="N75" s="58" t="n"/>
      <c r="O75" s="59" t="n"/>
      <c r="P75" s="62" t="n"/>
      <c r="Q75" s="63" t="n"/>
      <c r="R75" s="61">
        <f>IF($P75&gt;0,CHOOSE(MATCH($B$4,'Служебный лист'!$A$4:$A$8,0),I75,J75,K75,L75,M75),"")</f>
        <v/>
      </c>
      <c r="S75" s="61">
        <f>IFERROR($P75*$R75,0)</f>
        <v/>
      </c>
      <c r="T75" s="61">
        <f>$S75*1.22</f>
        <v/>
      </c>
      <c r="U75" s="64">
        <f>IF($P75&gt;0,COUNTIF($P$11:P75,"&gt;0"),"")</f>
        <v/>
      </c>
    </row>
    <row r="76" ht="15" customHeight="1" s="49">
      <c r="A76" s="58" t="n"/>
      <c r="B76" s="58" t="n"/>
      <c r="C76" s="59" t="n"/>
      <c r="D76" s="59" t="n"/>
      <c r="E76" s="59" t="n"/>
      <c r="F76" s="58" t="n"/>
      <c r="G76" s="60" t="n"/>
      <c r="H76" s="60" t="n"/>
      <c r="I76" s="61" t="n"/>
      <c r="J76" s="61" t="n"/>
      <c r="K76" s="61" t="n"/>
      <c r="L76" s="61" t="n"/>
      <c r="M76" s="61" t="n"/>
      <c r="N76" s="58" t="n"/>
      <c r="O76" s="59" t="n"/>
      <c r="P76" s="62" t="n"/>
      <c r="Q76" s="63" t="n"/>
      <c r="R76" s="61">
        <f>IF($P76&gt;0,CHOOSE(MATCH($B$4,'Служебный лист'!$A$4:$A$8,0),I76,J76,K76,L76,M76),"")</f>
        <v/>
      </c>
      <c r="S76" s="61">
        <f>IFERROR($P76*$R76,0)</f>
        <v/>
      </c>
      <c r="T76" s="61">
        <f>$S76*1.22</f>
        <v/>
      </c>
      <c r="U76" s="64">
        <f>IF($P76&gt;0,COUNTIF($P$11:P76,"&gt;0"),"")</f>
        <v/>
      </c>
    </row>
    <row r="77" ht="15" customHeight="1" s="49">
      <c r="A77" s="58" t="n"/>
      <c r="B77" s="58" t="n"/>
      <c r="C77" s="59" t="n"/>
      <c r="D77" s="59" t="n"/>
      <c r="E77" s="59" t="n"/>
      <c r="F77" s="58" t="n"/>
      <c r="G77" s="60" t="n"/>
      <c r="H77" s="60" t="n"/>
      <c r="I77" s="61" t="n"/>
      <c r="J77" s="61" t="n"/>
      <c r="K77" s="61" t="n"/>
      <c r="L77" s="61" t="n"/>
      <c r="M77" s="61" t="n"/>
      <c r="N77" s="58" t="n"/>
      <c r="O77" s="59" t="n"/>
      <c r="P77" s="62" t="n"/>
      <c r="Q77" s="63" t="n"/>
      <c r="R77" s="61">
        <f>IF($P77&gt;0,CHOOSE(MATCH($B$4,'Служебный лист'!$A$4:$A$8,0),I77,J77,K77,L77,M77),"")</f>
        <v/>
      </c>
      <c r="S77" s="61">
        <f>IFERROR($P77*$R77,0)</f>
        <v/>
      </c>
      <c r="T77" s="61">
        <f>$S77*1.22</f>
        <v/>
      </c>
      <c r="U77" s="64">
        <f>IF($P77&gt;0,COUNTIF($P$11:P77,"&gt;0"),"")</f>
        <v/>
      </c>
    </row>
    <row r="78" ht="15" customHeight="1" s="49">
      <c r="A78" s="58" t="n"/>
      <c r="B78" s="58" t="n"/>
      <c r="C78" s="59" t="n"/>
      <c r="D78" s="59" t="n"/>
      <c r="E78" s="59" t="n"/>
      <c r="F78" s="58" t="n"/>
      <c r="G78" s="60" t="n"/>
      <c r="H78" s="60" t="n"/>
      <c r="I78" s="61" t="n"/>
      <c r="J78" s="61" t="n"/>
      <c r="K78" s="61" t="n"/>
      <c r="L78" s="61" t="n"/>
      <c r="M78" s="61" t="n"/>
      <c r="N78" s="58" t="n"/>
      <c r="O78" s="59" t="n"/>
      <c r="P78" s="62" t="n"/>
      <c r="Q78" s="63" t="n"/>
      <c r="R78" s="61">
        <f>IF($P78&gt;0,CHOOSE(MATCH($B$4,'Служебный лист'!$A$4:$A$8,0),I78,J78,K78,L78,M78),"")</f>
        <v/>
      </c>
      <c r="S78" s="61">
        <f>IFERROR($P78*$R78,0)</f>
        <v/>
      </c>
      <c r="T78" s="61">
        <f>$S78*1.22</f>
        <v/>
      </c>
      <c r="U78" s="64">
        <f>IF($P78&gt;0,COUNTIF($P$11:P78,"&gt;0"),"")</f>
        <v/>
      </c>
    </row>
    <row r="79" ht="15" customHeight="1" s="49">
      <c r="A79" s="58" t="n"/>
      <c r="B79" s="58" t="n"/>
      <c r="C79" s="59" t="n"/>
      <c r="D79" s="59" t="n"/>
      <c r="E79" s="59" t="n"/>
      <c r="F79" s="58" t="n"/>
      <c r="G79" s="60" t="n"/>
      <c r="H79" s="60" t="n"/>
      <c r="I79" s="61" t="n"/>
      <c r="J79" s="61" t="n"/>
      <c r="K79" s="61" t="n"/>
      <c r="L79" s="61" t="n"/>
      <c r="M79" s="61" t="n"/>
      <c r="N79" s="58" t="n"/>
      <c r="O79" s="59" t="n"/>
      <c r="P79" s="62" t="n"/>
      <c r="Q79" s="63" t="n"/>
      <c r="R79" s="61">
        <f>IF($P79&gt;0,CHOOSE(MATCH($B$4,'Служебный лист'!$A$4:$A$8,0),I79,J79,K79,L79,M79),"")</f>
        <v/>
      </c>
      <c r="S79" s="61">
        <f>IFERROR($P79*$R79,0)</f>
        <v/>
      </c>
      <c r="T79" s="61">
        <f>$S79*1.22</f>
        <v/>
      </c>
      <c r="U79" s="64">
        <f>IF($P79&gt;0,COUNTIF($P$11:P79,"&gt;0"),"")</f>
        <v/>
      </c>
    </row>
    <row r="80" ht="15" customHeight="1" s="49">
      <c r="A80" s="58" t="n"/>
      <c r="B80" s="58" t="n"/>
      <c r="C80" s="59" t="n"/>
      <c r="D80" s="59" t="n"/>
      <c r="E80" s="59" t="n"/>
      <c r="F80" s="58" t="n"/>
      <c r="G80" s="60" t="n"/>
      <c r="H80" s="60" t="n"/>
      <c r="I80" s="61" t="n"/>
      <c r="J80" s="61" t="n"/>
      <c r="K80" s="61" t="n"/>
      <c r="L80" s="61" t="n"/>
      <c r="M80" s="61" t="n"/>
      <c r="N80" s="58" t="n"/>
      <c r="O80" s="59" t="n"/>
      <c r="P80" s="62" t="n"/>
      <c r="Q80" s="63" t="n"/>
      <c r="R80" s="61">
        <f>IF($P80&gt;0,CHOOSE(MATCH($B$4,'Служебный лист'!$A$4:$A$8,0),I80,J80,K80,L80,M80),"")</f>
        <v/>
      </c>
      <c r="S80" s="61">
        <f>IFERROR($P80*$R80,0)</f>
        <v/>
      </c>
      <c r="T80" s="61">
        <f>$S80*1.22</f>
        <v/>
      </c>
      <c r="U80" s="64">
        <f>IF($P80&gt;0,COUNTIF($P$11:P80,"&gt;0"),"")</f>
        <v/>
      </c>
    </row>
    <row r="81" ht="15" customHeight="1" s="49">
      <c r="A81" s="58" t="n"/>
      <c r="B81" s="58" t="n"/>
      <c r="C81" s="59" t="n"/>
      <c r="D81" s="59" t="n"/>
      <c r="E81" s="59" t="n"/>
      <c r="F81" s="58" t="n"/>
      <c r="G81" s="60" t="n"/>
      <c r="H81" s="60" t="n"/>
      <c r="I81" s="61" t="n"/>
      <c r="J81" s="61" t="n"/>
      <c r="K81" s="61" t="n"/>
      <c r="L81" s="61" t="n"/>
      <c r="M81" s="61" t="n"/>
      <c r="N81" s="58" t="n"/>
      <c r="O81" s="59" t="n"/>
      <c r="P81" s="62" t="n"/>
      <c r="Q81" s="63" t="n"/>
      <c r="R81" s="61">
        <f>IF($P81&gt;0,CHOOSE(MATCH($B$4,'Служебный лист'!$A$4:$A$8,0),I81,J81,K81,L81,M81),"")</f>
        <v/>
      </c>
      <c r="S81" s="61">
        <f>IFERROR($P81*$R81,0)</f>
        <v/>
      </c>
      <c r="T81" s="61">
        <f>$S81*1.22</f>
        <v/>
      </c>
      <c r="U81" s="64">
        <f>IF($P81&gt;0,COUNTIF($P$11:P81,"&gt;0"),"")</f>
        <v/>
      </c>
    </row>
    <row r="82" ht="15" customHeight="1" s="49">
      <c r="A82" s="58" t="n"/>
      <c r="B82" s="58" t="n"/>
      <c r="C82" s="59" t="n"/>
      <c r="D82" s="59" t="n"/>
      <c r="E82" s="59" t="n"/>
      <c r="F82" s="58" t="n"/>
      <c r="G82" s="60" t="n"/>
      <c r="H82" s="60" t="n"/>
      <c r="I82" s="61" t="n"/>
      <c r="J82" s="61" t="n"/>
      <c r="K82" s="61" t="n"/>
      <c r="L82" s="61" t="n"/>
      <c r="M82" s="61" t="n"/>
      <c r="N82" s="58" t="n"/>
      <c r="O82" s="59" t="n"/>
      <c r="P82" s="62" t="n"/>
      <c r="Q82" s="63" t="n"/>
      <c r="R82" s="61">
        <f>IF($P82&gt;0,CHOOSE(MATCH($B$4,'Служебный лист'!$A$4:$A$8,0),I82,J82,K82,L82,M82),"")</f>
        <v/>
      </c>
      <c r="S82" s="61">
        <f>IFERROR($P82*$R82,0)</f>
        <v/>
      </c>
      <c r="T82" s="61">
        <f>$S82*1.22</f>
        <v/>
      </c>
      <c r="U82" s="64">
        <f>IF($P82&gt;0,COUNTIF($P$11:P82,"&gt;0"),"")</f>
        <v/>
      </c>
    </row>
    <row r="83" ht="15" customHeight="1" s="49">
      <c r="A83" s="58" t="n"/>
      <c r="B83" s="58" t="n"/>
      <c r="C83" s="59" t="n"/>
      <c r="D83" s="59" t="n"/>
      <c r="E83" s="59" t="n"/>
      <c r="F83" s="58" t="n"/>
      <c r="G83" s="60" t="n"/>
      <c r="H83" s="60" t="n"/>
      <c r="I83" s="61" t="n"/>
      <c r="J83" s="61" t="n"/>
      <c r="K83" s="61" t="n"/>
      <c r="L83" s="61" t="n"/>
      <c r="M83" s="61" t="n"/>
      <c r="N83" s="58" t="n"/>
      <c r="O83" s="59" t="n"/>
      <c r="P83" s="62" t="n"/>
      <c r="Q83" s="63" t="n"/>
      <c r="R83" s="61">
        <f>IF($P83&gt;0,CHOOSE(MATCH($B$4,'Служебный лист'!$A$4:$A$8,0),I83,J83,K83,L83,M83),"")</f>
        <v/>
      </c>
      <c r="S83" s="61">
        <f>IFERROR($P83*$R83,0)</f>
        <v/>
      </c>
      <c r="T83" s="61">
        <f>$S83*1.22</f>
        <v/>
      </c>
      <c r="U83" s="64">
        <f>IF($P83&gt;0,COUNTIF($P$11:P83,"&gt;0"),"")</f>
        <v/>
      </c>
    </row>
    <row r="84" ht="15" customHeight="1" s="49">
      <c r="A84" s="58" t="n"/>
      <c r="B84" s="58" t="n"/>
      <c r="C84" s="59" t="n"/>
      <c r="D84" s="59" t="n"/>
      <c r="E84" s="59" t="n"/>
      <c r="F84" s="58" t="n"/>
      <c r="G84" s="60" t="n"/>
      <c r="H84" s="60" t="n"/>
      <c r="I84" s="61" t="n"/>
      <c r="J84" s="61" t="n"/>
      <c r="K84" s="61" t="n"/>
      <c r="L84" s="61" t="n"/>
      <c r="M84" s="61" t="n"/>
      <c r="N84" s="58" t="n"/>
      <c r="O84" s="59" t="n"/>
      <c r="P84" s="62" t="n"/>
      <c r="Q84" s="63" t="n"/>
      <c r="R84" s="61">
        <f>IF($P84&gt;0,CHOOSE(MATCH($B$4,'Служебный лист'!$A$4:$A$8,0),I84,J84,K84,L84,M84),"")</f>
        <v/>
      </c>
      <c r="S84" s="61">
        <f>IFERROR($P84*$R84,0)</f>
        <v/>
      </c>
      <c r="T84" s="61">
        <f>$S84*1.22</f>
        <v/>
      </c>
      <c r="U84" s="64">
        <f>IF($P84&gt;0,COUNTIF($P$11:P84,"&gt;0"),"")</f>
        <v/>
      </c>
    </row>
    <row r="85" ht="15" customHeight="1" s="49">
      <c r="A85" s="58" t="n"/>
      <c r="B85" s="58" t="n"/>
      <c r="C85" s="59" t="n"/>
      <c r="D85" s="59" t="n"/>
      <c r="E85" s="59" t="n"/>
      <c r="F85" s="58" t="n"/>
      <c r="G85" s="60" t="n"/>
      <c r="H85" s="60" t="n"/>
      <c r="I85" s="61" t="n"/>
      <c r="J85" s="61" t="n"/>
      <c r="K85" s="61" t="n"/>
      <c r="L85" s="61" t="n"/>
      <c r="M85" s="61" t="n"/>
      <c r="N85" s="58" t="n"/>
      <c r="O85" s="59" t="n"/>
      <c r="P85" s="62" t="n"/>
      <c r="Q85" s="63" t="n"/>
      <c r="R85" s="61">
        <f>IF($P85&gt;0,CHOOSE(MATCH($B$4,'Служебный лист'!$A$4:$A$8,0),I85,J85,K85,L85,M85),"")</f>
        <v/>
      </c>
      <c r="S85" s="61">
        <f>IFERROR($P85*$R85,0)</f>
        <v/>
      </c>
      <c r="T85" s="61">
        <f>$S85*1.22</f>
        <v/>
      </c>
      <c r="U85" s="64">
        <f>IF($P85&gt;0,COUNTIF($P$11:P85,"&gt;0"),"")</f>
        <v/>
      </c>
    </row>
    <row r="86" ht="15" customHeight="1" s="49">
      <c r="A86" s="58" t="n"/>
      <c r="B86" s="58" t="n"/>
      <c r="C86" s="59" t="n"/>
      <c r="D86" s="59" t="n"/>
      <c r="E86" s="59" t="n"/>
      <c r="F86" s="58" t="n"/>
      <c r="G86" s="60" t="n"/>
      <c r="H86" s="60" t="n"/>
      <c r="I86" s="61" t="n"/>
      <c r="J86" s="61" t="n"/>
      <c r="K86" s="61" t="n"/>
      <c r="L86" s="61" t="n"/>
      <c r="M86" s="61" t="n"/>
      <c r="N86" s="58" t="n"/>
      <c r="O86" s="59" t="n"/>
      <c r="P86" s="62" t="n"/>
      <c r="Q86" s="63" t="n"/>
      <c r="R86" s="61">
        <f>IF($P86&gt;0,CHOOSE(MATCH($B$4,'Служебный лист'!$A$4:$A$8,0),I86,J86,K86,L86,M86),"")</f>
        <v/>
      </c>
      <c r="S86" s="61">
        <f>IFERROR($P86*$R86,0)</f>
        <v/>
      </c>
      <c r="T86" s="61">
        <f>$S86*1.22</f>
        <v/>
      </c>
      <c r="U86" s="64">
        <f>IF($P86&gt;0,COUNTIF($P$11:P86,"&gt;0"),"")</f>
        <v/>
      </c>
    </row>
    <row r="87" ht="15" customHeight="1" s="49">
      <c r="A87" s="58" t="n"/>
      <c r="B87" s="58" t="n"/>
      <c r="C87" s="59" t="n"/>
      <c r="D87" s="59" t="n"/>
      <c r="E87" s="59" t="n"/>
      <c r="F87" s="58" t="n"/>
      <c r="G87" s="60" t="n"/>
      <c r="H87" s="60" t="n"/>
      <c r="I87" s="61" t="n"/>
      <c r="J87" s="61" t="n"/>
      <c r="K87" s="61" t="n"/>
      <c r="L87" s="61" t="n"/>
      <c r="M87" s="61" t="n"/>
      <c r="N87" s="58" t="n"/>
      <c r="O87" s="59" t="n"/>
      <c r="P87" s="62" t="n"/>
      <c r="Q87" s="63" t="n"/>
      <c r="R87" s="61">
        <f>IF($P87&gt;0,CHOOSE(MATCH($B$4,'Служебный лист'!$A$4:$A$8,0),I87,J87,K87,L87,M87),"")</f>
        <v/>
      </c>
      <c r="S87" s="61">
        <f>IFERROR($P87*$R87,0)</f>
        <v/>
      </c>
      <c r="T87" s="61">
        <f>$S87*1.22</f>
        <v/>
      </c>
      <c r="U87" s="64">
        <f>IF($P87&gt;0,COUNTIF($P$11:P87,"&gt;0"),"")</f>
        <v/>
      </c>
    </row>
    <row r="88" ht="15" customHeight="1" s="49">
      <c r="A88" s="58" t="n"/>
      <c r="B88" s="58" t="n"/>
      <c r="C88" s="59" t="n"/>
      <c r="D88" s="59" t="n"/>
      <c r="E88" s="59" t="n"/>
      <c r="F88" s="58" t="n"/>
      <c r="G88" s="60" t="n"/>
      <c r="H88" s="60" t="n"/>
      <c r="I88" s="61" t="n"/>
      <c r="J88" s="61" t="n"/>
      <c r="K88" s="61" t="n"/>
      <c r="L88" s="61" t="n"/>
      <c r="M88" s="61" t="n"/>
      <c r="N88" s="58" t="n"/>
      <c r="O88" s="59" t="n"/>
      <c r="P88" s="62" t="n"/>
      <c r="Q88" s="63" t="n"/>
      <c r="R88" s="61">
        <f>IF($P88&gt;0,CHOOSE(MATCH($B$4,'Служебный лист'!$A$4:$A$8,0),I88,J88,K88,L88,M88),"")</f>
        <v/>
      </c>
      <c r="S88" s="61">
        <f>IFERROR($P88*$R88,0)</f>
        <v/>
      </c>
      <c r="T88" s="61">
        <f>$S88*1.22</f>
        <v/>
      </c>
      <c r="U88" s="64">
        <f>IF($P88&gt;0,COUNTIF($P$11:P88,"&gt;0"),"")</f>
        <v/>
      </c>
    </row>
    <row r="89" ht="15" customHeight="1" s="49">
      <c r="A89" s="58" t="n"/>
      <c r="B89" s="58" t="n"/>
      <c r="C89" s="59" t="n"/>
      <c r="D89" s="59" t="n"/>
      <c r="E89" s="59" t="n"/>
      <c r="F89" s="58" t="n"/>
      <c r="G89" s="60" t="n"/>
      <c r="H89" s="60" t="n"/>
      <c r="I89" s="61" t="n"/>
      <c r="J89" s="61" t="n"/>
      <c r="K89" s="61" t="n"/>
      <c r="L89" s="61" t="n"/>
      <c r="M89" s="61" t="n"/>
      <c r="N89" s="58" t="n"/>
      <c r="O89" s="59" t="n"/>
      <c r="P89" s="62" t="n"/>
      <c r="Q89" s="63" t="n"/>
      <c r="R89" s="61">
        <f>IF($P89&gt;0,CHOOSE(MATCH($B$4,'Служебный лист'!$A$4:$A$8,0),I89,J89,K89,L89,M89),"")</f>
        <v/>
      </c>
      <c r="S89" s="61">
        <f>IFERROR($P89*$R89,0)</f>
        <v/>
      </c>
      <c r="T89" s="61">
        <f>$S89*1.22</f>
        <v/>
      </c>
      <c r="U89" s="64">
        <f>IF($P89&gt;0,COUNTIF($P$11:P89,"&gt;0"),"")</f>
        <v/>
      </c>
    </row>
    <row r="90" ht="15" customHeight="1" s="49">
      <c r="A90" s="58" t="n"/>
      <c r="B90" s="58" t="n"/>
      <c r="C90" s="59" t="n"/>
      <c r="D90" s="59" t="n"/>
      <c r="E90" s="59" t="n"/>
      <c r="F90" s="58" t="n"/>
      <c r="G90" s="60" t="n"/>
      <c r="H90" s="60" t="n"/>
      <c r="I90" s="61" t="n"/>
      <c r="J90" s="61" t="n"/>
      <c r="K90" s="61" t="n"/>
      <c r="L90" s="61" t="n"/>
      <c r="M90" s="61" t="n"/>
      <c r="N90" s="58" t="n"/>
      <c r="O90" s="59" t="n"/>
      <c r="P90" s="62" t="n"/>
      <c r="Q90" s="63" t="n"/>
      <c r="R90" s="61">
        <f>IF($P90&gt;0,CHOOSE(MATCH($B$4,'Служебный лист'!$A$4:$A$8,0),I90,J90,K90,L90,M90),"")</f>
        <v/>
      </c>
      <c r="S90" s="61">
        <f>IFERROR($P90*$R90,0)</f>
        <v/>
      </c>
      <c r="T90" s="61">
        <f>$S90*1.22</f>
        <v/>
      </c>
      <c r="U90" s="64">
        <f>IF($P90&gt;0,COUNTIF($P$11:P90,"&gt;0"),"")</f>
        <v/>
      </c>
    </row>
    <row r="91" ht="15" customHeight="1" s="49">
      <c r="A91" s="58" t="n"/>
      <c r="B91" s="58" t="n"/>
      <c r="C91" s="59" t="n"/>
      <c r="D91" s="59" t="n"/>
      <c r="E91" s="59" t="n"/>
      <c r="F91" s="58" t="n"/>
      <c r="G91" s="60" t="n"/>
      <c r="H91" s="60" t="n"/>
      <c r="I91" s="61" t="n"/>
      <c r="J91" s="61" t="n"/>
      <c r="K91" s="61" t="n"/>
      <c r="L91" s="61" t="n"/>
      <c r="M91" s="61" t="n"/>
      <c r="N91" s="58" t="n"/>
      <c r="O91" s="59" t="n"/>
      <c r="P91" s="62" t="n"/>
      <c r="Q91" s="63" t="n"/>
      <c r="R91" s="61">
        <f>IF($P91&gt;0,CHOOSE(MATCH($B$4,'Служебный лист'!$A$4:$A$8,0),I91,J91,K91,L91,M91),"")</f>
        <v/>
      </c>
      <c r="S91" s="61">
        <f>IFERROR($P91*$R91,0)</f>
        <v/>
      </c>
      <c r="T91" s="61">
        <f>$S91*1.22</f>
        <v/>
      </c>
      <c r="U91" s="64">
        <f>IF($P91&gt;0,COUNTIF($P$11:P91,"&gt;0"),"")</f>
        <v/>
      </c>
    </row>
    <row r="92" ht="15" customHeight="1" s="49">
      <c r="A92" s="58" t="n"/>
      <c r="B92" s="58" t="n"/>
      <c r="C92" s="59" t="n"/>
      <c r="D92" s="59" t="n"/>
      <c r="E92" s="59" t="n"/>
      <c r="F92" s="58" t="n"/>
      <c r="G92" s="60" t="n"/>
      <c r="H92" s="60" t="n"/>
      <c r="I92" s="61" t="n"/>
      <c r="J92" s="61" t="n"/>
      <c r="K92" s="61" t="n"/>
      <c r="L92" s="61" t="n"/>
      <c r="M92" s="61" t="n"/>
      <c r="N92" s="58" t="n"/>
      <c r="O92" s="59" t="n"/>
      <c r="P92" s="62" t="n"/>
      <c r="Q92" s="63" t="n"/>
      <c r="R92" s="61">
        <f>IF($P92&gt;0,CHOOSE(MATCH($B$4,'Служебный лист'!$A$4:$A$8,0),I92,J92,K92,L92,M92),"")</f>
        <v/>
      </c>
      <c r="S92" s="61">
        <f>IFERROR($P92*$R92,0)</f>
        <v/>
      </c>
      <c r="T92" s="61">
        <f>$S92*1.22</f>
        <v/>
      </c>
      <c r="U92" s="64">
        <f>IF($P92&gt;0,COUNTIF($P$11:P92,"&gt;0"),"")</f>
        <v/>
      </c>
    </row>
    <row r="93" ht="15" customHeight="1" s="49">
      <c r="A93" s="58" t="n"/>
      <c r="B93" s="58" t="n"/>
      <c r="C93" s="59" t="n"/>
      <c r="D93" s="59" t="n"/>
      <c r="E93" s="59" t="n"/>
      <c r="F93" s="58" t="n"/>
      <c r="G93" s="60" t="n"/>
      <c r="H93" s="60" t="n"/>
      <c r="I93" s="61" t="n"/>
      <c r="J93" s="61" t="n"/>
      <c r="K93" s="61" t="n"/>
      <c r="L93" s="61" t="n"/>
      <c r="M93" s="61" t="n"/>
      <c r="N93" s="58" t="n"/>
      <c r="O93" s="59" t="n"/>
      <c r="P93" s="62" t="n"/>
      <c r="Q93" s="63" t="n"/>
      <c r="R93" s="61">
        <f>IF($P93&gt;0,CHOOSE(MATCH($B$4,'Служебный лист'!$A$4:$A$8,0),I93,J93,K93,L93,M93),"")</f>
        <v/>
      </c>
      <c r="S93" s="61">
        <f>IFERROR($P93*$R93,0)</f>
        <v/>
      </c>
      <c r="T93" s="61">
        <f>$S93*1.22</f>
        <v/>
      </c>
      <c r="U93" s="64">
        <f>IF($P93&gt;0,COUNTIF($P$11:P93,"&gt;0"),"")</f>
        <v/>
      </c>
    </row>
    <row r="94" ht="15" customHeight="1" s="49">
      <c r="A94" s="58" t="n"/>
      <c r="B94" s="58" t="n"/>
      <c r="C94" s="59" t="n"/>
      <c r="D94" s="59" t="n"/>
      <c r="E94" s="59" t="n"/>
      <c r="F94" s="58" t="n"/>
      <c r="G94" s="60" t="n"/>
      <c r="H94" s="60" t="n"/>
      <c r="I94" s="61" t="n"/>
      <c r="J94" s="61" t="n"/>
      <c r="K94" s="61" t="n"/>
      <c r="L94" s="61" t="n"/>
      <c r="M94" s="61" t="n"/>
      <c r="N94" s="58" t="n"/>
      <c r="O94" s="59" t="n"/>
      <c r="P94" s="62" t="n"/>
      <c r="Q94" s="63" t="n"/>
      <c r="R94" s="61">
        <f>IF($P94&gt;0,CHOOSE(MATCH($B$4,'Служебный лист'!$A$4:$A$8,0),I94,J94,K94,L94,M94),"")</f>
        <v/>
      </c>
      <c r="S94" s="61">
        <f>IFERROR($P94*$R94,0)</f>
        <v/>
      </c>
      <c r="T94" s="61">
        <f>$S94*1.22</f>
        <v/>
      </c>
      <c r="U94" s="64">
        <f>IF($P94&gt;0,COUNTIF($P$11:P94,"&gt;0"),"")</f>
        <v/>
      </c>
    </row>
    <row r="95" ht="15" customHeight="1" s="49">
      <c r="A95" s="58" t="n"/>
      <c r="B95" s="58" t="n"/>
      <c r="C95" s="59" t="n"/>
      <c r="D95" s="59" t="n"/>
      <c r="E95" s="59" t="n"/>
      <c r="F95" s="58" t="n"/>
      <c r="G95" s="60" t="n"/>
      <c r="H95" s="60" t="n"/>
      <c r="I95" s="61" t="n"/>
      <c r="J95" s="61" t="n"/>
      <c r="K95" s="61" t="n"/>
      <c r="L95" s="61" t="n"/>
      <c r="M95" s="61" t="n"/>
      <c r="N95" s="58" t="n"/>
      <c r="O95" s="59" t="n"/>
      <c r="P95" s="62" t="n"/>
      <c r="Q95" s="63" t="n"/>
      <c r="R95" s="61">
        <f>IF($P95&gt;0,CHOOSE(MATCH($B$4,'Служебный лист'!$A$4:$A$8,0),I95,J95,K95,L95,M95),"")</f>
        <v/>
      </c>
      <c r="S95" s="61">
        <f>IFERROR($P95*$R95,0)</f>
        <v/>
      </c>
      <c r="T95" s="61">
        <f>$S95*1.22</f>
        <v/>
      </c>
      <c r="U95" s="64">
        <f>IF($P95&gt;0,COUNTIF($P$11:P95,"&gt;0"),"")</f>
        <v/>
      </c>
    </row>
    <row r="96" ht="15" customHeight="1" s="49">
      <c r="A96" s="58" t="n"/>
      <c r="B96" s="58" t="n"/>
      <c r="C96" s="59" t="n"/>
      <c r="D96" s="59" t="n"/>
      <c r="E96" s="59" t="n"/>
      <c r="F96" s="58" t="n"/>
      <c r="G96" s="60" t="n"/>
      <c r="H96" s="60" t="n"/>
      <c r="I96" s="61" t="n"/>
      <c r="J96" s="61" t="n"/>
      <c r="K96" s="61" t="n"/>
      <c r="L96" s="61" t="n"/>
      <c r="M96" s="61" t="n"/>
      <c r="N96" s="58" t="n"/>
      <c r="O96" s="59" t="n"/>
      <c r="P96" s="62" t="n"/>
      <c r="Q96" s="63" t="n"/>
      <c r="R96" s="61">
        <f>IF($P96&gt;0,CHOOSE(MATCH($B$4,'Служебный лист'!$A$4:$A$8,0),I96,J96,K96,L96,M96),"")</f>
        <v/>
      </c>
      <c r="S96" s="61">
        <f>IFERROR($P96*$R96,0)</f>
        <v/>
      </c>
      <c r="T96" s="61">
        <f>$S96*1.22</f>
        <v/>
      </c>
      <c r="U96" s="64">
        <f>IF($P96&gt;0,COUNTIF($P$11:P96,"&gt;0"),"")</f>
        <v/>
      </c>
    </row>
    <row r="97" ht="15" customHeight="1" s="49">
      <c r="A97" s="58" t="n"/>
      <c r="B97" s="58" t="n"/>
      <c r="C97" s="59" t="n"/>
      <c r="D97" s="59" t="n"/>
      <c r="E97" s="59" t="n"/>
      <c r="F97" s="58" t="n"/>
      <c r="G97" s="60" t="n"/>
      <c r="H97" s="60" t="n"/>
      <c r="I97" s="61" t="n"/>
      <c r="J97" s="61" t="n"/>
      <c r="K97" s="61" t="n"/>
      <c r="L97" s="61" t="n"/>
      <c r="M97" s="61" t="n"/>
      <c r="N97" s="58" t="n"/>
      <c r="O97" s="59" t="n"/>
      <c r="P97" s="62" t="n"/>
      <c r="Q97" s="63" t="n"/>
      <c r="R97" s="61">
        <f>IF($P97&gt;0,CHOOSE(MATCH($B$4,'Служебный лист'!$A$4:$A$8,0),I97,J97,K97,L97,M97),"")</f>
        <v/>
      </c>
      <c r="S97" s="61">
        <f>IFERROR($P97*$R97,0)</f>
        <v/>
      </c>
      <c r="T97" s="61">
        <f>$S97*1.22</f>
        <v/>
      </c>
      <c r="U97" s="64">
        <f>IF($P97&gt;0,COUNTIF($P$11:P97,"&gt;0"),"")</f>
        <v/>
      </c>
    </row>
    <row r="98" ht="15" customHeight="1" s="49">
      <c r="A98" s="58" t="n"/>
      <c r="B98" s="58" t="n"/>
      <c r="C98" s="59" t="n"/>
      <c r="D98" s="59" t="n"/>
      <c r="E98" s="59" t="n"/>
      <c r="F98" s="58" t="n"/>
      <c r="G98" s="60" t="n"/>
      <c r="H98" s="60" t="n"/>
      <c r="I98" s="61" t="n"/>
      <c r="J98" s="61" t="n"/>
      <c r="K98" s="61" t="n"/>
      <c r="L98" s="61" t="n"/>
      <c r="M98" s="61" t="n"/>
      <c r="N98" s="58" t="n"/>
      <c r="O98" s="59" t="n"/>
      <c r="P98" s="62" t="n"/>
      <c r="Q98" s="63" t="n"/>
      <c r="R98" s="61">
        <f>IF($P98&gt;0,CHOOSE(MATCH($B$4,'Служебный лист'!$A$4:$A$8,0),I98,J98,K98,L98,M98),"")</f>
        <v/>
      </c>
      <c r="S98" s="61">
        <f>IFERROR($P98*$R98,0)</f>
        <v/>
      </c>
      <c r="T98" s="61">
        <f>$S98*1.22</f>
        <v/>
      </c>
      <c r="U98" s="64">
        <f>IF($P98&gt;0,COUNTIF($P$11:P98,"&gt;0"),"")</f>
        <v/>
      </c>
    </row>
    <row r="99" ht="15" customHeight="1" s="49">
      <c r="A99" s="58" t="n"/>
      <c r="B99" s="58" t="n"/>
      <c r="C99" s="59" t="n"/>
      <c r="D99" s="59" t="n"/>
      <c r="E99" s="59" t="n"/>
      <c r="F99" s="58" t="n"/>
      <c r="G99" s="60" t="n"/>
      <c r="H99" s="60" t="n"/>
      <c r="I99" s="61" t="n"/>
      <c r="J99" s="61" t="n"/>
      <c r="K99" s="61" t="n"/>
      <c r="L99" s="61" t="n"/>
      <c r="M99" s="61" t="n"/>
      <c r="N99" s="58" t="n"/>
      <c r="O99" s="59" t="n"/>
      <c r="P99" s="62" t="n"/>
      <c r="Q99" s="63" t="n"/>
      <c r="R99" s="61">
        <f>IF($P99&gt;0,CHOOSE(MATCH($B$4,'Служебный лист'!$A$4:$A$8,0),I99,J99,K99,L99,M99),"")</f>
        <v/>
      </c>
      <c r="S99" s="61">
        <f>IFERROR($P99*$R99,0)</f>
        <v/>
      </c>
      <c r="T99" s="61">
        <f>$S99*1.22</f>
        <v/>
      </c>
      <c r="U99" s="64">
        <f>IF($P99&gt;0,COUNTIF($P$11:P99,"&gt;0"),"")</f>
        <v/>
      </c>
    </row>
    <row r="100" ht="15" customHeight="1" s="49">
      <c r="A100" s="58" t="n"/>
      <c r="B100" s="58" t="n"/>
      <c r="C100" s="59" t="n"/>
      <c r="D100" s="59" t="n"/>
      <c r="E100" s="59" t="n"/>
      <c r="F100" s="58" t="n"/>
      <c r="G100" s="60" t="n"/>
      <c r="H100" s="60" t="n"/>
      <c r="I100" s="61" t="n"/>
      <c r="J100" s="61" t="n"/>
      <c r="K100" s="61" t="n"/>
      <c r="L100" s="61" t="n"/>
      <c r="M100" s="61" t="n"/>
      <c r="N100" s="58" t="n"/>
      <c r="O100" s="59" t="n"/>
      <c r="P100" s="62" t="n"/>
      <c r="Q100" s="63" t="n"/>
      <c r="R100" s="61">
        <f>IF($P100&gt;0,CHOOSE(MATCH($B$4,'Служебный лист'!$A$4:$A$8,0),I100,J100,K100,L100,M100),"")</f>
        <v/>
      </c>
      <c r="S100" s="61">
        <f>IFERROR($P100*$R100,0)</f>
        <v/>
      </c>
      <c r="T100" s="61">
        <f>$S100*1.22</f>
        <v/>
      </c>
      <c r="U100" s="64">
        <f>IF($P100&gt;0,COUNTIF($P$11:P100,"&gt;0"),"")</f>
        <v/>
      </c>
    </row>
    <row r="101" ht="15" customHeight="1" s="49">
      <c r="A101" s="58" t="n"/>
      <c r="B101" s="58" t="n"/>
      <c r="C101" s="59" t="n"/>
      <c r="D101" s="59" t="n"/>
      <c r="E101" s="59" t="n"/>
      <c r="F101" s="58" t="n"/>
      <c r="G101" s="60" t="n"/>
      <c r="H101" s="60" t="n"/>
      <c r="I101" s="61" t="n"/>
      <c r="J101" s="61" t="n"/>
      <c r="K101" s="61" t="n"/>
      <c r="L101" s="61" t="n"/>
      <c r="M101" s="61" t="n"/>
      <c r="N101" s="58" t="n"/>
      <c r="O101" s="59" t="n"/>
      <c r="P101" s="62" t="n"/>
      <c r="Q101" s="63" t="n"/>
      <c r="R101" s="61">
        <f>IF($P101&gt;0,CHOOSE(MATCH($B$4,'Служебный лист'!$A$4:$A$8,0),I101,J101,K101,L101,M101),"")</f>
        <v/>
      </c>
      <c r="S101" s="61">
        <f>IFERROR($P101*$R101,0)</f>
        <v/>
      </c>
      <c r="T101" s="61">
        <f>$S101*1.22</f>
        <v/>
      </c>
      <c r="U101" s="64">
        <f>IF($P101&gt;0,COUNTIF($P$11:P101,"&gt;0"),"")</f>
        <v/>
      </c>
    </row>
    <row r="102" ht="15" customHeight="1" s="49">
      <c r="A102" s="58" t="n"/>
      <c r="B102" s="58" t="n"/>
      <c r="C102" s="59" t="n"/>
      <c r="D102" s="59" t="n"/>
      <c r="E102" s="59" t="n"/>
      <c r="F102" s="58" t="n"/>
      <c r="G102" s="60" t="n"/>
      <c r="H102" s="60" t="n"/>
      <c r="I102" s="61" t="n"/>
      <c r="J102" s="61" t="n"/>
      <c r="K102" s="61" t="n"/>
      <c r="L102" s="61" t="n"/>
      <c r="M102" s="61" t="n"/>
      <c r="N102" s="58" t="n"/>
      <c r="O102" s="59" t="n"/>
      <c r="P102" s="62" t="n"/>
      <c r="Q102" s="63" t="n"/>
      <c r="R102" s="61">
        <f>IF($P102&gt;0,CHOOSE(MATCH($B$4,'Служебный лист'!$A$4:$A$8,0),I102,J102,K102,L102,M102),"")</f>
        <v/>
      </c>
      <c r="S102" s="61">
        <f>IFERROR($P102*$R102,0)</f>
        <v/>
      </c>
      <c r="T102" s="61">
        <f>$S102*1.22</f>
        <v/>
      </c>
      <c r="U102" s="64">
        <f>IF($P102&gt;0,COUNTIF($P$11:P102,"&gt;0"),"")</f>
        <v/>
      </c>
    </row>
    <row r="103" ht="15" customHeight="1" s="49">
      <c r="A103" s="58" t="n"/>
      <c r="B103" s="58" t="n"/>
      <c r="C103" s="59" t="n"/>
      <c r="D103" s="59" t="n"/>
      <c r="E103" s="59" t="n"/>
      <c r="F103" s="58" t="n"/>
      <c r="G103" s="60" t="n"/>
      <c r="H103" s="60" t="n"/>
      <c r="I103" s="61" t="n"/>
      <c r="J103" s="61" t="n"/>
      <c r="K103" s="61" t="n"/>
      <c r="L103" s="61" t="n"/>
      <c r="M103" s="61" t="n"/>
      <c r="N103" s="58" t="n"/>
      <c r="O103" s="59" t="n"/>
      <c r="P103" s="62" t="n"/>
      <c r="Q103" s="63" t="n"/>
      <c r="R103" s="61">
        <f>IF($P103&gt;0,CHOOSE(MATCH($B$4,'Служебный лист'!$A$4:$A$8,0),I103,J103,K103,L103,M103),"")</f>
        <v/>
      </c>
      <c r="S103" s="61">
        <f>IFERROR($P103*$R103,0)</f>
        <v/>
      </c>
      <c r="T103" s="61">
        <f>$S103*1.22</f>
        <v/>
      </c>
      <c r="U103" s="64">
        <f>IF($P103&gt;0,COUNTIF($P$11:P103,"&gt;0"),"")</f>
        <v/>
      </c>
    </row>
    <row r="104" ht="15" customHeight="1" s="49">
      <c r="A104" s="58" t="n"/>
      <c r="B104" s="58" t="n"/>
      <c r="C104" s="59" t="n"/>
      <c r="D104" s="59" t="n"/>
      <c r="E104" s="59" t="n"/>
      <c r="F104" s="58" t="n"/>
      <c r="G104" s="60" t="n"/>
      <c r="H104" s="60" t="n"/>
      <c r="I104" s="61" t="n"/>
      <c r="J104" s="61" t="n"/>
      <c r="K104" s="61" t="n"/>
      <c r="L104" s="61" t="n"/>
      <c r="M104" s="61" t="n"/>
      <c r="N104" s="58" t="n"/>
      <c r="O104" s="59" t="n"/>
      <c r="P104" s="62" t="n"/>
      <c r="Q104" s="63" t="n"/>
      <c r="R104" s="61">
        <f>IF($P104&gt;0,CHOOSE(MATCH($B$4,'Служебный лист'!$A$4:$A$8,0),I104,J104,K104,L104,M104),"")</f>
        <v/>
      </c>
      <c r="S104" s="61">
        <f>IFERROR($P104*$R104,0)</f>
        <v/>
      </c>
      <c r="T104" s="61">
        <f>$S104*1.22</f>
        <v/>
      </c>
      <c r="U104" s="64">
        <f>IF($P104&gt;0,COUNTIF($P$11:P104,"&gt;0"),"")</f>
        <v/>
      </c>
    </row>
    <row r="105" ht="15" customHeight="1" s="49">
      <c r="A105" s="58" t="n"/>
      <c r="B105" s="58" t="n"/>
      <c r="C105" s="59" t="n"/>
      <c r="D105" s="59" t="n"/>
      <c r="E105" s="59" t="n"/>
      <c r="F105" s="58" t="n"/>
      <c r="G105" s="60" t="n"/>
      <c r="H105" s="60" t="n"/>
      <c r="I105" s="61" t="n"/>
      <c r="J105" s="61" t="n"/>
      <c r="K105" s="61" t="n"/>
      <c r="L105" s="61" t="n"/>
      <c r="M105" s="61" t="n"/>
      <c r="N105" s="58" t="n"/>
      <c r="O105" s="59" t="n"/>
      <c r="P105" s="62" t="n"/>
      <c r="Q105" s="63" t="n"/>
      <c r="R105" s="61">
        <f>IF($P105&gt;0,CHOOSE(MATCH($B$4,'Служебный лист'!$A$4:$A$8,0),I105,J105,K105,L105,M105),"")</f>
        <v/>
      </c>
      <c r="S105" s="61">
        <f>IFERROR($P105*$R105,0)</f>
        <v/>
      </c>
      <c r="T105" s="61">
        <f>$S105*1.22</f>
        <v/>
      </c>
      <c r="U105" s="64">
        <f>IF($P105&gt;0,COUNTIF($P$11:P105,"&gt;0"),"")</f>
        <v/>
      </c>
    </row>
    <row r="106" ht="15" customHeight="1" s="49">
      <c r="A106" s="58" t="n"/>
      <c r="B106" s="58" t="n"/>
      <c r="C106" s="59" t="n"/>
      <c r="D106" s="59" t="n"/>
      <c r="E106" s="59" t="n"/>
      <c r="F106" s="58" t="n"/>
      <c r="G106" s="60" t="n"/>
      <c r="H106" s="60" t="n"/>
      <c r="I106" s="61" t="n"/>
      <c r="J106" s="61" t="n"/>
      <c r="K106" s="61" t="n"/>
      <c r="L106" s="61" t="n"/>
      <c r="M106" s="61" t="n"/>
      <c r="N106" s="58" t="n"/>
      <c r="O106" s="59" t="n"/>
      <c r="P106" s="62" t="n"/>
      <c r="Q106" s="63" t="n"/>
      <c r="R106" s="61">
        <f>IF($P106&gt;0,CHOOSE(MATCH($B$4,'Служебный лист'!$A$4:$A$8,0),I106,J106,K106,L106,M106),"")</f>
        <v/>
      </c>
      <c r="S106" s="61">
        <f>IFERROR($P106*$R106,0)</f>
        <v/>
      </c>
      <c r="T106" s="61">
        <f>$S106*1.22</f>
        <v/>
      </c>
      <c r="U106" s="64">
        <f>IF($P106&gt;0,COUNTIF($P$11:P106,"&gt;0"),"")</f>
        <v/>
      </c>
    </row>
    <row r="107" ht="15" customHeight="1" s="49">
      <c r="A107" s="58" t="n"/>
      <c r="B107" s="58" t="n"/>
      <c r="C107" s="59" t="n"/>
      <c r="D107" s="59" t="n"/>
      <c r="E107" s="59" t="n"/>
      <c r="F107" s="58" t="n"/>
      <c r="G107" s="60" t="n"/>
      <c r="H107" s="60" t="n"/>
      <c r="I107" s="61" t="n"/>
      <c r="J107" s="61" t="n"/>
      <c r="K107" s="61" t="n"/>
      <c r="L107" s="61" t="n"/>
      <c r="M107" s="61" t="n"/>
      <c r="N107" s="58" t="n"/>
      <c r="O107" s="59" t="n"/>
      <c r="P107" s="62" t="n"/>
      <c r="Q107" s="63" t="n"/>
      <c r="R107" s="61">
        <f>IF($P107&gt;0,CHOOSE(MATCH($B$4,'Служебный лист'!$A$4:$A$8,0),I107,J107,K107,L107,M107),"")</f>
        <v/>
      </c>
      <c r="S107" s="61">
        <f>IFERROR($P107*$R107,0)</f>
        <v/>
      </c>
      <c r="T107" s="61">
        <f>$S107*1.22</f>
        <v/>
      </c>
      <c r="U107" s="64">
        <f>IF($P107&gt;0,COUNTIF($P$11:P107,"&gt;0"),"")</f>
        <v/>
      </c>
    </row>
    <row r="108" ht="15" customHeight="1" s="49">
      <c r="A108" s="58" t="n"/>
      <c r="B108" s="58" t="n"/>
      <c r="C108" s="59" t="n"/>
      <c r="D108" s="59" t="n"/>
      <c r="E108" s="59" t="n"/>
      <c r="F108" s="58" t="n"/>
      <c r="G108" s="60" t="n"/>
      <c r="H108" s="60" t="n"/>
      <c r="I108" s="61" t="n"/>
      <c r="J108" s="61" t="n"/>
      <c r="K108" s="61" t="n"/>
      <c r="L108" s="61" t="n"/>
      <c r="M108" s="61" t="n"/>
      <c r="N108" s="58" t="n"/>
      <c r="O108" s="59" t="n"/>
      <c r="P108" s="62" t="n"/>
      <c r="Q108" s="63" t="n"/>
      <c r="R108" s="61">
        <f>IF($P108&gt;0,CHOOSE(MATCH($B$4,'Служебный лист'!$A$4:$A$8,0),I108,J108,K108,L108,M108),"")</f>
        <v/>
      </c>
      <c r="S108" s="61">
        <f>IFERROR($P108*$R108,0)</f>
        <v/>
      </c>
      <c r="T108" s="61">
        <f>$S108*1.22</f>
        <v/>
      </c>
      <c r="U108" s="64">
        <f>IF($P108&gt;0,COUNTIF($P$11:P108,"&gt;0"),"")</f>
        <v/>
      </c>
    </row>
    <row r="109" ht="15" customHeight="1" s="49">
      <c r="A109" s="58" t="n"/>
      <c r="B109" s="58" t="n"/>
      <c r="C109" s="59" t="n"/>
      <c r="D109" s="59" t="n"/>
      <c r="E109" s="59" t="n"/>
      <c r="F109" s="58" t="n"/>
      <c r="G109" s="60" t="n"/>
      <c r="H109" s="60" t="n"/>
      <c r="I109" s="61" t="n"/>
      <c r="J109" s="61" t="n"/>
      <c r="K109" s="61" t="n"/>
      <c r="L109" s="61" t="n"/>
      <c r="M109" s="61" t="n"/>
      <c r="N109" s="58" t="n"/>
      <c r="O109" s="59" t="n"/>
      <c r="P109" s="62" t="n"/>
      <c r="Q109" s="63" t="n"/>
      <c r="R109" s="61">
        <f>IF($P109&gt;0,CHOOSE(MATCH($B$4,'Служебный лист'!$A$4:$A$8,0),I109,J109,K109,L109,M109),"")</f>
        <v/>
      </c>
      <c r="S109" s="61">
        <f>IFERROR($P109*$R109,0)</f>
        <v/>
      </c>
      <c r="T109" s="61">
        <f>$S109*1.22</f>
        <v/>
      </c>
      <c r="U109" s="64">
        <f>IF($P109&gt;0,COUNTIF($P$11:P109,"&gt;0"),"")</f>
        <v/>
      </c>
    </row>
    <row r="110" ht="15" customHeight="1" s="49">
      <c r="A110" s="58" t="n"/>
      <c r="B110" s="58" t="n"/>
      <c r="C110" s="59" t="n"/>
      <c r="D110" s="59" t="n"/>
      <c r="E110" s="59" t="n"/>
      <c r="F110" s="58" t="n"/>
      <c r="G110" s="60" t="n"/>
      <c r="H110" s="60" t="n"/>
      <c r="I110" s="61" t="n"/>
      <c r="J110" s="61" t="n"/>
      <c r="K110" s="61" t="n"/>
      <c r="L110" s="61" t="n"/>
      <c r="M110" s="61" t="n"/>
      <c r="N110" s="58" t="n"/>
      <c r="O110" s="59" t="n"/>
      <c r="P110" s="62" t="n"/>
      <c r="Q110" s="63" t="n"/>
      <c r="R110" s="61">
        <f>IF($P110&gt;0,CHOOSE(MATCH($B$4,'Служебный лист'!$A$4:$A$8,0),I110,J110,K110,L110,M110),"")</f>
        <v/>
      </c>
      <c r="S110" s="61">
        <f>IFERROR($P110*$R110,0)</f>
        <v/>
      </c>
      <c r="T110" s="61">
        <f>$S110*1.22</f>
        <v/>
      </c>
      <c r="U110" s="64">
        <f>IF($P110&gt;0,COUNTIF($P$11:P110,"&gt;0"),"")</f>
        <v/>
      </c>
    </row>
    <row r="111" ht="14.25" customHeight="1" s="49">
      <c r="A111" s="58" t="n"/>
      <c r="B111" s="58" t="n"/>
      <c r="C111" s="59" t="n"/>
      <c r="D111" s="59" t="n"/>
      <c r="E111" s="59" t="n"/>
      <c r="F111" s="58" t="n"/>
      <c r="G111" s="60" t="n"/>
      <c r="H111" s="60" t="n"/>
      <c r="I111" s="61" t="n"/>
      <c r="J111" s="61" t="n"/>
      <c r="K111" s="61" t="n"/>
      <c r="L111" s="61" t="n"/>
      <c r="M111" s="61" t="n"/>
      <c r="N111" s="58" t="n"/>
      <c r="O111" s="59" t="n"/>
      <c r="P111" s="62" t="n"/>
      <c r="Q111" s="63" t="n"/>
      <c r="R111" s="61">
        <f>IF($P111&gt;0,CHOOSE(MATCH($B$4,'Служебный лист'!$A$4:$A$8,0),I111,J111,K111,L111,M111),"")</f>
        <v/>
      </c>
      <c r="S111" s="61">
        <f>IFERROR($P111*$R111,0)</f>
        <v/>
      </c>
      <c r="T111" s="61">
        <f>$S111*1.22</f>
        <v/>
      </c>
      <c r="U111" s="64">
        <f>IF($P111&gt;0,COUNTIF($P$11:P111,"&gt;0"),"")</f>
        <v/>
      </c>
    </row>
    <row r="112" ht="14.25" customHeight="1" s="49">
      <c r="A112" s="58" t="n"/>
      <c r="B112" s="58" t="n"/>
      <c r="C112" s="59" t="n"/>
      <c r="D112" s="59" t="n"/>
      <c r="E112" s="59" t="n"/>
      <c r="F112" s="58" t="n"/>
      <c r="G112" s="60" t="n"/>
      <c r="H112" s="60" t="n"/>
      <c r="I112" s="61" t="n"/>
      <c r="J112" s="61" t="n"/>
      <c r="K112" s="61" t="n"/>
      <c r="L112" s="61" t="n"/>
      <c r="M112" s="61" t="n"/>
      <c r="N112" s="58" t="n"/>
      <c r="O112" s="59" t="n"/>
      <c r="P112" s="62" t="n"/>
      <c r="Q112" s="63" t="n"/>
      <c r="R112" s="61">
        <f>IF($P112&gt;0,CHOOSE(MATCH($B$4,'Служебный лист'!$A$4:$A$8,0),I112,J112,K112,L112,M112),"")</f>
        <v/>
      </c>
      <c r="S112" s="61">
        <f>IFERROR($P112*$R112,0)</f>
        <v/>
      </c>
      <c r="T112" s="61">
        <f>$S112*1.22</f>
        <v/>
      </c>
      <c r="U112" s="64">
        <f>IF($P112&gt;0,COUNTIF($P$11:P112,"&gt;0"),"")</f>
        <v/>
      </c>
    </row>
    <row r="113" ht="14.25" customHeight="1" s="49">
      <c r="A113" s="58" t="n"/>
      <c r="B113" s="58" t="n"/>
      <c r="C113" s="59" t="n"/>
      <c r="D113" s="59" t="n"/>
      <c r="E113" s="59" t="n"/>
      <c r="F113" s="58" t="n"/>
      <c r="G113" s="60" t="n"/>
      <c r="H113" s="60" t="n"/>
      <c r="I113" s="61" t="n"/>
      <c r="J113" s="61" t="n"/>
      <c r="K113" s="61" t="n"/>
      <c r="L113" s="61" t="n"/>
      <c r="M113" s="61" t="n"/>
      <c r="N113" s="58" t="n"/>
      <c r="O113" s="59" t="n"/>
      <c r="P113" s="62" t="n"/>
      <c r="Q113" s="63" t="n"/>
      <c r="R113" s="61">
        <f>IF($P113&gt;0,CHOOSE(MATCH($B$4,'Служебный лист'!$A$4:$A$8,0),I113,J113,K113,L113,M113),"")</f>
        <v/>
      </c>
      <c r="S113" s="61">
        <f>IFERROR($P113*$R113,0)</f>
        <v/>
      </c>
      <c r="T113" s="61">
        <f>$S113*1.22</f>
        <v/>
      </c>
      <c r="U113" s="64">
        <f>IF($P113&gt;0,COUNTIF($P$11:P113,"&gt;0"),"")</f>
        <v/>
      </c>
    </row>
    <row r="114" ht="14.25" customHeight="1" s="49">
      <c r="A114" s="58" t="n"/>
      <c r="B114" s="58" t="n"/>
      <c r="C114" s="59" t="n"/>
      <c r="D114" s="59" t="n"/>
      <c r="E114" s="59" t="n"/>
      <c r="F114" s="58" t="n"/>
      <c r="G114" s="60" t="n"/>
      <c r="H114" s="60" t="n"/>
      <c r="I114" s="61" t="n"/>
      <c r="J114" s="61" t="n"/>
      <c r="K114" s="61" t="n"/>
      <c r="L114" s="61" t="n"/>
      <c r="M114" s="61" t="n"/>
      <c r="N114" s="58" t="n"/>
      <c r="O114" s="59" t="n"/>
      <c r="P114" s="62" t="n"/>
      <c r="Q114" s="63" t="n"/>
      <c r="R114" s="61">
        <f>IF($P114&gt;0,CHOOSE(MATCH($B$4,'Служебный лист'!$A$4:$A$8,0),I114,J114,K114,L114,M114),"")</f>
        <v/>
      </c>
      <c r="S114" s="61">
        <f>IFERROR($P114*$R114,0)</f>
        <v/>
      </c>
      <c r="T114" s="61">
        <f>$S114*1.22</f>
        <v/>
      </c>
      <c r="U114" s="64">
        <f>IF($P114&gt;0,COUNTIF($P$11:P114,"&gt;0"),"")</f>
        <v/>
      </c>
    </row>
    <row r="115" ht="14.25" customHeight="1" s="49">
      <c r="A115" s="58" t="n"/>
      <c r="B115" s="58" t="n"/>
      <c r="C115" s="59" t="n"/>
      <c r="D115" s="59" t="n"/>
      <c r="E115" s="59" t="n"/>
      <c r="F115" s="58" t="n"/>
      <c r="G115" s="60" t="n"/>
      <c r="H115" s="60" t="n"/>
      <c r="I115" s="61" t="n"/>
      <c r="J115" s="61" t="n"/>
      <c r="K115" s="61" t="n"/>
      <c r="L115" s="61" t="n"/>
      <c r="M115" s="61" t="n"/>
      <c r="N115" s="58" t="n"/>
      <c r="O115" s="59" t="n"/>
      <c r="P115" s="62" t="n"/>
      <c r="Q115" s="63" t="n"/>
      <c r="R115" s="61">
        <f>IF($P115&gt;0,CHOOSE(MATCH($B$4,'Служебный лист'!$A$4:$A$8,0),I115,J115,K115,L115,M115),"")</f>
        <v/>
      </c>
      <c r="S115" s="61">
        <f>IFERROR($P115*$R115,0)</f>
        <v/>
      </c>
      <c r="T115" s="61">
        <f>$S115*1.22</f>
        <v/>
      </c>
      <c r="U115" s="64">
        <f>IF($P115&gt;0,COUNTIF($P$11:P115,"&gt;0"),"")</f>
        <v/>
      </c>
    </row>
    <row r="116" ht="14.25" customHeight="1" s="49">
      <c r="A116" s="58" t="n"/>
      <c r="B116" s="58" t="n"/>
      <c r="C116" s="59" t="n"/>
      <c r="D116" s="59" t="n"/>
      <c r="E116" s="59" t="n"/>
      <c r="F116" s="58" t="n"/>
      <c r="G116" s="60" t="n"/>
      <c r="H116" s="60" t="n"/>
      <c r="I116" s="61" t="n"/>
      <c r="J116" s="61" t="n"/>
      <c r="K116" s="61" t="n"/>
      <c r="L116" s="61" t="n"/>
      <c r="M116" s="61" t="n"/>
      <c r="N116" s="58" t="n"/>
      <c r="O116" s="59" t="n"/>
      <c r="P116" s="62" t="n"/>
      <c r="Q116" s="63" t="n"/>
      <c r="R116" s="61">
        <f>IF($P116&gt;0,CHOOSE(MATCH($B$4,'Служебный лист'!$A$4:$A$8,0),I116,J116,K116,L116,M116),"")</f>
        <v/>
      </c>
      <c r="S116" s="61">
        <f>IFERROR($P116*$R116,0)</f>
        <v/>
      </c>
      <c r="T116" s="61">
        <f>$S116*1.22</f>
        <v/>
      </c>
      <c r="U116" s="64">
        <f>IF($P116&gt;0,COUNTIF($P$11:P116,"&gt;0"),"")</f>
        <v/>
      </c>
    </row>
    <row r="117" ht="14.25" customHeight="1" s="49">
      <c r="A117" s="58" t="n"/>
      <c r="B117" s="58" t="n"/>
      <c r="C117" s="59" t="n"/>
      <c r="D117" s="59" t="n"/>
      <c r="E117" s="59" t="n"/>
      <c r="F117" s="58" t="n"/>
      <c r="G117" s="60" t="n"/>
      <c r="H117" s="60" t="n"/>
      <c r="I117" s="61" t="n"/>
      <c r="J117" s="61" t="n"/>
      <c r="K117" s="61" t="n"/>
      <c r="L117" s="61" t="n"/>
      <c r="M117" s="61" t="n"/>
      <c r="N117" s="58" t="n"/>
      <c r="O117" s="59" t="n"/>
      <c r="P117" s="62" t="n"/>
      <c r="Q117" s="63" t="n"/>
      <c r="R117" s="61">
        <f>IF($P117&gt;0,CHOOSE(MATCH($B$4,'Служебный лист'!$A$4:$A$8,0),I117,J117,K117,L117,M117),"")</f>
        <v/>
      </c>
      <c r="S117" s="61">
        <f>IFERROR($P117*$R117,0)</f>
        <v/>
      </c>
      <c r="T117" s="61">
        <f>$S117*1.22</f>
        <v/>
      </c>
      <c r="U117" s="64">
        <f>IF($P117&gt;0,COUNTIF($P$11:P117,"&gt;0"),"")</f>
        <v/>
      </c>
    </row>
    <row r="118" ht="14.25" customHeight="1" s="49">
      <c r="A118" s="58" t="n"/>
      <c r="B118" s="58" t="n"/>
      <c r="C118" s="59" t="n"/>
      <c r="D118" s="59" t="n"/>
      <c r="E118" s="59" t="n"/>
      <c r="F118" s="58" t="n"/>
      <c r="G118" s="60" t="n"/>
      <c r="H118" s="60" t="n"/>
      <c r="I118" s="61" t="n"/>
      <c r="J118" s="61" t="n"/>
      <c r="K118" s="61" t="n"/>
      <c r="L118" s="61" t="n"/>
      <c r="M118" s="61" t="n"/>
      <c r="N118" s="58" t="n"/>
      <c r="O118" s="59" t="n"/>
      <c r="P118" s="62" t="n"/>
      <c r="Q118" s="63" t="n"/>
      <c r="R118" s="61">
        <f>IF($P118&gt;0,CHOOSE(MATCH($B$4,'Служебный лист'!$A$4:$A$8,0),I118,J118,K118,L118,M118),"")</f>
        <v/>
      </c>
      <c r="S118" s="61">
        <f>IFERROR($P118*$R118,0)</f>
        <v/>
      </c>
      <c r="T118" s="61">
        <f>$S118*1.22</f>
        <v/>
      </c>
      <c r="U118" s="64">
        <f>IF($P118&gt;0,COUNTIF($P$11:P118,"&gt;0"),"")</f>
        <v/>
      </c>
    </row>
    <row r="119" ht="14.25" customHeight="1" s="49">
      <c r="A119" s="58" t="n"/>
      <c r="B119" s="58" t="n"/>
      <c r="C119" s="59" t="n"/>
      <c r="D119" s="59" t="n"/>
      <c r="E119" s="59" t="n"/>
      <c r="F119" s="58" t="n"/>
      <c r="G119" s="60" t="n"/>
      <c r="H119" s="60" t="n"/>
      <c r="I119" s="61" t="n"/>
      <c r="J119" s="61" t="n"/>
      <c r="K119" s="61" t="n"/>
      <c r="L119" s="61" t="n"/>
      <c r="M119" s="61" t="n"/>
      <c r="N119" s="58" t="n"/>
      <c r="O119" s="59" t="n"/>
      <c r="P119" s="62" t="n"/>
      <c r="Q119" s="63" t="n"/>
      <c r="R119" s="61">
        <f>IF($P119&gt;0,CHOOSE(MATCH($B$4,'Служебный лист'!$A$4:$A$8,0),I119,J119,K119,L119,M119),"")</f>
        <v/>
      </c>
      <c r="S119" s="61">
        <f>IFERROR($P119*$R119,0)</f>
        <v/>
      </c>
      <c r="T119" s="61">
        <f>$S119*1.22</f>
        <v/>
      </c>
      <c r="U119" s="64">
        <f>IF($P119&gt;0,COUNTIF($P$11:P119,"&gt;0"),"")</f>
        <v/>
      </c>
    </row>
    <row r="120" ht="14.25" customHeight="1" s="49">
      <c r="A120" s="58" t="n"/>
      <c r="B120" s="58" t="n"/>
      <c r="C120" s="59" t="n"/>
      <c r="D120" s="59" t="n"/>
      <c r="E120" s="59" t="n"/>
      <c r="F120" s="58" t="n"/>
      <c r="G120" s="60" t="n"/>
      <c r="H120" s="60" t="n"/>
      <c r="I120" s="61" t="n"/>
      <c r="J120" s="61" t="n"/>
      <c r="K120" s="61" t="n"/>
      <c r="L120" s="61" t="n"/>
      <c r="M120" s="61" t="n"/>
      <c r="N120" s="58" t="n"/>
      <c r="O120" s="59" t="n"/>
      <c r="P120" s="62" t="n"/>
      <c r="Q120" s="63" t="n"/>
      <c r="R120" s="61">
        <f>IF($P120&gt;0,CHOOSE(MATCH($B$4,'Служебный лист'!$A$4:$A$8,0),I120,J120,K120,L120,M120),"")</f>
        <v/>
      </c>
      <c r="S120" s="61">
        <f>IFERROR($P120*$R120,0)</f>
        <v/>
      </c>
      <c r="T120" s="61">
        <f>$S120*1.22</f>
        <v/>
      </c>
      <c r="U120" s="64">
        <f>IF($P120&gt;0,COUNTIF($P$11:P120,"&gt;0"),"")</f>
        <v/>
      </c>
    </row>
    <row r="121" ht="14.25" customHeight="1" s="49">
      <c r="A121" s="58" t="n"/>
      <c r="B121" s="58" t="n"/>
      <c r="C121" s="59" t="n"/>
      <c r="D121" s="59" t="n"/>
      <c r="E121" s="59" t="n"/>
      <c r="F121" s="58" t="n"/>
      <c r="G121" s="60" t="n"/>
      <c r="H121" s="60" t="n"/>
      <c r="I121" s="61" t="n"/>
      <c r="J121" s="61" t="n"/>
      <c r="K121" s="61" t="n"/>
      <c r="L121" s="61" t="n"/>
      <c r="M121" s="61" t="n"/>
      <c r="N121" s="58" t="n"/>
      <c r="O121" s="59" t="n"/>
      <c r="P121" s="62" t="n"/>
      <c r="Q121" s="63" t="n"/>
      <c r="R121" s="61">
        <f>IF($P121&gt;0,CHOOSE(MATCH($B$4,'Служебный лист'!$A$4:$A$8,0),I121,J121,K121,L121,M121),"")</f>
        <v/>
      </c>
      <c r="S121" s="61">
        <f>IFERROR($P121*$R121,0)</f>
        <v/>
      </c>
      <c r="T121" s="61">
        <f>$S121*1.22</f>
        <v/>
      </c>
      <c r="U121" s="64">
        <f>IF($P121&gt;0,COUNTIF($P$11:P121,"&gt;0"),"")</f>
        <v/>
      </c>
    </row>
    <row r="122" ht="14.25" customHeight="1" s="49">
      <c r="A122" s="58" t="n"/>
      <c r="B122" s="58" t="n"/>
      <c r="C122" s="59" t="n"/>
      <c r="D122" s="59" t="n"/>
      <c r="E122" s="59" t="n"/>
      <c r="F122" s="58" t="n"/>
      <c r="G122" s="60" t="n"/>
      <c r="H122" s="60" t="n"/>
      <c r="I122" s="61" t="n"/>
      <c r="J122" s="61" t="n"/>
      <c r="K122" s="61" t="n"/>
      <c r="L122" s="61" t="n"/>
      <c r="M122" s="61" t="n"/>
      <c r="N122" s="58" t="n"/>
      <c r="O122" s="59" t="n"/>
      <c r="P122" s="62" t="n"/>
      <c r="Q122" s="63" t="n"/>
      <c r="R122" s="61">
        <f>IF($P122&gt;0,CHOOSE(MATCH($B$4,'Служебный лист'!$A$4:$A$8,0),I122,J122,K122,L122,M122),"")</f>
        <v/>
      </c>
      <c r="S122" s="61">
        <f>IFERROR($P122*$R122,0)</f>
        <v/>
      </c>
      <c r="T122" s="61">
        <f>$S122*1.22</f>
        <v/>
      </c>
      <c r="U122" s="64">
        <f>IF($P122&gt;0,COUNTIF($P$11:P122,"&gt;0"),"")</f>
        <v/>
      </c>
    </row>
    <row r="123" ht="14.25" customHeight="1" s="49">
      <c r="A123" s="58" t="n"/>
      <c r="B123" s="58" t="n"/>
      <c r="C123" s="59" t="n"/>
      <c r="D123" s="59" t="n"/>
      <c r="E123" s="59" t="n"/>
      <c r="F123" s="58" t="n"/>
      <c r="G123" s="60" t="n"/>
      <c r="H123" s="60" t="n"/>
      <c r="I123" s="61" t="n"/>
      <c r="J123" s="61" t="n"/>
      <c r="K123" s="61" t="n"/>
      <c r="L123" s="61" t="n"/>
      <c r="M123" s="61" t="n"/>
      <c r="N123" s="58" t="n"/>
      <c r="O123" s="59" t="n"/>
      <c r="P123" s="62" t="n"/>
      <c r="Q123" s="63" t="n"/>
      <c r="R123" s="61">
        <f>IF($P123&gt;0,CHOOSE(MATCH($B$4,'Служебный лист'!$A$4:$A$8,0),I123,J123,K123,L123,M123),"")</f>
        <v/>
      </c>
      <c r="S123" s="61">
        <f>IFERROR($P123*$R123,0)</f>
        <v/>
      </c>
      <c r="T123" s="61">
        <f>$S123*1.22</f>
        <v/>
      </c>
      <c r="U123" s="64">
        <f>IF($P123&gt;0,COUNTIF($P$11:P123,"&gt;0"),"")</f>
        <v/>
      </c>
    </row>
    <row r="124" ht="14.25" customHeight="1" s="49">
      <c r="A124" s="58" t="n"/>
      <c r="B124" s="58" t="n"/>
      <c r="C124" s="59" t="n"/>
      <c r="D124" s="59" t="n"/>
      <c r="E124" s="59" t="n"/>
      <c r="F124" s="58" t="n"/>
      <c r="G124" s="60" t="n"/>
      <c r="H124" s="60" t="n"/>
      <c r="I124" s="61" t="n"/>
      <c r="J124" s="61" t="n"/>
      <c r="K124" s="61" t="n"/>
      <c r="L124" s="61" t="n"/>
      <c r="M124" s="61" t="n"/>
      <c r="N124" s="58" t="n"/>
      <c r="O124" s="59" t="n"/>
      <c r="P124" s="62" t="n"/>
      <c r="Q124" s="63" t="n"/>
      <c r="R124" s="61">
        <f>IF($P124&gt;0,CHOOSE(MATCH($B$4,'Служебный лист'!$A$4:$A$8,0),I124,J124,K124,L124,M124),"")</f>
        <v/>
      </c>
      <c r="S124" s="61">
        <f>IFERROR($P124*$R124,0)</f>
        <v/>
      </c>
      <c r="T124" s="61">
        <f>$S124*1.22</f>
        <v/>
      </c>
      <c r="U124" s="64">
        <f>IF($P124&gt;0,COUNTIF($P$11:P124,"&gt;0"),"")</f>
        <v/>
      </c>
    </row>
    <row r="125" ht="14.25" customHeight="1" s="49">
      <c r="A125" s="58" t="n"/>
      <c r="B125" s="58" t="n"/>
      <c r="C125" s="59" t="n"/>
      <c r="D125" s="59" t="n"/>
      <c r="E125" s="59" t="n"/>
      <c r="F125" s="58" t="n"/>
      <c r="G125" s="60" t="n"/>
      <c r="H125" s="60" t="n"/>
      <c r="I125" s="61" t="n"/>
      <c r="J125" s="61" t="n"/>
      <c r="K125" s="61" t="n"/>
      <c r="L125" s="61" t="n"/>
      <c r="M125" s="61" t="n"/>
      <c r="N125" s="58" t="n"/>
      <c r="O125" s="59" t="n"/>
      <c r="P125" s="62" t="n"/>
      <c r="Q125" s="63" t="n"/>
      <c r="R125" s="61">
        <f>IF($P125&gt;0,CHOOSE(MATCH($B$4,'Служебный лист'!$A$4:$A$8,0),I125,J125,K125,L125,M125),"")</f>
        <v/>
      </c>
      <c r="S125" s="61">
        <f>IFERROR($P125*$R125,0)</f>
        <v/>
      </c>
      <c r="T125" s="61">
        <f>$S125*1.22</f>
        <v/>
      </c>
      <c r="U125" s="64">
        <f>IF($P125&gt;0,COUNTIF($P$11:P125,"&gt;0"),"")</f>
        <v/>
      </c>
    </row>
    <row r="126" ht="14.25" customHeight="1" s="49">
      <c r="A126" s="58" t="n"/>
      <c r="B126" s="58" t="n"/>
      <c r="C126" s="59" t="n"/>
      <c r="D126" s="59" t="n"/>
      <c r="E126" s="59" t="n"/>
      <c r="F126" s="58" t="n"/>
      <c r="G126" s="60" t="n"/>
      <c r="H126" s="60" t="n"/>
      <c r="I126" s="61" t="n"/>
      <c r="J126" s="61" t="n"/>
      <c r="K126" s="61" t="n"/>
      <c r="L126" s="61" t="n"/>
      <c r="M126" s="61" t="n"/>
      <c r="N126" s="58" t="n"/>
      <c r="O126" s="59" t="n"/>
      <c r="P126" s="62" t="n"/>
      <c r="Q126" s="63" t="n"/>
      <c r="R126" s="61">
        <f>IF($P126&gt;0,CHOOSE(MATCH($B$4,'Служебный лист'!$A$4:$A$8,0),I126,J126,K126,L126,M126),"")</f>
        <v/>
      </c>
      <c r="S126" s="61">
        <f>IFERROR($P126*$R126,0)</f>
        <v/>
      </c>
      <c r="T126" s="61">
        <f>$S126*1.22</f>
        <v/>
      </c>
      <c r="U126" s="64">
        <f>IF($P126&gt;0,COUNTIF($P$11:P126,"&gt;0"),"")</f>
        <v/>
      </c>
    </row>
    <row r="127" ht="14.25" customHeight="1" s="49">
      <c r="A127" s="58" t="n"/>
      <c r="B127" s="58" t="n"/>
      <c r="C127" s="59" t="n"/>
      <c r="D127" s="59" t="n"/>
      <c r="E127" s="59" t="n"/>
      <c r="F127" s="58" t="n"/>
      <c r="G127" s="60" t="n"/>
      <c r="H127" s="60" t="n"/>
      <c r="I127" s="61" t="n"/>
      <c r="J127" s="61" t="n"/>
      <c r="K127" s="61" t="n"/>
      <c r="L127" s="61" t="n"/>
      <c r="M127" s="61" t="n"/>
      <c r="N127" s="58" t="n"/>
      <c r="O127" s="59" t="n"/>
      <c r="P127" s="62" t="n"/>
      <c r="Q127" s="63" t="n"/>
      <c r="R127" s="61">
        <f>IF($P127&gt;0,CHOOSE(MATCH($B$4,'Служебный лист'!$A$4:$A$8,0),I127,J127,K127,L127,M127),"")</f>
        <v/>
      </c>
      <c r="S127" s="61">
        <f>IFERROR($P127*$R127,0)</f>
        <v/>
      </c>
      <c r="T127" s="61">
        <f>$S127*1.22</f>
        <v/>
      </c>
      <c r="U127" s="64">
        <f>IF($P127&gt;0,COUNTIF($P$11:P127,"&gt;0"),"")</f>
        <v/>
      </c>
    </row>
    <row r="128" ht="14.25" customHeight="1" s="49">
      <c r="A128" s="58" t="n"/>
      <c r="B128" s="58" t="n"/>
      <c r="C128" s="59" t="n"/>
      <c r="D128" s="59" t="n"/>
      <c r="E128" s="59" t="n"/>
      <c r="F128" s="58" t="n"/>
      <c r="G128" s="60" t="n"/>
      <c r="H128" s="60" t="n"/>
      <c r="I128" s="61" t="n"/>
      <c r="J128" s="61" t="n"/>
      <c r="K128" s="61" t="n"/>
      <c r="L128" s="61" t="n"/>
      <c r="M128" s="61" t="n"/>
      <c r="N128" s="58" t="n"/>
      <c r="O128" s="59" t="n"/>
      <c r="P128" s="62" t="n"/>
      <c r="Q128" s="63" t="n"/>
      <c r="R128" s="61">
        <f>IF($P128&gt;0,CHOOSE(MATCH($B$4,'Служебный лист'!$A$4:$A$8,0),I128,J128,K128,L128,M128),"")</f>
        <v/>
      </c>
      <c r="S128" s="61">
        <f>IFERROR($P128*$R128,0)</f>
        <v/>
      </c>
      <c r="T128" s="61">
        <f>$S128*1.22</f>
        <v/>
      </c>
      <c r="U128" s="64">
        <f>IF($P128&gt;0,COUNTIF($P$11:P128,"&gt;0"),"")</f>
        <v/>
      </c>
    </row>
    <row r="129" ht="14.25" customHeight="1" s="49">
      <c r="A129" s="58" t="n"/>
      <c r="B129" s="58" t="n"/>
      <c r="C129" s="59" t="n"/>
      <c r="D129" s="59" t="n"/>
      <c r="E129" s="59" t="n"/>
      <c r="F129" s="58" t="n"/>
      <c r="G129" s="60" t="n"/>
      <c r="H129" s="60" t="n"/>
      <c r="I129" s="61" t="n"/>
      <c r="J129" s="61" t="n"/>
      <c r="K129" s="61" t="n"/>
      <c r="L129" s="61" t="n"/>
      <c r="M129" s="61" t="n"/>
      <c r="N129" s="58" t="n"/>
      <c r="O129" s="59" t="n"/>
      <c r="P129" s="62" t="n"/>
      <c r="Q129" s="63" t="n"/>
      <c r="R129" s="61">
        <f>IF($P129&gt;0,CHOOSE(MATCH($B$4,'Служебный лист'!$A$4:$A$8,0),I129,J129,K129,L129,M129),"")</f>
        <v/>
      </c>
      <c r="S129" s="61">
        <f>IFERROR($P129*$R129,0)</f>
        <v/>
      </c>
      <c r="T129" s="61">
        <f>$S129*1.22</f>
        <v/>
      </c>
      <c r="U129" s="64">
        <f>IF($P129&gt;0,COUNTIF($P$11:P129,"&gt;0"),"")</f>
        <v/>
      </c>
    </row>
    <row r="130" ht="14.25" customHeight="1" s="49">
      <c r="A130" s="58" t="n"/>
      <c r="B130" s="58" t="n"/>
      <c r="C130" s="59" t="n"/>
      <c r="D130" s="59" t="n"/>
      <c r="E130" s="59" t="n"/>
      <c r="F130" s="58" t="n"/>
      <c r="G130" s="60" t="n"/>
      <c r="H130" s="60" t="n"/>
      <c r="I130" s="61" t="n"/>
      <c r="J130" s="61" t="n"/>
      <c r="K130" s="61" t="n"/>
      <c r="L130" s="61" t="n"/>
      <c r="M130" s="61" t="n"/>
      <c r="N130" s="58" t="n"/>
      <c r="O130" s="59" t="n"/>
      <c r="P130" s="62" t="n"/>
      <c r="Q130" s="63" t="n"/>
      <c r="R130" s="61">
        <f>IF($P130&gt;0,CHOOSE(MATCH($B$4,'Служебный лист'!$A$4:$A$8,0),I130,J130,K130,L130,M130),"")</f>
        <v/>
      </c>
      <c r="S130" s="61">
        <f>IFERROR($P130*$R130,0)</f>
        <v/>
      </c>
      <c r="T130" s="61">
        <f>$S130*1.22</f>
        <v/>
      </c>
      <c r="U130" s="64">
        <f>IF($P130&gt;0,COUNTIF($P$11:P130,"&gt;0"),"")</f>
        <v/>
      </c>
    </row>
    <row r="131" ht="14.25" customHeight="1" s="49">
      <c r="A131" s="58" t="n"/>
      <c r="B131" s="58" t="n"/>
      <c r="C131" s="59" t="n"/>
      <c r="D131" s="59" t="n"/>
      <c r="E131" s="59" t="n"/>
      <c r="F131" s="58" t="n"/>
      <c r="G131" s="60" t="n"/>
      <c r="H131" s="60" t="n"/>
      <c r="I131" s="61" t="n"/>
      <c r="J131" s="61" t="n"/>
      <c r="K131" s="61" t="n"/>
      <c r="L131" s="61" t="n"/>
      <c r="M131" s="61" t="n"/>
      <c r="N131" s="58" t="n"/>
      <c r="O131" s="59" t="n"/>
      <c r="P131" s="62" t="n"/>
      <c r="Q131" s="63" t="n"/>
      <c r="R131" s="61">
        <f>IF($P131&gt;0,CHOOSE(MATCH($B$4,'Служебный лист'!$A$4:$A$8,0),I131,J131,K131,L131,M131),"")</f>
        <v/>
      </c>
      <c r="S131" s="61">
        <f>IFERROR($P131*$R131,0)</f>
        <v/>
      </c>
      <c r="T131" s="61">
        <f>$S131*1.22</f>
        <v/>
      </c>
      <c r="U131" s="64">
        <f>IF($P131&gt;0,COUNTIF($P$11:P131,"&gt;0"),"")</f>
        <v/>
      </c>
    </row>
    <row r="132" ht="14.25" customHeight="1" s="49">
      <c r="A132" s="58" t="n"/>
      <c r="B132" s="58" t="n"/>
      <c r="C132" s="59" t="n"/>
      <c r="D132" s="59" t="n"/>
      <c r="E132" s="59" t="n"/>
      <c r="F132" s="58" t="n"/>
      <c r="G132" s="60" t="n"/>
      <c r="H132" s="60" t="n"/>
      <c r="I132" s="61" t="n"/>
      <c r="J132" s="61" t="n"/>
      <c r="K132" s="61" t="n"/>
      <c r="L132" s="61" t="n"/>
      <c r="M132" s="61" t="n"/>
      <c r="N132" s="58" t="n"/>
      <c r="O132" s="59" t="n"/>
      <c r="P132" s="62" t="n"/>
      <c r="Q132" s="63" t="n"/>
      <c r="R132" s="61">
        <f>IF($P132&gt;0,CHOOSE(MATCH($B$4,'Служебный лист'!$A$4:$A$8,0),I132,J132,K132,L132,M132),"")</f>
        <v/>
      </c>
      <c r="S132" s="61">
        <f>IFERROR($P132*$R132,0)</f>
        <v/>
      </c>
      <c r="T132" s="61">
        <f>$S132*1.22</f>
        <v/>
      </c>
      <c r="U132" s="64">
        <f>IF($P132&gt;0,COUNTIF($P$11:P132,"&gt;0"),"")</f>
        <v/>
      </c>
    </row>
    <row r="133" ht="14.25" customHeight="1" s="49">
      <c r="A133" s="58" t="n"/>
      <c r="B133" s="58" t="n"/>
      <c r="C133" s="59" t="n"/>
      <c r="D133" s="59" t="n"/>
      <c r="E133" s="59" t="n"/>
      <c r="F133" s="58" t="n"/>
      <c r="G133" s="60" t="n"/>
      <c r="H133" s="60" t="n"/>
      <c r="I133" s="61" t="n"/>
      <c r="J133" s="61" t="n"/>
      <c r="K133" s="61" t="n"/>
      <c r="L133" s="61" t="n"/>
      <c r="M133" s="61" t="n"/>
      <c r="N133" s="58" t="n"/>
      <c r="O133" s="59" t="n"/>
      <c r="P133" s="62" t="n"/>
      <c r="Q133" s="63" t="n"/>
      <c r="R133" s="61">
        <f>IF($P133&gt;0,CHOOSE(MATCH($B$4,'Служебный лист'!$A$4:$A$8,0),I133,J133,K133,L133,M133),"")</f>
        <v/>
      </c>
      <c r="S133" s="61">
        <f>IFERROR($P133*$R133,0)</f>
        <v/>
      </c>
      <c r="T133" s="61">
        <f>$S133*1.22</f>
        <v/>
      </c>
      <c r="U133" s="64">
        <f>IF($P133&gt;0,COUNTIF($P$11:P133,"&gt;0"),"")</f>
        <v/>
      </c>
    </row>
    <row r="134" ht="14.25" customHeight="1" s="49">
      <c r="A134" s="58" t="n"/>
      <c r="B134" s="58" t="n"/>
      <c r="C134" s="59" t="n"/>
      <c r="D134" s="59" t="n"/>
      <c r="E134" s="59" t="n"/>
      <c r="F134" s="58" t="n"/>
      <c r="G134" s="60" t="n"/>
      <c r="H134" s="60" t="n"/>
      <c r="I134" s="61" t="n"/>
      <c r="J134" s="61" t="n"/>
      <c r="K134" s="61" t="n"/>
      <c r="L134" s="61" t="n"/>
      <c r="M134" s="61" t="n"/>
      <c r="N134" s="58" t="n"/>
      <c r="O134" s="59" t="n"/>
      <c r="P134" s="62" t="n"/>
      <c r="Q134" s="63" t="n"/>
      <c r="R134" s="61">
        <f>IF($P134&gt;0,CHOOSE(MATCH($B$4,'Служебный лист'!$A$4:$A$8,0),I134,J134,K134,L134,M134),"")</f>
        <v/>
      </c>
      <c r="S134" s="61">
        <f>IFERROR($P134*$R134,0)</f>
        <v/>
      </c>
      <c r="T134" s="61">
        <f>$S134*1.22</f>
        <v/>
      </c>
      <c r="U134" s="64">
        <f>IF($P134&gt;0,COUNTIF($P$11:P134,"&gt;0"),"")</f>
        <v/>
      </c>
    </row>
    <row r="135" ht="14.25" customHeight="1" s="49">
      <c r="A135" s="58" t="n"/>
      <c r="B135" s="58" t="n"/>
      <c r="C135" s="59" t="n"/>
      <c r="D135" s="59" t="n"/>
      <c r="E135" s="59" t="n"/>
      <c r="F135" s="58" t="n"/>
      <c r="G135" s="60" t="n"/>
      <c r="H135" s="60" t="n"/>
      <c r="I135" s="61" t="n"/>
      <c r="J135" s="61" t="n"/>
      <c r="K135" s="61" t="n"/>
      <c r="L135" s="61" t="n"/>
      <c r="M135" s="61" t="n"/>
      <c r="N135" s="58" t="n"/>
      <c r="O135" s="59" t="n"/>
      <c r="P135" s="62" t="n"/>
      <c r="Q135" s="63" t="n"/>
      <c r="R135" s="61">
        <f>IF($P135&gt;0,CHOOSE(MATCH($B$4,'Служебный лист'!$A$4:$A$8,0),I135,J135,K135,L135,M135),"")</f>
        <v/>
      </c>
      <c r="S135" s="61">
        <f>IFERROR($P135*$R135,0)</f>
        <v/>
      </c>
      <c r="T135" s="61">
        <f>$S135*1.22</f>
        <v/>
      </c>
      <c r="U135" s="64">
        <f>IF($P135&gt;0,COUNTIF($P$11:P135,"&gt;0"),"")</f>
        <v/>
      </c>
    </row>
    <row r="136" ht="14.25" customHeight="1" s="49">
      <c r="A136" s="58" t="n"/>
      <c r="B136" s="58" t="n"/>
      <c r="C136" s="59" t="n"/>
      <c r="D136" s="59" t="n"/>
      <c r="E136" s="59" t="n"/>
      <c r="F136" s="58" t="n"/>
      <c r="G136" s="60" t="n"/>
      <c r="H136" s="60" t="n"/>
      <c r="I136" s="61" t="n"/>
      <c r="J136" s="61" t="n"/>
      <c r="K136" s="61" t="n"/>
      <c r="L136" s="61" t="n"/>
      <c r="M136" s="61" t="n"/>
      <c r="N136" s="58" t="n"/>
      <c r="O136" s="59" t="n"/>
      <c r="P136" s="62" t="n"/>
      <c r="Q136" s="63" t="n"/>
      <c r="R136" s="61">
        <f>IF($P136&gt;0,CHOOSE(MATCH($B$4,'Служебный лист'!$A$4:$A$8,0),I136,J136,K136,L136,M136),"")</f>
        <v/>
      </c>
      <c r="S136" s="61">
        <f>IFERROR($P136*$R136,0)</f>
        <v/>
      </c>
      <c r="T136" s="61">
        <f>$S136*1.22</f>
        <v/>
      </c>
      <c r="U136" s="64">
        <f>IF($P136&gt;0,COUNTIF($P$11:P136,"&gt;0"),"")</f>
        <v/>
      </c>
    </row>
    <row r="137" ht="14.25" customHeight="1" s="49">
      <c r="A137" s="58" t="n"/>
      <c r="B137" s="58" t="n"/>
      <c r="C137" s="59" t="n"/>
      <c r="D137" s="59" t="n"/>
      <c r="E137" s="59" t="n"/>
      <c r="F137" s="58" t="n"/>
      <c r="G137" s="60" t="n"/>
      <c r="H137" s="60" t="n"/>
      <c r="I137" s="61" t="n"/>
      <c r="J137" s="61" t="n"/>
      <c r="K137" s="61" t="n"/>
      <c r="L137" s="61" t="n"/>
      <c r="M137" s="61" t="n"/>
      <c r="N137" s="58" t="n"/>
      <c r="O137" s="59" t="n"/>
      <c r="P137" s="62" t="n"/>
      <c r="Q137" s="63" t="n"/>
      <c r="R137" s="61">
        <f>IF($P137&gt;0,CHOOSE(MATCH($B$4,'Служебный лист'!$A$4:$A$8,0),I137,J137,K137,L137,M137),"")</f>
        <v/>
      </c>
      <c r="S137" s="61">
        <f>IFERROR($P137*$R137,0)</f>
        <v/>
      </c>
      <c r="T137" s="61">
        <f>$S137*1.22</f>
        <v/>
      </c>
      <c r="U137" s="64">
        <f>IF($P137&gt;0,COUNTIF($P$11:P137,"&gt;0"),"")</f>
        <v/>
      </c>
    </row>
    <row r="138" ht="14.25" customHeight="1" s="49">
      <c r="A138" s="58" t="n"/>
      <c r="B138" s="58" t="n"/>
      <c r="C138" s="59" t="n"/>
      <c r="D138" s="59" t="n"/>
      <c r="E138" s="59" t="n"/>
      <c r="F138" s="58" t="n"/>
      <c r="G138" s="60" t="n"/>
      <c r="H138" s="60" t="n"/>
      <c r="I138" s="61" t="n"/>
      <c r="J138" s="61" t="n"/>
      <c r="K138" s="61" t="n"/>
      <c r="L138" s="61" t="n"/>
      <c r="M138" s="61" t="n"/>
      <c r="N138" s="58" t="n"/>
      <c r="O138" s="59" t="n"/>
      <c r="P138" s="62" t="n"/>
      <c r="Q138" s="63" t="n"/>
      <c r="R138" s="61">
        <f>IF($P138&gt;0,CHOOSE(MATCH($B$4,'Служебный лист'!$A$4:$A$8,0),I138,J138,K138,L138,M138),"")</f>
        <v/>
      </c>
      <c r="S138" s="61">
        <f>IFERROR($P138*$R138,0)</f>
        <v/>
      </c>
      <c r="T138" s="61">
        <f>$S138*1.22</f>
        <v/>
      </c>
      <c r="U138" s="64">
        <f>IF($P138&gt;0,COUNTIF($P$11:P138,"&gt;0"),"")</f>
        <v/>
      </c>
    </row>
    <row r="139" ht="14.25" customHeight="1" s="49">
      <c r="A139" s="58" t="n"/>
      <c r="B139" s="58" t="n"/>
      <c r="C139" s="59" t="n"/>
      <c r="D139" s="59" t="n"/>
      <c r="E139" s="59" t="n"/>
      <c r="F139" s="58" t="n"/>
      <c r="G139" s="60" t="n"/>
      <c r="H139" s="60" t="n"/>
      <c r="I139" s="61" t="n"/>
      <c r="J139" s="61" t="n"/>
      <c r="K139" s="61" t="n"/>
      <c r="L139" s="61" t="n"/>
      <c r="M139" s="61" t="n"/>
      <c r="N139" s="58" t="n"/>
      <c r="O139" s="59" t="n"/>
      <c r="P139" s="62" t="n"/>
      <c r="Q139" s="63" t="n"/>
      <c r="R139" s="61">
        <f>IF($P139&gt;0,CHOOSE(MATCH($B$4,'Служебный лист'!$A$4:$A$8,0),I139,J139,K139,L139,M139),"")</f>
        <v/>
      </c>
      <c r="S139" s="61">
        <f>IFERROR($P139*$R139,0)</f>
        <v/>
      </c>
      <c r="T139" s="61">
        <f>$S139*1.22</f>
        <v/>
      </c>
      <c r="U139" s="64">
        <f>IF($P139&gt;0,COUNTIF($P$11:P139,"&gt;0"),"")</f>
        <v/>
      </c>
    </row>
    <row r="140" ht="14.25" customHeight="1" s="49">
      <c r="A140" s="58" t="n"/>
      <c r="B140" s="58" t="n"/>
      <c r="C140" s="59" t="n"/>
      <c r="D140" s="59" t="n"/>
      <c r="E140" s="59" t="n"/>
      <c r="F140" s="58" t="n"/>
      <c r="G140" s="60" t="n"/>
      <c r="H140" s="60" t="n"/>
      <c r="I140" s="61" t="n"/>
      <c r="J140" s="61" t="n"/>
      <c r="K140" s="61" t="n"/>
      <c r="L140" s="61" t="n"/>
      <c r="M140" s="61" t="n"/>
      <c r="N140" s="58" t="n"/>
      <c r="O140" s="59" t="n"/>
      <c r="P140" s="62" t="n"/>
      <c r="Q140" s="63" t="n"/>
      <c r="R140" s="61">
        <f>IF($P140&gt;0,CHOOSE(MATCH($B$4,'Служебный лист'!$A$4:$A$8,0),I140,J140,K140,L140,M140),"")</f>
        <v/>
      </c>
      <c r="S140" s="61">
        <f>IFERROR($P140*$R140,0)</f>
        <v/>
      </c>
      <c r="T140" s="61">
        <f>$S140*1.22</f>
        <v/>
      </c>
      <c r="U140" s="64">
        <f>IF($P140&gt;0,COUNTIF($P$11:P140,"&gt;0"),"")</f>
        <v/>
      </c>
    </row>
    <row r="141" ht="14.25" customHeight="1" s="49">
      <c r="A141" s="58" t="n"/>
      <c r="B141" s="58" t="n"/>
      <c r="C141" s="59" t="n"/>
      <c r="D141" s="59" t="n"/>
      <c r="E141" s="59" t="n"/>
      <c r="F141" s="58" t="n"/>
      <c r="G141" s="60" t="n"/>
      <c r="H141" s="60" t="n"/>
      <c r="I141" s="61" t="n"/>
      <c r="J141" s="61" t="n"/>
      <c r="K141" s="61" t="n"/>
      <c r="L141" s="61" t="n"/>
      <c r="M141" s="61" t="n"/>
      <c r="N141" s="58" t="n"/>
      <c r="O141" s="59" t="n"/>
      <c r="P141" s="62" t="n"/>
      <c r="Q141" s="63" t="n"/>
      <c r="R141" s="61">
        <f>IF($P141&gt;0,CHOOSE(MATCH($B$4,'Служебный лист'!$A$4:$A$8,0),I141,J141,K141,L141,M141),"")</f>
        <v/>
      </c>
      <c r="S141" s="61">
        <f>IFERROR($P141*$R141,0)</f>
        <v/>
      </c>
      <c r="T141" s="61">
        <f>$S141*1.22</f>
        <v/>
      </c>
      <c r="U141" s="64">
        <f>IF($P141&gt;0,COUNTIF($P$11:P141,"&gt;0"),"")</f>
        <v/>
      </c>
    </row>
    <row r="142" ht="14.25" customHeight="1" s="49">
      <c r="A142" s="58" t="n"/>
      <c r="B142" s="58" t="n"/>
      <c r="C142" s="59" t="n"/>
      <c r="D142" s="59" t="n"/>
      <c r="E142" s="59" t="n"/>
      <c r="F142" s="58" t="n"/>
      <c r="G142" s="60" t="n"/>
      <c r="H142" s="60" t="n"/>
      <c r="I142" s="61" t="n"/>
      <c r="J142" s="61" t="n"/>
      <c r="K142" s="61" t="n"/>
      <c r="L142" s="61" t="n"/>
      <c r="M142" s="61" t="n"/>
      <c r="N142" s="58" t="n"/>
      <c r="O142" s="59" t="n"/>
      <c r="P142" s="62" t="n"/>
      <c r="Q142" s="63" t="n"/>
      <c r="R142" s="61">
        <f>IF($P142&gt;0,CHOOSE(MATCH($B$4,'Служебный лист'!$A$4:$A$8,0),I142,J142,K142,L142,M142),"")</f>
        <v/>
      </c>
      <c r="S142" s="61">
        <f>IFERROR($P142*$R142,0)</f>
        <v/>
      </c>
      <c r="T142" s="61">
        <f>$S142*1.22</f>
        <v/>
      </c>
      <c r="U142" s="64">
        <f>IF($P142&gt;0,COUNTIF($P$11:P142,"&gt;0"),"")</f>
        <v/>
      </c>
    </row>
    <row r="143" ht="14.25" customHeight="1" s="49">
      <c r="A143" s="58" t="n"/>
      <c r="B143" s="58" t="n"/>
      <c r="C143" s="59" t="n"/>
      <c r="D143" s="59" t="n"/>
      <c r="E143" s="59" t="n"/>
      <c r="F143" s="58" t="n"/>
      <c r="G143" s="60" t="n"/>
      <c r="H143" s="60" t="n"/>
      <c r="I143" s="61" t="n"/>
      <c r="J143" s="61" t="n"/>
      <c r="K143" s="61" t="n"/>
      <c r="L143" s="61" t="n"/>
      <c r="M143" s="61" t="n"/>
      <c r="N143" s="58" t="n"/>
      <c r="O143" s="59" t="n"/>
      <c r="P143" s="62" t="n"/>
      <c r="Q143" s="63" t="n"/>
      <c r="R143" s="61">
        <f>IF($P143&gt;0,CHOOSE(MATCH($B$4,'Служебный лист'!$A$4:$A$8,0),I143,J143,K143,L143,M143),"")</f>
        <v/>
      </c>
      <c r="S143" s="61">
        <f>IFERROR($P143*$R143,0)</f>
        <v/>
      </c>
      <c r="T143" s="61">
        <f>$S143*1.22</f>
        <v/>
      </c>
      <c r="U143" s="64">
        <f>IF($P143&gt;0,COUNTIF($P$11:P143,"&gt;0"),"")</f>
        <v/>
      </c>
    </row>
    <row r="144" ht="14.25" customHeight="1" s="49">
      <c r="A144" s="58" t="n"/>
      <c r="B144" s="58" t="n"/>
      <c r="C144" s="59" t="n"/>
      <c r="D144" s="59" t="n"/>
      <c r="E144" s="59" t="n"/>
      <c r="F144" s="58" t="n"/>
      <c r="G144" s="60" t="n"/>
      <c r="H144" s="60" t="n"/>
      <c r="I144" s="61" t="n"/>
      <c r="J144" s="61" t="n"/>
      <c r="K144" s="61" t="n"/>
      <c r="L144" s="61" t="n"/>
      <c r="M144" s="61" t="n"/>
      <c r="N144" s="58" t="n"/>
      <c r="O144" s="59" t="n"/>
      <c r="P144" s="62" t="n"/>
      <c r="Q144" s="63" t="n"/>
      <c r="R144" s="61">
        <f>IF($P144&gt;0,CHOOSE(MATCH($B$4,'Служебный лист'!$A$4:$A$8,0),I144,J144,K144,L144,M144),"")</f>
        <v/>
      </c>
      <c r="S144" s="61">
        <f>IFERROR($P144*$R144,0)</f>
        <v/>
      </c>
      <c r="T144" s="61">
        <f>$S144*1.22</f>
        <v/>
      </c>
      <c r="U144" s="64">
        <f>IF($P144&gt;0,COUNTIF($P$11:P144,"&gt;0"),"")</f>
        <v/>
      </c>
    </row>
    <row r="145" ht="14.25" customHeight="1" s="49">
      <c r="A145" s="58" t="n"/>
      <c r="B145" s="58" t="n"/>
      <c r="C145" s="59" t="n"/>
      <c r="D145" s="59" t="n"/>
      <c r="E145" s="59" t="n"/>
      <c r="F145" s="58" t="n"/>
      <c r="G145" s="60" t="n"/>
      <c r="H145" s="60" t="n"/>
      <c r="I145" s="61" t="n"/>
      <c r="J145" s="61" t="n"/>
      <c r="K145" s="61" t="n"/>
      <c r="L145" s="61" t="n"/>
      <c r="M145" s="61" t="n"/>
      <c r="N145" s="58" t="n"/>
      <c r="O145" s="59" t="n"/>
      <c r="P145" s="62" t="n"/>
      <c r="Q145" s="63" t="n"/>
      <c r="R145" s="61">
        <f>IF($P145&gt;0,CHOOSE(MATCH($B$4,'Служебный лист'!$A$4:$A$8,0),I145,J145,K145,L145,M145),"")</f>
        <v/>
      </c>
      <c r="S145" s="61">
        <f>IFERROR($P145*$R145,0)</f>
        <v/>
      </c>
      <c r="T145" s="61">
        <f>$S145*1.22</f>
        <v/>
      </c>
      <c r="U145" s="64">
        <f>IF($P145&gt;0,COUNTIF($P$11:P145,"&gt;0"),"")</f>
        <v/>
      </c>
    </row>
    <row r="146" ht="14.25" customHeight="1" s="49">
      <c r="A146" s="58" t="n"/>
      <c r="B146" s="58" t="n"/>
      <c r="C146" s="59" t="n"/>
      <c r="D146" s="59" t="n"/>
      <c r="E146" s="59" t="n"/>
      <c r="F146" s="58" t="n"/>
      <c r="G146" s="60" t="n"/>
      <c r="H146" s="60" t="n"/>
      <c r="I146" s="61" t="n"/>
      <c r="J146" s="61" t="n"/>
      <c r="K146" s="61" t="n"/>
      <c r="L146" s="61" t="n"/>
      <c r="M146" s="61" t="n"/>
      <c r="N146" s="58" t="n"/>
      <c r="O146" s="59" t="n"/>
      <c r="P146" s="62" t="n"/>
      <c r="Q146" s="63" t="n"/>
      <c r="R146" s="61">
        <f>IF($P146&gt;0,CHOOSE(MATCH($B$4,'Служебный лист'!$A$4:$A$8,0),I146,J146,K146,L146,M146),"")</f>
        <v/>
      </c>
      <c r="S146" s="61">
        <f>IFERROR($P146*$R146,0)</f>
        <v/>
      </c>
      <c r="T146" s="61">
        <f>$S146*1.22</f>
        <v/>
      </c>
      <c r="U146" s="64">
        <f>IF($P146&gt;0,COUNTIF($P$11:P146,"&gt;0"),"")</f>
        <v/>
      </c>
    </row>
    <row r="147" ht="14.25" customHeight="1" s="49">
      <c r="A147" s="58" t="n"/>
      <c r="B147" s="58" t="n"/>
      <c r="C147" s="59" t="n"/>
      <c r="D147" s="59" t="n"/>
      <c r="E147" s="59" t="n"/>
      <c r="F147" s="58" t="n"/>
      <c r="G147" s="60" t="n"/>
      <c r="H147" s="60" t="n"/>
      <c r="I147" s="61" t="n"/>
      <c r="J147" s="61" t="n"/>
      <c r="K147" s="61" t="n"/>
      <c r="L147" s="61" t="n"/>
      <c r="M147" s="61" t="n"/>
      <c r="N147" s="58" t="n"/>
      <c r="O147" s="59" t="n"/>
      <c r="P147" s="62" t="n"/>
      <c r="Q147" s="63" t="n"/>
      <c r="R147" s="61">
        <f>IF($P147&gt;0,CHOOSE(MATCH($B$4,'Служебный лист'!$A$4:$A$8,0),I147,J147,K147,L147,M147),"")</f>
        <v/>
      </c>
      <c r="S147" s="61">
        <f>IFERROR($P147*$R147,0)</f>
        <v/>
      </c>
      <c r="T147" s="61">
        <f>$S147*1.22</f>
        <v/>
      </c>
      <c r="U147" s="64">
        <f>IF($P147&gt;0,COUNTIF($P$11:P147,"&gt;0"),"")</f>
        <v/>
      </c>
    </row>
    <row r="148" ht="14.25" customHeight="1" s="49">
      <c r="A148" s="58" t="n"/>
      <c r="B148" s="58" t="n"/>
      <c r="C148" s="59" t="n"/>
      <c r="D148" s="59" t="n"/>
      <c r="E148" s="59" t="n"/>
      <c r="F148" s="58" t="n"/>
      <c r="G148" s="60" t="n"/>
      <c r="H148" s="60" t="n"/>
      <c r="I148" s="61" t="n"/>
      <c r="J148" s="61" t="n"/>
      <c r="K148" s="61" t="n"/>
      <c r="L148" s="61" t="n"/>
      <c r="M148" s="61" t="n"/>
      <c r="N148" s="58" t="n"/>
      <c r="O148" s="59" t="n"/>
      <c r="P148" s="62" t="n"/>
      <c r="Q148" s="63" t="n"/>
      <c r="R148" s="61">
        <f>IF($P148&gt;0,CHOOSE(MATCH($B$4,'Служебный лист'!$A$4:$A$8,0),I148,J148,K148,L148,M148),"")</f>
        <v/>
      </c>
      <c r="S148" s="61">
        <f>IFERROR($P148*$R148,0)</f>
        <v/>
      </c>
      <c r="T148" s="61">
        <f>$S148*1.22</f>
        <v/>
      </c>
      <c r="U148" s="64">
        <f>IF($P148&gt;0,COUNTIF($P$11:P148,"&gt;0"),"")</f>
        <v/>
      </c>
    </row>
    <row r="149" ht="14.25" customHeight="1" s="49">
      <c r="A149" s="58" t="n"/>
      <c r="B149" s="58" t="n"/>
      <c r="C149" s="59" t="n"/>
      <c r="D149" s="59" t="n"/>
      <c r="E149" s="59" t="n"/>
      <c r="F149" s="58" t="n"/>
      <c r="G149" s="60" t="n"/>
      <c r="H149" s="60" t="n"/>
      <c r="I149" s="61" t="n"/>
      <c r="J149" s="61" t="n"/>
      <c r="K149" s="61" t="n"/>
      <c r="L149" s="61" t="n"/>
      <c r="M149" s="61" t="n"/>
      <c r="N149" s="58" t="n"/>
      <c r="O149" s="59" t="n"/>
      <c r="P149" s="62" t="n"/>
      <c r="Q149" s="63" t="n"/>
      <c r="R149" s="61">
        <f>IF($P149&gt;0,CHOOSE(MATCH($B$4,'Служебный лист'!$A$4:$A$8,0),I149,J149,K149,L149,M149),"")</f>
        <v/>
      </c>
      <c r="S149" s="61">
        <f>IFERROR($P149*$R149,0)</f>
        <v/>
      </c>
      <c r="T149" s="61">
        <f>$S149*1.22</f>
        <v/>
      </c>
      <c r="U149" s="64">
        <f>IF($P149&gt;0,COUNTIF($P$11:P149,"&gt;0"),"")</f>
        <v/>
      </c>
    </row>
    <row r="150" ht="14.25" customHeight="1" s="49">
      <c r="A150" s="58" t="n"/>
      <c r="B150" s="58" t="n"/>
      <c r="C150" s="59" t="n"/>
      <c r="D150" s="59" t="n"/>
      <c r="E150" s="59" t="n"/>
      <c r="F150" s="58" t="n"/>
      <c r="G150" s="60" t="n"/>
      <c r="H150" s="60" t="n"/>
      <c r="I150" s="61" t="n"/>
      <c r="J150" s="61" t="n"/>
      <c r="K150" s="61" t="n"/>
      <c r="L150" s="61" t="n"/>
      <c r="M150" s="61" t="n"/>
      <c r="N150" s="58" t="n"/>
      <c r="O150" s="59" t="n"/>
      <c r="P150" s="62" t="n"/>
      <c r="Q150" s="63" t="n"/>
      <c r="R150" s="61">
        <f>IF($P150&gt;0,CHOOSE(MATCH($B$4,'Служебный лист'!$A$4:$A$8,0),I150,J150,K150,L150,M150),"")</f>
        <v/>
      </c>
      <c r="S150" s="61">
        <f>IFERROR($P150*$R150,0)</f>
        <v/>
      </c>
      <c r="T150" s="61">
        <f>$S150*1.22</f>
        <v/>
      </c>
      <c r="U150" s="64">
        <f>IF($P150&gt;0,COUNTIF($P$11:P150,"&gt;0"),"")</f>
        <v/>
      </c>
    </row>
    <row r="151" ht="14.25" customHeight="1" s="49">
      <c r="A151" s="58" t="n"/>
      <c r="B151" s="58" t="n"/>
      <c r="C151" s="59" t="n"/>
      <c r="D151" s="59" t="n"/>
      <c r="E151" s="59" t="n"/>
      <c r="F151" s="58" t="n"/>
      <c r="G151" s="60" t="n"/>
      <c r="H151" s="60" t="n"/>
      <c r="I151" s="61" t="n"/>
      <c r="J151" s="61" t="n"/>
      <c r="K151" s="61" t="n"/>
      <c r="L151" s="61" t="n"/>
      <c r="M151" s="61" t="n"/>
      <c r="N151" s="58" t="n"/>
      <c r="O151" s="59" t="n"/>
      <c r="P151" s="62" t="n"/>
      <c r="Q151" s="63" t="n"/>
      <c r="R151" s="61">
        <f>IF($P151&gt;0,CHOOSE(MATCH($B$4,'Служебный лист'!$A$4:$A$8,0),I151,J151,K151,L151,M151),"")</f>
        <v/>
      </c>
      <c r="S151" s="61">
        <f>IFERROR($P151*$R151,0)</f>
        <v/>
      </c>
      <c r="T151" s="61">
        <f>$S151*1.22</f>
        <v/>
      </c>
      <c r="U151" s="64">
        <f>IF($P151&gt;0,COUNTIF($P$11:P151,"&gt;0"),"")</f>
        <v/>
      </c>
    </row>
    <row r="152" ht="14.25" customHeight="1" s="49">
      <c r="A152" s="58" t="n"/>
      <c r="B152" s="58" t="n"/>
      <c r="C152" s="59" t="n"/>
      <c r="D152" s="59" t="n"/>
      <c r="E152" s="59" t="n"/>
      <c r="F152" s="58" t="n"/>
      <c r="G152" s="60" t="n"/>
      <c r="H152" s="60" t="n"/>
      <c r="I152" s="61" t="n"/>
      <c r="J152" s="61" t="n"/>
      <c r="K152" s="61" t="n"/>
      <c r="L152" s="61" t="n"/>
      <c r="M152" s="61" t="n"/>
      <c r="N152" s="58" t="n"/>
      <c r="O152" s="59" t="n"/>
      <c r="P152" s="62" t="n"/>
      <c r="Q152" s="63" t="n"/>
      <c r="R152" s="61">
        <f>IF($P152&gt;0,CHOOSE(MATCH($B$4,'Служебный лист'!$A$4:$A$8,0),I152,J152,K152,L152,M152),"")</f>
        <v/>
      </c>
      <c r="S152" s="61">
        <f>IFERROR($P152*$R152,0)</f>
        <v/>
      </c>
      <c r="T152" s="61">
        <f>$S152*1.22</f>
        <v/>
      </c>
      <c r="U152" s="64">
        <f>IF($P152&gt;0,COUNTIF($P$11:P152,"&gt;0"),"")</f>
        <v/>
      </c>
    </row>
    <row r="153" ht="14.25" customHeight="1" s="49">
      <c r="A153" s="58" t="n"/>
      <c r="B153" s="58" t="n"/>
      <c r="C153" s="59" t="n"/>
      <c r="D153" s="59" t="n"/>
      <c r="E153" s="59" t="n"/>
      <c r="F153" s="58" t="n"/>
      <c r="G153" s="60" t="n"/>
      <c r="H153" s="60" t="n"/>
      <c r="I153" s="61" t="n"/>
      <c r="J153" s="61" t="n"/>
      <c r="K153" s="61" t="n"/>
      <c r="L153" s="61" t="n"/>
      <c r="M153" s="61" t="n"/>
      <c r="N153" s="58" t="n"/>
      <c r="O153" s="59" t="n"/>
      <c r="P153" s="62" t="n"/>
      <c r="Q153" s="63" t="n"/>
      <c r="R153" s="61">
        <f>IF($P153&gt;0,CHOOSE(MATCH($B$4,'Служебный лист'!$A$4:$A$8,0),I153,J153,K153,L153,M153),"")</f>
        <v/>
      </c>
      <c r="S153" s="61">
        <f>IFERROR($P153*$R153,0)</f>
        <v/>
      </c>
      <c r="T153" s="61">
        <f>$S153*1.22</f>
        <v/>
      </c>
      <c r="U153" s="64">
        <f>IF($P153&gt;0,COUNTIF($P$11:P153,"&gt;0"),"")</f>
        <v/>
      </c>
    </row>
    <row r="154" ht="14.25" customHeight="1" s="49">
      <c r="A154" s="58" t="n"/>
      <c r="B154" s="58" t="n"/>
      <c r="C154" s="59" t="n"/>
      <c r="D154" s="59" t="n"/>
      <c r="E154" s="59" t="n"/>
      <c r="F154" s="58" t="n"/>
      <c r="G154" s="60" t="n"/>
      <c r="H154" s="60" t="n"/>
      <c r="I154" s="61" t="n"/>
      <c r="J154" s="61" t="n"/>
      <c r="K154" s="61" t="n"/>
      <c r="L154" s="61" t="n"/>
      <c r="M154" s="61" t="n"/>
      <c r="N154" s="58" t="n"/>
      <c r="O154" s="59" t="n"/>
      <c r="P154" s="62" t="n"/>
      <c r="Q154" s="63" t="n"/>
      <c r="R154" s="61">
        <f>IF($P154&gt;0,CHOOSE(MATCH($B$4,'Служебный лист'!$A$4:$A$8,0),I154,J154,K154,L154,M154),"")</f>
        <v/>
      </c>
      <c r="S154" s="61">
        <f>IFERROR($P154*$R154,0)</f>
        <v/>
      </c>
      <c r="T154" s="61">
        <f>$S154*1.22</f>
        <v/>
      </c>
      <c r="U154" s="64">
        <f>IF($P154&gt;0,COUNTIF($P$11:P154,"&gt;0"),"")</f>
        <v/>
      </c>
    </row>
    <row r="155" ht="14.25" customHeight="1" s="49">
      <c r="A155" s="58" t="n"/>
      <c r="B155" s="58" t="n"/>
      <c r="C155" s="59" t="n"/>
      <c r="D155" s="59" t="n"/>
      <c r="E155" s="59" t="n"/>
      <c r="F155" s="58" t="n"/>
      <c r="G155" s="60" t="n"/>
      <c r="H155" s="60" t="n"/>
      <c r="I155" s="61" t="n"/>
      <c r="J155" s="61" t="n"/>
      <c r="K155" s="61" t="n"/>
      <c r="L155" s="61" t="n"/>
      <c r="M155" s="61" t="n"/>
      <c r="N155" s="58" t="n"/>
      <c r="O155" s="59" t="n"/>
      <c r="P155" s="62" t="n"/>
      <c r="Q155" s="63" t="n"/>
      <c r="R155" s="61">
        <f>IF($P155&gt;0,CHOOSE(MATCH($B$4,'Служебный лист'!$A$4:$A$8,0),I155,J155,K155,L155,M155),"")</f>
        <v/>
      </c>
      <c r="S155" s="61">
        <f>IFERROR($P155*$R155,0)</f>
        <v/>
      </c>
      <c r="T155" s="61">
        <f>$S155*1.22</f>
        <v/>
      </c>
      <c r="U155" s="64">
        <f>IF($P155&gt;0,COUNTIF($P$11:P155,"&gt;0"),"")</f>
        <v/>
      </c>
    </row>
    <row r="156" ht="14.25" customHeight="1" s="49">
      <c r="A156" s="58" t="n"/>
      <c r="B156" s="58" t="n"/>
      <c r="C156" s="59" t="n"/>
      <c r="D156" s="59" t="n"/>
      <c r="E156" s="59" t="n"/>
      <c r="F156" s="58" t="n"/>
      <c r="G156" s="60" t="n"/>
      <c r="H156" s="60" t="n"/>
      <c r="I156" s="61" t="n"/>
      <c r="J156" s="61" t="n"/>
      <c r="K156" s="61" t="n"/>
      <c r="L156" s="61" t="n"/>
      <c r="M156" s="61" t="n"/>
      <c r="N156" s="58" t="n"/>
      <c r="O156" s="59" t="n"/>
      <c r="P156" s="62" t="n"/>
      <c r="Q156" s="63" t="n"/>
      <c r="R156" s="61">
        <f>IF($P156&gt;0,CHOOSE(MATCH($B$4,'Служебный лист'!$A$4:$A$8,0),I156,J156,K156,L156,M156),"")</f>
        <v/>
      </c>
      <c r="S156" s="61">
        <f>IFERROR($P156*$R156,0)</f>
        <v/>
      </c>
      <c r="T156" s="61">
        <f>$S156*1.22</f>
        <v/>
      </c>
      <c r="U156" s="64">
        <f>IF($P156&gt;0,COUNTIF($P$11:P156,"&gt;0"),"")</f>
        <v/>
      </c>
    </row>
    <row r="157" ht="14.25" customHeight="1" s="49">
      <c r="A157" s="58" t="n"/>
      <c r="B157" s="58" t="n"/>
      <c r="C157" s="59" t="n"/>
      <c r="D157" s="59" t="n"/>
      <c r="E157" s="59" t="n"/>
      <c r="F157" s="58" t="n"/>
      <c r="G157" s="60" t="n"/>
      <c r="H157" s="60" t="n"/>
      <c r="I157" s="61" t="n"/>
      <c r="J157" s="61" t="n"/>
      <c r="K157" s="61" t="n"/>
      <c r="L157" s="61" t="n"/>
      <c r="M157" s="61" t="n"/>
      <c r="N157" s="58" t="n"/>
      <c r="O157" s="59" t="n"/>
      <c r="P157" s="62" t="n"/>
      <c r="Q157" s="63" t="n"/>
      <c r="R157" s="61">
        <f>IF($P157&gt;0,CHOOSE(MATCH($B$4,'Служебный лист'!$A$4:$A$8,0),I157,J157,K157,L157,M157),"")</f>
        <v/>
      </c>
      <c r="S157" s="61">
        <f>IFERROR($P157*$R157,0)</f>
        <v/>
      </c>
      <c r="T157" s="61">
        <f>$S157*1.22</f>
        <v/>
      </c>
      <c r="U157" s="64">
        <f>IF($P157&gt;0,COUNTIF($P$11:P157,"&gt;0"),"")</f>
        <v/>
      </c>
    </row>
    <row r="158" ht="14.25" customHeight="1" s="49">
      <c r="A158" s="58" t="n"/>
      <c r="B158" s="58" t="n"/>
      <c r="C158" s="59" t="n"/>
      <c r="D158" s="59" t="n"/>
      <c r="E158" s="59" t="n"/>
      <c r="F158" s="58" t="n"/>
      <c r="G158" s="60" t="n"/>
      <c r="H158" s="60" t="n"/>
      <c r="I158" s="61" t="n"/>
      <c r="J158" s="61" t="n"/>
      <c r="K158" s="61" t="n"/>
      <c r="L158" s="61" t="n"/>
      <c r="M158" s="61" t="n"/>
      <c r="N158" s="58" t="n"/>
      <c r="O158" s="59" t="n"/>
      <c r="P158" s="62" t="n"/>
      <c r="Q158" s="63" t="n"/>
      <c r="R158" s="61">
        <f>IF($P158&gt;0,CHOOSE(MATCH($B$4,'Служебный лист'!$A$4:$A$8,0),I158,J158,K158,L158,M158),"")</f>
        <v/>
      </c>
      <c r="S158" s="61">
        <f>IFERROR($P158*$R158,0)</f>
        <v/>
      </c>
      <c r="T158" s="61">
        <f>$S158*1.22</f>
        <v/>
      </c>
      <c r="U158" s="64">
        <f>IF($P158&gt;0,COUNTIF($P$11:P158,"&gt;0"),"")</f>
        <v/>
      </c>
    </row>
    <row r="159" ht="14.25" customHeight="1" s="49">
      <c r="A159" s="58" t="n"/>
      <c r="B159" s="58" t="n"/>
      <c r="C159" s="59" t="n"/>
      <c r="D159" s="59" t="n"/>
      <c r="E159" s="59" t="n"/>
      <c r="F159" s="58" t="n"/>
      <c r="G159" s="60" t="n"/>
      <c r="H159" s="60" t="n"/>
      <c r="I159" s="61" t="n"/>
      <c r="J159" s="61" t="n"/>
      <c r="K159" s="61" t="n"/>
      <c r="L159" s="61" t="n"/>
      <c r="M159" s="61" t="n"/>
      <c r="N159" s="58" t="n"/>
      <c r="O159" s="59" t="n"/>
      <c r="P159" s="62" t="n"/>
      <c r="Q159" s="63" t="n"/>
      <c r="R159" s="61">
        <f>IF($P159&gt;0,CHOOSE(MATCH($B$4,'Служебный лист'!$A$4:$A$8,0),I159,J159,K159,L159,M159),"")</f>
        <v/>
      </c>
      <c r="S159" s="61">
        <f>IFERROR($P159*$R159,0)</f>
        <v/>
      </c>
      <c r="T159" s="61">
        <f>$S159*1.22</f>
        <v/>
      </c>
      <c r="U159" s="64">
        <f>IF($P159&gt;0,COUNTIF($P$11:P159,"&gt;0"),"")</f>
        <v/>
      </c>
    </row>
    <row r="160" ht="14.25" customHeight="1" s="49">
      <c r="A160" s="58" t="n"/>
      <c r="B160" s="58" t="n"/>
      <c r="C160" s="59" t="n"/>
      <c r="D160" s="59" t="n"/>
      <c r="E160" s="59" t="n"/>
      <c r="F160" s="58" t="n"/>
      <c r="G160" s="60" t="n"/>
      <c r="H160" s="60" t="n"/>
      <c r="I160" s="61" t="n"/>
      <c r="J160" s="61" t="n"/>
      <c r="K160" s="61" t="n"/>
      <c r="L160" s="61" t="n"/>
      <c r="M160" s="61" t="n"/>
      <c r="N160" s="58" t="n"/>
      <c r="O160" s="59" t="n"/>
      <c r="P160" s="62" t="n"/>
      <c r="Q160" s="63" t="n"/>
      <c r="R160" s="61">
        <f>IF($P160&gt;0,CHOOSE(MATCH($B$4,'Служебный лист'!$A$4:$A$8,0),I160,J160,K160,L160,M160),"")</f>
        <v/>
      </c>
      <c r="S160" s="61">
        <f>IFERROR($P160*$R160,0)</f>
        <v/>
      </c>
      <c r="T160" s="61">
        <f>$S160*1.22</f>
        <v/>
      </c>
      <c r="U160" s="64">
        <f>IF($P160&gt;0,COUNTIF($P$11:P160,"&gt;0"),"")</f>
        <v/>
      </c>
    </row>
    <row r="161" ht="14.25" customHeight="1" s="49">
      <c r="A161" s="58" t="n"/>
      <c r="B161" s="58" t="n"/>
      <c r="C161" s="59" t="n"/>
      <c r="D161" s="59" t="n"/>
      <c r="E161" s="59" t="n"/>
      <c r="F161" s="58" t="n"/>
      <c r="G161" s="60" t="n"/>
      <c r="H161" s="60" t="n"/>
      <c r="I161" s="61" t="n"/>
      <c r="J161" s="61" t="n"/>
      <c r="K161" s="61" t="n"/>
      <c r="L161" s="61" t="n"/>
      <c r="M161" s="61" t="n"/>
      <c r="N161" s="58" t="n"/>
      <c r="O161" s="59" t="n"/>
      <c r="P161" s="62" t="n"/>
      <c r="Q161" s="63" t="n"/>
      <c r="R161" s="61">
        <f>IF($P161&gt;0,CHOOSE(MATCH($B$4,'Служебный лист'!$A$4:$A$8,0),I161,J161,K161,L161,M161),"")</f>
        <v/>
      </c>
      <c r="S161" s="61">
        <f>IFERROR($P161*$R161,0)</f>
        <v/>
      </c>
      <c r="T161" s="61">
        <f>$S161*1.22</f>
        <v/>
      </c>
      <c r="U161" s="64">
        <f>IF($P161&gt;0,COUNTIF($P$11:P161,"&gt;0"),"")</f>
        <v/>
      </c>
    </row>
    <row r="162" ht="14.25" customHeight="1" s="49">
      <c r="A162" s="58" t="n"/>
      <c r="B162" s="58" t="n"/>
      <c r="C162" s="59" t="n"/>
      <c r="D162" s="59" t="n"/>
      <c r="E162" s="59" t="n"/>
      <c r="F162" s="58" t="n"/>
      <c r="G162" s="60" t="n"/>
      <c r="H162" s="60" t="n"/>
      <c r="I162" s="61" t="n"/>
      <c r="J162" s="61" t="n"/>
      <c r="K162" s="61" t="n"/>
      <c r="L162" s="61" t="n"/>
      <c r="M162" s="61" t="n"/>
      <c r="N162" s="58" t="n"/>
      <c r="O162" s="59" t="n"/>
      <c r="P162" s="62" t="n"/>
      <c r="Q162" s="63" t="n"/>
      <c r="R162" s="61">
        <f>IF($P162&gt;0,CHOOSE(MATCH($B$4,'Служебный лист'!$A$4:$A$8,0),I162,J162,K162,L162,M162),"")</f>
        <v/>
      </c>
      <c r="S162" s="61">
        <f>IFERROR($P162*$R162,0)</f>
        <v/>
      </c>
      <c r="T162" s="61">
        <f>$S162*1.22</f>
        <v/>
      </c>
      <c r="U162" s="64">
        <f>IF($P162&gt;0,COUNTIF($P$11:P162,"&gt;0"),"")</f>
        <v/>
      </c>
    </row>
    <row r="163" ht="14.25" customHeight="1" s="49">
      <c r="A163" s="58" t="n"/>
      <c r="B163" s="58" t="n"/>
      <c r="C163" s="59" t="n"/>
      <c r="D163" s="59" t="n"/>
      <c r="E163" s="59" t="n"/>
      <c r="F163" s="58" t="n"/>
      <c r="G163" s="60" t="n"/>
      <c r="H163" s="60" t="n"/>
      <c r="I163" s="61" t="n"/>
      <c r="J163" s="61" t="n"/>
      <c r="K163" s="61" t="n"/>
      <c r="L163" s="61" t="n"/>
      <c r="M163" s="61" t="n"/>
      <c r="N163" s="58" t="n"/>
      <c r="O163" s="59" t="n"/>
      <c r="P163" s="62" t="n"/>
      <c r="Q163" s="63" t="n"/>
      <c r="R163" s="61">
        <f>IF($P163&gt;0,CHOOSE(MATCH($B$4,'Служебный лист'!$A$4:$A$8,0),I163,J163,K163,L163,M163),"")</f>
        <v/>
      </c>
      <c r="S163" s="61">
        <f>IFERROR($P163*$R163,0)</f>
        <v/>
      </c>
      <c r="T163" s="61">
        <f>$S163*1.22</f>
        <v/>
      </c>
      <c r="U163" s="64">
        <f>IF($P163&gt;0,COUNTIF($P$11:P163,"&gt;0"),"")</f>
        <v/>
      </c>
    </row>
    <row r="164" ht="14.25" customHeight="1" s="49">
      <c r="A164" s="58" t="n"/>
      <c r="B164" s="58" t="n"/>
      <c r="C164" s="59" t="n"/>
      <c r="D164" s="59" t="n"/>
      <c r="E164" s="59" t="n"/>
      <c r="F164" s="58" t="n"/>
      <c r="G164" s="60" t="n"/>
      <c r="H164" s="60" t="n"/>
      <c r="I164" s="61" t="n"/>
      <c r="J164" s="61" t="n"/>
      <c r="K164" s="61" t="n"/>
      <c r="L164" s="61" t="n"/>
      <c r="M164" s="61" t="n"/>
      <c r="N164" s="58" t="n"/>
      <c r="O164" s="59" t="n"/>
      <c r="P164" s="62" t="n"/>
      <c r="Q164" s="63" t="n"/>
      <c r="R164" s="61">
        <f>IF($P164&gt;0,CHOOSE(MATCH($B$4,'Служебный лист'!$A$4:$A$8,0),I164,J164,K164,L164,M164),"")</f>
        <v/>
      </c>
      <c r="S164" s="61">
        <f>IFERROR($P164*$R164,0)</f>
        <v/>
      </c>
      <c r="T164" s="61">
        <f>$S164*1.22</f>
        <v/>
      </c>
      <c r="U164" s="64">
        <f>IF($P164&gt;0,COUNTIF($P$11:P164,"&gt;0"),"")</f>
        <v/>
      </c>
    </row>
    <row r="165" ht="14.25" customHeight="1" s="49">
      <c r="A165" s="58" t="n"/>
      <c r="B165" s="58" t="n"/>
      <c r="C165" s="59" t="n"/>
      <c r="D165" s="59" t="n"/>
      <c r="E165" s="59" t="n"/>
      <c r="F165" s="58" t="n"/>
      <c r="G165" s="60" t="n"/>
      <c r="H165" s="60" t="n"/>
      <c r="I165" s="61" t="n"/>
      <c r="J165" s="61" t="n"/>
      <c r="K165" s="61" t="n"/>
      <c r="L165" s="61" t="n"/>
      <c r="M165" s="61" t="n"/>
      <c r="N165" s="58" t="n"/>
      <c r="O165" s="59" t="n"/>
      <c r="P165" s="62" t="n"/>
      <c r="Q165" s="63" t="n"/>
      <c r="R165" s="61">
        <f>IF($P165&gt;0,CHOOSE(MATCH($B$4,'Служебный лист'!$A$4:$A$8,0),I165,J165,K165,L165,M165),"")</f>
        <v/>
      </c>
      <c r="S165" s="61">
        <f>IFERROR($P165*$R165,0)</f>
        <v/>
      </c>
      <c r="T165" s="61">
        <f>$S165*1.22</f>
        <v/>
      </c>
      <c r="U165" s="64">
        <f>IF($P165&gt;0,COUNTIF($P$11:P165,"&gt;0"),"")</f>
        <v/>
      </c>
    </row>
    <row r="166" ht="14.25" customHeight="1" s="49">
      <c r="A166" s="58" t="n"/>
      <c r="B166" s="58" t="n"/>
      <c r="C166" s="59" t="n"/>
      <c r="D166" s="59" t="n"/>
      <c r="E166" s="59" t="n"/>
      <c r="F166" s="58" t="n"/>
      <c r="G166" s="60" t="n"/>
      <c r="H166" s="60" t="n"/>
      <c r="I166" s="61" t="n"/>
      <c r="J166" s="61" t="n"/>
      <c r="K166" s="61" t="n"/>
      <c r="L166" s="61" t="n"/>
      <c r="M166" s="61" t="n"/>
      <c r="N166" s="58" t="n"/>
      <c r="O166" s="59" t="n"/>
      <c r="P166" s="62" t="n"/>
      <c r="Q166" s="63" t="n"/>
      <c r="R166" s="61">
        <f>IF($P166&gt;0,CHOOSE(MATCH($B$4,'Служебный лист'!$A$4:$A$8,0),I166,J166,K166,L166,M166),"")</f>
        <v/>
      </c>
      <c r="S166" s="61">
        <f>IFERROR($P166*$R166,0)</f>
        <v/>
      </c>
      <c r="T166" s="61">
        <f>$S166*1.22</f>
        <v/>
      </c>
      <c r="U166" s="64">
        <f>IF($P166&gt;0,COUNTIF($P$11:P166,"&gt;0"),"")</f>
        <v/>
      </c>
    </row>
    <row r="167" ht="14.25" customHeight="1" s="49">
      <c r="A167" s="58" t="n"/>
      <c r="B167" s="58" t="n"/>
      <c r="C167" s="59" t="n"/>
      <c r="D167" s="59" t="n"/>
      <c r="E167" s="59" t="n"/>
      <c r="F167" s="58" t="n"/>
      <c r="G167" s="60" t="n"/>
      <c r="H167" s="60" t="n"/>
      <c r="I167" s="61" t="n"/>
      <c r="J167" s="61" t="n"/>
      <c r="K167" s="61" t="n"/>
      <c r="L167" s="61" t="n"/>
      <c r="M167" s="61" t="n"/>
      <c r="N167" s="58" t="n"/>
      <c r="O167" s="59" t="n"/>
      <c r="P167" s="62" t="n"/>
      <c r="Q167" s="63" t="n"/>
      <c r="R167" s="61">
        <f>IF($P167&gt;0,CHOOSE(MATCH($B$4,'Служебный лист'!$A$4:$A$8,0),I167,J167,K167,L167,M167),"")</f>
        <v/>
      </c>
      <c r="S167" s="61">
        <f>IFERROR($P167*$R167,0)</f>
        <v/>
      </c>
      <c r="T167" s="61">
        <f>$S167*1.22</f>
        <v/>
      </c>
      <c r="U167" s="64">
        <f>IF($P167&gt;0,COUNTIF($P$11:P167,"&gt;0"),"")</f>
        <v/>
      </c>
    </row>
    <row r="168" ht="14.25" customHeight="1" s="49">
      <c r="A168" s="58" t="n"/>
      <c r="B168" s="58" t="n"/>
      <c r="C168" s="59" t="n"/>
      <c r="D168" s="59" t="n"/>
      <c r="E168" s="59" t="n"/>
      <c r="F168" s="58" t="n"/>
      <c r="G168" s="60" t="n"/>
      <c r="H168" s="60" t="n"/>
      <c r="I168" s="61" t="n"/>
      <c r="J168" s="61" t="n"/>
      <c r="K168" s="61" t="n"/>
      <c r="L168" s="61" t="n"/>
      <c r="M168" s="61" t="n"/>
      <c r="N168" s="58" t="n"/>
      <c r="O168" s="59" t="n"/>
      <c r="P168" s="62" t="n"/>
      <c r="Q168" s="63" t="n"/>
      <c r="R168" s="61">
        <f>IF($P168&gt;0,CHOOSE(MATCH($B$4,'Служебный лист'!$A$4:$A$8,0),I168,J168,K168,L168,M168),"")</f>
        <v/>
      </c>
      <c r="S168" s="61">
        <f>IFERROR($P168*$R168,0)</f>
        <v/>
      </c>
      <c r="T168" s="61">
        <f>$S168*1.22</f>
        <v/>
      </c>
      <c r="U168" s="64">
        <f>IF($P168&gt;0,COUNTIF($P$11:P168,"&gt;0"),"")</f>
        <v/>
      </c>
    </row>
    <row r="169" ht="14.25" customHeight="1" s="49">
      <c r="A169" s="58" t="n"/>
      <c r="B169" s="58" t="n"/>
      <c r="C169" s="59" t="n"/>
      <c r="D169" s="59" t="n"/>
      <c r="E169" s="59" t="n"/>
      <c r="F169" s="58" t="n"/>
      <c r="G169" s="60" t="n"/>
      <c r="H169" s="60" t="n"/>
      <c r="I169" s="61" t="n"/>
      <c r="J169" s="61" t="n"/>
      <c r="K169" s="61" t="n"/>
      <c r="L169" s="61" t="n"/>
      <c r="M169" s="61" t="n"/>
      <c r="N169" s="58" t="n"/>
      <c r="O169" s="59" t="n"/>
      <c r="P169" s="62" t="n"/>
      <c r="Q169" s="63" t="n"/>
      <c r="R169" s="61">
        <f>IF($P169&gt;0,CHOOSE(MATCH($B$4,'Служебный лист'!$A$4:$A$8,0),I169,J169,K169,L169,M169),"")</f>
        <v/>
      </c>
      <c r="S169" s="61">
        <f>IFERROR($P169*$R169,0)</f>
        <v/>
      </c>
      <c r="T169" s="61">
        <f>$S169*1.22</f>
        <v/>
      </c>
      <c r="U169" s="64">
        <f>IF($P169&gt;0,COUNTIF($P$11:P169,"&gt;0"),"")</f>
        <v/>
      </c>
    </row>
    <row r="170" ht="14.25" customHeight="1" s="49">
      <c r="A170" s="58" t="n"/>
      <c r="B170" s="58" t="n"/>
      <c r="C170" s="59" t="n"/>
      <c r="D170" s="59" t="n"/>
      <c r="E170" s="59" t="n"/>
      <c r="F170" s="58" t="n"/>
      <c r="G170" s="60" t="n"/>
      <c r="H170" s="60" t="n"/>
      <c r="I170" s="61" t="n"/>
      <c r="J170" s="61" t="n"/>
      <c r="K170" s="61" t="n"/>
      <c r="L170" s="61" t="n"/>
      <c r="M170" s="61" t="n"/>
      <c r="N170" s="58" t="n"/>
      <c r="O170" s="59" t="n"/>
      <c r="P170" s="62" t="n"/>
      <c r="Q170" s="63" t="n"/>
      <c r="R170" s="61">
        <f>IF($P170&gt;0,CHOOSE(MATCH($B$4,'Служебный лист'!$A$4:$A$8,0),I170,J170,K170,L170,M170),"")</f>
        <v/>
      </c>
      <c r="S170" s="61">
        <f>IFERROR($P170*$R170,0)</f>
        <v/>
      </c>
      <c r="T170" s="61">
        <f>$S170*1.22</f>
        <v/>
      </c>
      <c r="U170" s="64">
        <f>IF($P170&gt;0,COUNTIF($P$11:P170,"&gt;0"),"")</f>
        <v/>
      </c>
    </row>
    <row r="171" ht="14.25" customHeight="1" s="49">
      <c r="A171" s="58" t="n"/>
      <c r="B171" s="58" t="n"/>
      <c r="C171" s="59" t="n"/>
      <c r="D171" s="59" t="n"/>
      <c r="E171" s="59" t="n"/>
      <c r="F171" s="58" t="n"/>
      <c r="G171" s="60" t="n"/>
      <c r="H171" s="60" t="n"/>
      <c r="I171" s="61" t="n"/>
      <c r="J171" s="61" t="n"/>
      <c r="K171" s="61" t="n"/>
      <c r="L171" s="61" t="n"/>
      <c r="M171" s="61" t="n"/>
      <c r="N171" s="58" t="n"/>
      <c r="O171" s="59" t="n"/>
      <c r="P171" s="62" t="n"/>
      <c r="Q171" s="63" t="n"/>
      <c r="R171" s="61">
        <f>IF($P171&gt;0,CHOOSE(MATCH($B$4,'Служебный лист'!$A$4:$A$8,0),I171,J171,K171,L171,M171),"")</f>
        <v/>
      </c>
      <c r="S171" s="61">
        <f>IFERROR($P171*$R171,0)</f>
        <v/>
      </c>
      <c r="T171" s="61">
        <f>$S171*1.22</f>
        <v/>
      </c>
      <c r="U171" s="64">
        <f>IF($P171&gt;0,COUNTIF($P$11:P171,"&gt;0"),"")</f>
        <v/>
      </c>
    </row>
    <row r="172" ht="14.25" customHeight="1" s="49">
      <c r="A172" s="58" t="n"/>
      <c r="B172" s="58" t="n"/>
      <c r="C172" s="59" t="n"/>
      <c r="D172" s="59" t="n"/>
      <c r="E172" s="59" t="n"/>
      <c r="F172" s="58" t="n"/>
      <c r="G172" s="60" t="n"/>
      <c r="H172" s="60" t="n"/>
      <c r="I172" s="61" t="n"/>
      <c r="J172" s="61" t="n"/>
      <c r="K172" s="61" t="n"/>
      <c r="L172" s="61" t="n"/>
      <c r="M172" s="61" t="n"/>
      <c r="N172" s="58" t="n"/>
      <c r="O172" s="59" t="n"/>
      <c r="P172" s="62" t="n"/>
      <c r="Q172" s="63" t="n"/>
      <c r="R172" s="61">
        <f>IF($P172&gt;0,CHOOSE(MATCH($B$4,'Служебный лист'!$A$4:$A$8,0),I172,J172,K172,L172,M172),"")</f>
        <v/>
      </c>
      <c r="S172" s="61">
        <f>IFERROR($P172*$R172,0)</f>
        <v/>
      </c>
      <c r="T172" s="61">
        <f>$S172*1.22</f>
        <v/>
      </c>
      <c r="U172" s="64">
        <f>IF($P172&gt;0,COUNTIF($P$11:P172,"&gt;0"),"")</f>
        <v/>
      </c>
    </row>
    <row r="173" ht="14.25" customHeight="1" s="49">
      <c r="A173" s="58" t="n"/>
      <c r="B173" s="58" t="n"/>
      <c r="C173" s="59" t="n"/>
      <c r="D173" s="59" t="n"/>
      <c r="E173" s="59" t="n"/>
      <c r="F173" s="58" t="n"/>
      <c r="G173" s="60" t="n"/>
      <c r="H173" s="60" t="n"/>
      <c r="I173" s="61" t="n"/>
      <c r="J173" s="61" t="n"/>
      <c r="K173" s="61" t="n"/>
      <c r="L173" s="61" t="n"/>
      <c r="M173" s="61" t="n"/>
      <c r="N173" s="58" t="n"/>
      <c r="O173" s="59" t="n"/>
      <c r="P173" s="62" t="n"/>
      <c r="Q173" s="63" t="n"/>
      <c r="R173" s="61">
        <f>IF($P173&gt;0,CHOOSE(MATCH($B$4,'Служебный лист'!$A$4:$A$8,0),I173,J173,K173,L173,M173),"")</f>
        <v/>
      </c>
      <c r="S173" s="61">
        <f>IFERROR($P173*$R173,0)</f>
        <v/>
      </c>
      <c r="T173" s="61">
        <f>$S173*1.22</f>
        <v/>
      </c>
      <c r="U173" s="64">
        <f>IF($P173&gt;0,COUNTIF($P$11:P173,"&gt;0"),"")</f>
        <v/>
      </c>
    </row>
    <row r="174" ht="14.25" customHeight="1" s="49">
      <c r="A174" s="58" t="n"/>
      <c r="B174" s="58" t="n"/>
      <c r="C174" s="59" t="n"/>
      <c r="D174" s="59" t="n"/>
      <c r="E174" s="59" t="n"/>
      <c r="F174" s="58" t="n"/>
      <c r="G174" s="60" t="n"/>
      <c r="H174" s="60" t="n"/>
      <c r="I174" s="61" t="n"/>
      <c r="J174" s="61" t="n"/>
      <c r="K174" s="61" t="n"/>
      <c r="L174" s="61" t="n"/>
      <c r="M174" s="61" t="n"/>
      <c r="N174" s="58" t="n"/>
      <c r="O174" s="59" t="n"/>
      <c r="P174" s="62" t="n"/>
      <c r="Q174" s="63" t="n"/>
      <c r="R174" s="61">
        <f>IF($P174&gt;0,CHOOSE(MATCH($B$4,'Служебный лист'!$A$4:$A$8,0),I174,J174,K174,L174,M174),"")</f>
        <v/>
      </c>
      <c r="S174" s="61">
        <f>IFERROR($P174*$R174,0)</f>
        <v/>
      </c>
      <c r="T174" s="61">
        <f>$S174*1.22</f>
        <v/>
      </c>
      <c r="U174" s="64">
        <f>IF($P174&gt;0,COUNTIF($P$11:P174,"&gt;0"),"")</f>
        <v/>
      </c>
    </row>
    <row r="175" ht="14.25" customHeight="1" s="49">
      <c r="A175" s="58" t="n"/>
      <c r="B175" s="58" t="n"/>
      <c r="C175" s="59" t="n"/>
      <c r="D175" s="59" t="n"/>
      <c r="E175" s="59" t="n"/>
      <c r="F175" s="58" t="n"/>
      <c r="G175" s="60" t="n"/>
      <c r="H175" s="60" t="n"/>
      <c r="I175" s="61" t="n"/>
      <c r="J175" s="61" t="n"/>
      <c r="K175" s="61" t="n"/>
      <c r="L175" s="61" t="n"/>
      <c r="M175" s="61" t="n"/>
      <c r="N175" s="58" t="n"/>
      <c r="O175" s="59" t="n"/>
      <c r="P175" s="62" t="n"/>
      <c r="Q175" s="63" t="n"/>
      <c r="R175" s="61">
        <f>IF($P175&gt;0,CHOOSE(MATCH($B$4,'Служебный лист'!$A$4:$A$8,0),I175,J175,K175,L175,M175),"")</f>
        <v/>
      </c>
      <c r="S175" s="61">
        <f>IFERROR($P175*$R175,0)</f>
        <v/>
      </c>
      <c r="T175" s="61">
        <f>$S175*1.22</f>
        <v/>
      </c>
      <c r="U175" s="64">
        <f>IF($P175&gt;0,COUNTIF($P$11:P175,"&gt;0"),"")</f>
        <v/>
      </c>
    </row>
    <row r="176" ht="14.25" customHeight="1" s="49">
      <c r="A176" s="58" t="n"/>
      <c r="B176" s="58" t="n"/>
      <c r="C176" s="59" t="n"/>
      <c r="D176" s="59" t="n"/>
      <c r="E176" s="59" t="n"/>
      <c r="F176" s="58" t="n"/>
      <c r="G176" s="60" t="n"/>
      <c r="H176" s="60" t="n"/>
      <c r="I176" s="61" t="n"/>
      <c r="J176" s="61" t="n"/>
      <c r="K176" s="61" t="n"/>
      <c r="L176" s="61" t="n"/>
      <c r="M176" s="61" t="n"/>
      <c r="N176" s="58" t="n"/>
      <c r="O176" s="59" t="n"/>
      <c r="P176" s="62" t="n"/>
      <c r="Q176" s="63" t="n"/>
      <c r="R176" s="61">
        <f>IF($P176&gt;0,CHOOSE(MATCH($B$4,'Служебный лист'!$A$4:$A$8,0),I176,J176,K176,L176,M176),"")</f>
        <v/>
      </c>
      <c r="S176" s="61">
        <f>IFERROR($P176*$R176,0)</f>
        <v/>
      </c>
      <c r="T176" s="61">
        <f>$S176*1.22</f>
        <v/>
      </c>
      <c r="U176" s="64">
        <f>IF($P176&gt;0,COUNTIF($P$11:P176,"&gt;0"),"")</f>
        <v/>
      </c>
    </row>
    <row r="177" ht="14.25" customHeight="1" s="49">
      <c r="A177" s="58" t="n"/>
      <c r="B177" s="58" t="n"/>
      <c r="C177" s="59" t="n"/>
      <c r="D177" s="59" t="n"/>
      <c r="E177" s="59" t="n"/>
      <c r="F177" s="58" t="n"/>
      <c r="G177" s="60" t="n"/>
      <c r="H177" s="60" t="n"/>
      <c r="I177" s="61" t="n"/>
      <c r="J177" s="61" t="n"/>
      <c r="K177" s="61" t="n"/>
      <c r="L177" s="61" t="n"/>
      <c r="M177" s="61" t="n"/>
      <c r="N177" s="58" t="n"/>
      <c r="O177" s="59" t="n"/>
      <c r="P177" s="62" t="n"/>
      <c r="Q177" s="63" t="n"/>
      <c r="R177" s="61">
        <f>IF($P177&gt;0,CHOOSE(MATCH($B$4,'Служебный лист'!$A$4:$A$8,0),I177,J177,K177,L177,M177),"")</f>
        <v/>
      </c>
      <c r="S177" s="61">
        <f>IFERROR($P177*$R177,0)</f>
        <v/>
      </c>
      <c r="T177" s="61">
        <f>$S177*1.22</f>
        <v/>
      </c>
      <c r="U177" s="64">
        <f>IF($P177&gt;0,COUNTIF($P$11:P177,"&gt;0"),"")</f>
        <v/>
      </c>
    </row>
    <row r="178" ht="14.25" customHeight="1" s="49">
      <c r="A178" s="58" t="n"/>
      <c r="B178" s="58" t="n"/>
      <c r="C178" s="59" t="n"/>
      <c r="D178" s="59" t="n"/>
      <c r="E178" s="59" t="n"/>
      <c r="F178" s="58" t="n"/>
      <c r="G178" s="60" t="n"/>
      <c r="H178" s="60" t="n"/>
      <c r="I178" s="61" t="n"/>
      <c r="J178" s="61" t="n"/>
      <c r="K178" s="61" t="n"/>
      <c r="L178" s="61" t="n"/>
      <c r="M178" s="61" t="n"/>
      <c r="N178" s="58" t="n"/>
      <c r="O178" s="59" t="n"/>
      <c r="P178" s="62" t="n"/>
      <c r="Q178" s="63" t="n"/>
      <c r="R178" s="61">
        <f>IF($P178&gt;0,CHOOSE(MATCH($B$4,'Служебный лист'!$A$4:$A$8,0),I178,J178,K178,L178,M178),"")</f>
        <v/>
      </c>
      <c r="S178" s="61">
        <f>IFERROR($P178*$R178,0)</f>
        <v/>
      </c>
      <c r="T178" s="61">
        <f>$S178*1.22</f>
        <v/>
      </c>
      <c r="U178" s="64">
        <f>IF($P178&gt;0,COUNTIF($P$11:P178,"&gt;0"),"")</f>
        <v/>
      </c>
    </row>
    <row r="179" ht="14.25" customHeight="1" s="49">
      <c r="A179" s="58" t="n"/>
      <c r="B179" s="58" t="n"/>
      <c r="C179" s="59" t="n"/>
      <c r="D179" s="59" t="n"/>
      <c r="E179" s="59" t="n"/>
      <c r="F179" s="58" t="n"/>
      <c r="G179" s="60" t="n"/>
      <c r="H179" s="60" t="n"/>
      <c r="I179" s="61" t="n"/>
      <c r="J179" s="61" t="n"/>
      <c r="K179" s="61" t="n"/>
      <c r="L179" s="61" t="n"/>
      <c r="M179" s="61" t="n"/>
      <c r="N179" s="58" t="n"/>
      <c r="O179" s="59" t="n"/>
      <c r="P179" s="62" t="n"/>
      <c r="Q179" s="63" t="n"/>
      <c r="R179" s="61">
        <f>IF($P179&gt;0,CHOOSE(MATCH($B$4,'Служебный лист'!$A$4:$A$8,0),I179,J179,K179,L179,M179),"")</f>
        <v/>
      </c>
      <c r="S179" s="61">
        <f>IFERROR($P179*$R179,0)</f>
        <v/>
      </c>
      <c r="T179" s="61">
        <f>$S179*1.22</f>
        <v/>
      </c>
      <c r="U179" s="64">
        <f>IF($P179&gt;0,COUNTIF($P$11:P179,"&gt;0"),"")</f>
        <v/>
      </c>
    </row>
    <row r="180" ht="14.25" customHeight="1" s="49">
      <c r="A180" s="58" t="n"/>
      <c r="B180" s="58" t="n"/>
      <c r="C180" s="59" t="n"/>
      <c r="D180" s="59" t="n"/>
      <c r="E180" s="59" t="n"/>
      <c r="F180" s="58" t="n"/>
      <c r="G180" s="60" t="n"/>
      <c r="H180" s="60" t="n"/>
      <c r="I180" s="61" t="n"/>
      <c r="J180" s="61" t="n"/>
      <c r="K180" s="61" t="n"/>
      <c r="L180" s="61" t="n"/>
      <c r="M180" s="61" t="n"/>
      <c r="N180" s="58" t="n"/>
      <c r="O180" s="59" t="n"/>
      <c r="P180" s="62" t="n"/>
      <c r="Q180" s="63" t="n"/>
      <c r="R180" s="61">
        <f>IF($P180&gt;0,CHOOSE(MATCH($B$4,'Служебный лист'!$A$4:$A$8,0),I180,J180,K180,L180,M180),"")</f>
        <v/>
      </c>
      <c r="S180" s="61">
        <f>IFERROR($P180*$R180,0)</f>
        <v/>
      </c>
      <c r="T180" s="61">
        <f>$S180*1.22</f>
        <v/>
      </c>
      <c r="U180" s="64">
        <f>IF($P180&gt;0,COUNTIF($P$11:P180,"&gt;0"),"")</f>
        <v/>
      </c>
    </row>
    <row r="181" ht="14.25" customHeight="1" s="49">
      <c r="A181" s="58" t="n"/>
      <c r="B181" s="58" t="n"/>
      <c r="C181" s="59" t="n"/>
      <c r="D181" s="59" t="n"/>
      <c r="E181" s="59" t="n"/>
      <c r="F181" s="58" t="n"/>
      <c r="G181" s="60" t="n"/>
      <c r="H181" s="60" t="n"/>
      <c r="I181" s="61" t="n"/>
      <c r="J181" s="61" t="n"/>
      <c r="K181" s="61" t="n"/>
      <c r="L181" s="61" t="n"/>
      <c r="M181" s="61" t="n"/>
      <c r="N181" s="58" t="n"/>
      <c r="O181" s="59" t="n"/>
      <c r="P181" s="62" t="n"/>
      <c r="Q181" s="63" t="n"/>
      <c r="R181" s="61">
        <f>IF($P181&gt;0,CHOOSE(MATCH($B$4,'Служебный лист'!$A$4:$A$8,0),I181,J181,K181,L181,M181),"")</f>
        <v/>
      </c>
      <c r="S181" s="61">
        <f>IFERROR($P181*$R181,0)</f>
        <v/>
      </c>
      <c r="T181" s="61">
        <f>$S181*1.22</f>
        <v/>
      </c>
      <c r="U181" s="64">
        <f>IF($P181&gt;0,COUNTIF($P$11:P181,"&gt;0"),"")</f>
        <v/>
      </c>
    </row>
    <row r="182" ht="14.25" customHeight="1" s="49">
      <c r="A182" s="58" t="n"/>
      <c r="B182" s="58" t="n"/>
      <c r="C182" s="59" t="n"/>
      <c r="D182" s="59" t="n"/>
      <c r="E182" s="59" t="n"/>
      <c r="F182" s="58" t="n"/>
      <c r="G182" s="60" t="n"/>
      <c r="H182" s="60" t="n"/>
      <c r="I182" s="61" t="n"/>
      <c r="J182" s="61" t="n"/>
      <c r="K182" s="61" t="n"/>
      <c r="L182" s="61" t="n"/>
      <c r="M182" s="61" t="n"/>
      <c r="N182" s="58" t="n"/>
      <c r="O182" s="59" t="n"/>
      <c r="P182" s="62" t="n"/>
      <c r="Q182" s="63" t="n"/>
      <c r="R182" s="61">
        <f>IF($P182&gt;0,CHOOSE(MATCH($B$4,'Служебный лист'!$A$4:$A$8,0),I182,J182,K182,L182,M182),"")</f>
        <v/>
      </c>
      <c r="S182" s="61">
        <f>IFERROR($P182*$R182,0)</f>
        <v/>
      </c>
      <c r="T182" s="61">
        <f>$S182*1.22</f>
        <v/>
      </c>
      <c r="U182" s="64">
        <f>IF($P182&gt;0,COUNTIF($P$11:P182,"&gt;0"),"")</f>
        <v/>
      </c>
    </row>
    <row r="183" ht="14.25" customHeight="1" s="49">
      <c r="A183" s="58" t="n"/>
      <c r="B183" s="58" t="n"/>
      <c r="C183" s="59" t="n"/>
      <c r="D183" s="59" t="n"/>
      <c r="E183" s="59" t="n"/>
      <c r="F183" s="58" t="n"/>
      <c r="G183" s="60" t="n"/>
      <c r="H183" s="60" t="n"/>
      <c r="I183" s="61" t="n"/>
      <c r="J183" s="61" t="n"/>
      <c r="K183" s="61" t="n"/>
      <c r="L183" s="61" t="n"/>
      <c r="M183" s="61" t="n"/>
      <c r="N183" s="58" t="n"/>
      <c r="O183" s="59" t="n"/>
      <c r="P183" s="62" t="n"/>
      <c r="Q183" s="63" t="n"/>
      <c r="R183" s="61">
        <f>IF($P183&gt;0,CHOOSE(MATCH($B$4,'Служебный лист'!$A$4:$A$8,0),I183,J183,K183,L183,M183),"")</f>
        <v/>
      </c>
      <c r="S183" s="61">
        <f>IFERROR($P183*$R183,0)</f>
        <v/>
      </c>
      <c r="T183" s="61">
        <f>$S183*1.22</f>
        <v/>
      </c>
      <c r="U183" s="64">
        <f>IF($P183&gt;0,COUNTIF($P$11:P183,"&gt;0"),"")</f>
        <v/>
      </c>
    </row>
    <row r="184" ht="14.25" customHeight="1" s="49">
      <c r="A184" s="58" t="n"/>
      <c r="B184" s="58" t="n"/>
      <c r="C184" s="59" t="n"/>
      <c r="D184" s="59" t="n"/>
      <c r="E184" s="59" t="n"/>
      <c r="F184" s="58" t="n"/>
      <c r="G184" s="60" t="n"/>
      <c r="H184" s="60" t="n"/>
      <c r="I184" s="61" t="n"/>
      <c r="J184" s="61" t="n"/>
      <c r="K184" s="61" t="n"/>
      <c r="L184" s="61" t="n"/>
      <c r="M184" s="61" t="n"/>
      <c r="N184" s="58" t="n"/>
      <c r="O184" s="59" t="n"/>
      <c r="P184" s="62" t="n"/>
      <c r="Q184" s="63" t="n"/>
      <c r="R184" s="61">
        <f>IF($P184&gt;0,CHOOSE(MATCH($B$4,'Служебный лист'!$A$4:$A$8,0),I184,J184,K184,L184,M184),"")</f>
        <v/>
      </c>
      <c r="S184" s="61">
        <f>IFERROR($P184*$R184,0)</f>
        <v/>
      </c>
      <c r="T184" s="61">
        <f>$S184*1.22</f>
        <v/>
      </c>
      <c r="U184" s="64">
        <f>IF($P184&gt;0,COUNTIF($P$11:P184,"&gt;0"),"")</f>
        <v/>
      </c>
    </row>
    <row r="185" ht="14.25" customHeight="1" s="49">
      <c r="A185" s="58" t="n"/>
      <c r="B185" s="58" t="n"/>
      <c r="C185" s="59" t="n"/>
      <c r="D185" s="59" t="n"/>
      <c r="E185" s="59" t="n"/>
      <c r="F185" s="58" t="n"/>
      <c r="G185" s="60" t="n"/>
      <c r="H185" s="60" t="n"/>
      <c r="I185" s="61" t="n"/>
      <c r="J185" s="61" t="n"/>
      <c r="K185" s="61" t="n"/>
      <c r="L185" s="61" t="n"/>
      <c r="M185" s="61" t="n"/>
      <c r="N185" s="58" t="n"/>
      <c r="O185" s="59" t="n"/>
      <c r="P185" s="62" t="n"/>
      <c r="Q185" s="63" t="n"/>
      <c r="R185" s="61">
        <f>IF($P185&gt;0,CHOOSE(MATCH($B$4,'Служебный лист'!$A$4:$A$8,0),I185,J185,K185,L185,M185),"")</f>
        <v/>
      </c>
      <c r="S185" s="61">
        <f>IFERROR($P185*$R185,0)</f>
        <v/>
      </c>
      <c r="T185" s="61">
        <f>$S185*1.22</f>
        <v/>
      </c>
      <c r="U185" s="64">
        <f>IF($P185&gt;0,COUNTIF($P$11:P185,"&gt;0"),"")</f>
        <v/>
      </c>
    </row>
    <row r="186" ht="14.25" customHeight="1" s="49">
      <c r="A186" s="58" t="n"/>
      <c r="B186" s="58" t="n"/>
      <c r="C186" s="59" t="n"/>
      <c r="D186" s="59" t="n"/>
      <c r="E186" s="59" t="n"/>
      <c r="F186" s="58" t="n"/>
      <c r="G186" s="60" t="n"/>
      <c r="H186" s="60" t="n"/>
      <c r="I186" s="61" t="n"/>
      <c r="J186" s="61" t="n"/>
      <c r="K186" s="61" t="n"/>
      <c r="L186" s="61" t="n"/>
      <c r="M186" s="61" t="n"/>
      <c r="N186" s="58" t="n"/>
      <c r="O186" s="59" t="n"/>
      <c r="P186" s="62" t="n"/>
      <c r="Q186" s="63" t="n"/>
      <c r="R186" s="61">
        <f>IF($P186&gt;0,CHOOSE(MATCH($B$4,'Служебный лист'!$A$4:$A$8,0),I186,J186,K186,L186,M186),"")</f>
        <v/>
      </c>
      <c r="S186" s="61">
        <f>IFERROR($P186*$R186,0)</f>
        <v/>
      </c>
      <c r="T186" s="61">
        <f>$S186*1.22</f>
        <v/>
      </c>
      <c r="U186" s="64">
        <f>IF($P186&gt;0,COUNTIF($P$11:P186,"&gt;0"),"")</f>
        <v/>
      </c>
    </row>
    <row r="187" ht="14.25" customHeight="1" s="49">
      <c r="A187" s="58" t="n"/>
      <c r="B187" s="58" t="n"/>
      <c r="C187" s="59" t="n"/>
      <c r="D187" s="59" t="n"/>
      <c r="E187" s="59" t="n"/>
      <c r="F187" s="58" t="n"/>
      <c r="G187" s="60" t="n"/>
      <c r="H187" s="60" t="n"/>
      <c r="I187" s="61" t="n"/>
      <c r="J187" s="61" t="n"/>
      <c r="K187" s="61" t="n"/>
      <c r="L187" s="61" t="n"/>
      <c r="M187" s="61" t="n"/>
      <c r="N187" s="58" t="n"/>
      <c r="O187" s="59" t="n"/>
      <c r="P187" s="62" t="n"/>
      <c r="Q187" s="63" t="n"/>
      <c r="R187" s="61">
        <f>IF($P187&gt;0,CHOOSE(MATCH($B$4,'Служебный лист'!$A$4:$A$8,0),I187,J187,K187,L187,M187),"")</f>
        <v/>
      </c>
      <c r="S187" s="61">
        <f>IFERROR($P187*$R187,0)</f>
        <v/>
      </c>
      <c r="T187" s="61">
        <f>$S187*1.22</f>
        <v/>
      </c>
      <c r="U187" s="64">
        <f>IF($P187&gt;0,COUNTIF($P$11:P187,"&gt;0"),"")</f>
        <v/>
      </c>
    </row>
    <row r="188" ht="14.25" customHeight="1" s="49">
      <c r="A188" s="58" t="n"/>
      <c r="B188" s="58" t="n"/>
      <c r="C188" s="59" t="n"/>
      <c r="D188" s="59" t="n"/>
      <c r="E188" s="59" t="n"/>
      <c r="F188" s="58" t="n"/>
      <c r="G188" s="60" t="n"/>
      <c r="H188" s="60" t="n"/>
      <c r="I188" s="61" t="n"/>
      <c r="J188" s="61" t="n"/>
      <c r="K188" s="61" t="n"/>
      <c r="L188" s="61" t="n"/>
      <c r="M188" s="61" t="n"/>
      <c r="N188" s="58" t="n"/>
      <c r="O188" s="59" t="n"/>
      <c r="P188" s="62" t="n"/>
      <c r="Q188" s="63" t="n"/>
      <c r="R188" s="61">
        <f>IF($P188&gt;0,CHOOSE(MATCH($B$4,'Служебный лист'!$A$4:$A$8,0),I188,J188,K188,L188,M188),"")</f>
        <v/>
      </c>
      <c r="S188" s="61">
        <f>IFERROR($P188*$R188,0)</f>
        <v/>
      </c>
      <c r="T188" s="61">
        <f>$S188*1.22</f>
        <v/>
      </c>
      <c r="U188" s="64">
        <f>IF($P188&gt;0,COUNTIF($P$11:P188,"&gt;0"),"")</f>
        <v/>
      </c>
    </row>
    <row r="189" ht="14.25" customHeight="1" s="49">
      <c r="A189" s="58" t="n"/>
      <c r="B189" s="58" t="n"/>
      <c r="C189" s="59" t="n"/>
      <c r="D189" s="59" t="n"/>
      <c r="E189" s="59" t="n"/>
      <c r="F189" s="58" t="n"/>
      <c r="G189" s="60" t="n"/>
      <c r="H189" s="60" t="n"/>
      <c r="I189" s="61" t="n"/>
      <c r="J189" s="61" t="n"/>
      <c r="K189" s="61" t="n"/>
      <c r="L189" s="61" t="n"/>
      <c r="M189" s="61" t="n"/>
      <c r="N189" s="58" t="n"/>
      <c r="O189" s="59" t="n"/>
      <c r="P189" s="62" t="n"/>
      <c r="Q189" s="63" t="n"/>
      <c r="R189" s="61">
        <f>IF($P189&gt;0,CHOOSE(MATCH($B$4,'Служебный лист'!$A$4:$A$8,0),I189,J189,K189,L189,M189),"")</f>
        <v/>
      </c>
      <c r="S189" s="61">
        <f>IFERROR($P189*$R189,0)</f>
        <v/>
      </c>
      <c r="T189" s="61">
        <f>$S189*1.22</f>
        <v/>
      </c>
      <c r="U189" s="64">
        <f>IF($P189&gt;0,COUNTIF($P$11:P189,"&gt;0"),"")</f>
        <v/>
      </c>
    </row>
    <row r="190" ht="14.25" customHeight="1" s="49">
      <c r="A190" s="58" t="n"/>
      <c r="B190" s="58" t="n"/>
      <c r="C190" s="59" t="n"/>
      <c r="D190" s="59" t="n"/>
      <c r="E190" s="59" t="n"/>
      <c r="F190" s="58" t="n"/>
      <c r="G190" s="60" t="n"/>
      <c r="H190" s="60" t="n"/>
      <c r="I190" s="61" t="n"/>
      <c r="J190" s="61" t="n"/>
      <c r="K190" s="61" t="n"/>
      <c r="L190" s="61" t="n"/>
      <c r="M190" s="61" t="n"/>
      <c r="N190" s="58" t="n"/>
      <c r="O190" s="59" t="n"/>
      <c r="P190" s="62" t="n"/>
      <c r="Q190" s="63" t="n"/>
      <c r="R190" s="61">
        <f>IF($P190&gt;0,CHOOSE(MATCH($B$4,'Служебный лист'!$A$4:$A$8,0),I190,J190,K190,L190,M190),"")</f>
        <v/>
      </c>
      <c r="S190" s="61">
        <f>IFERROR($P190*$R190,0)</f>
        <v/>
      </c>
      <c r="T190" s="61">
        <f>$S190*1.22</f>
        <v/>
      </c>
      <c r="U190" s="64">
        <f>IF($P190&gt;0,COUNTIF($P$11:P190,"&gt;0"),"")</f>
        <v/>
      </c>
    </row>
    <row r="191" ht="14.25" customHeight="1" s="49">
      <c r="A191" s="58" t="n"/>
      <c r="B191" s="58" t="n"/>
      <c r="C191" s="59" t="n"/>
      <c r="D191" s="59" t="n"/>
      <c r="E191" s="59" t="n"/>
      <c r="F191" s="58" t="n"/>
      <c r="G191" s="60" t="n"/>
      <c r="H191" s="60" t="n"/>
      <c r="I191" s="61" t="n"/>
      <c r="J191" s="61" t="n"/>
      <c r="K191" s="61" t="n"/>
      <c r="L191" s="61" t="n"/>
      <c r="M191" s="61" t="n"/>
      <c r="N191" s="58" t="n"/>
      <c r="O191" s="59" t="n"/>
      <c r="P191" s="62" t="n"/>
      <c r="Q191" s="63" t="n"/>
      <c r="R191" s="61">
        <f>IF($P191&gt;0,CHOOSE(MATCH($B$4,'Служебный лист'!$A$4:$A$8,0),I191,J191,K191,L191,M191),"")</f>
        <v/>
      </c>
      <c r="S191" s="61">
        <f>IFERROR($P191*$R191,0)</f>
        <v/>
      </c>
      <c r="T191" s="61">
        <f>$S191*1.22</f>
        <v/>
      </c>
      <c r="U191" s="64">
        <f>IF($P191&gt;0,COUNTIF($P$11:P191,"&gt;0"),"")</f>
        <v/>
      </c>
    </row>
    <row r="192" ht="14.25" customHeight="1" s="49">
      <c r="A192" s="58" t="n"/>
      <c r="B192" s="58" t="n"/>
      <c r="C192" s="59" t="n"/>
      <c r="D192" s="59" t="n"/>
      <c r="E192" s="59" t="n"/>
      <c r="F192" s="58" t="n"/>
      <c r="G192" s="60" t="n"/>
      <c r="H192" s="60" t="n"/>
      <c r="I192" s="61" t="n"/>
      <c r="J192" s="61" t="n"/>
      <c r="K192" s="61" t="n"/>
      <c r="L192" s="61" t="n"/>
      <c r="M192" s="61" t="n"/>
      <c r="N192" s="58" t="n"/>
      <c r="O192" s="59" t="n"/>
      <c r="P192" s="62" t="n"/>
      <c r="Q192" s="63" t="n"/>
      <c r="R192" s="61">
        <f>IF($P192&gt;0,CHOOSE(MATCH($B$4,'Служебный лист'!$A$4:$A$8,0),I192,J192,K192,L192,M192),"")</f>
        <v/>
      </c>
      <c r="S192" s="61">
        <f>IFERROR($P192*$R192,0)</f>
        <v/>
      </c>
      <c r="T192" s="61">
        <f>$S192*1.22</f>
        <v/>
      </c>
      <c r="U192" s="64">
        <f>IF($P192&gt;0,COUNTIF($P$11:P192,"&gt;0"),"")</f>
        <v/>
      </c>
    </row>
    <row r="193" ht="14.25" customHeight="1" s="49">
      <c r="A193" s="58" t="n"/>
      <c r="B193" s="58" t="n"/>
      <c r="C193" s="59" t="n"/>
      <c r="D193" s="59" t="n"/>
      <c r="E193" s="59" t="n"/>
      <c r="F193" s="58" t="n"/>
      <c r="G193" s="60" t="n"/>
      <c r="H193" s="60" t="n"/>
      <c r="I193" s="61" t="n"/>
      <c r="J193" s="61" t="n"/>
      <c r="K193" s="61" t="n"/>
      <c r="L193" s="61" t="n"/>
      <c r="M193" s="61" t="n"/>
      <c r="N193" s="58" t="n"/>
      <c r="O193" s="59" t="n"/>
      <c r="P193" s="62" t="n"/>
      <c r="Q193" s="63" t="n"/>
      <c r="R193" s="61">
        <f>IF($P193&gt;0,CHOOSE(MATCH($B$4,'Служебный лист'!$A$4:$A$8,0),I193,J193,K193,L193,M193),"")</f>
        <v/>
      </c>
      <c r="S193" s="61">
        <f>IFERROR($P193*$R193,0)</f>
        <v/>
      </c>
      <c r="T193" s="61">
        <f>$S193*1.22</f>
        <v/>
      </c>
      <c r="U193" s="64">
        <f>IF($P193&gt;0,COUNTIF($P$11:P193,"&gt;0"),"")</f>
        <v/>
      </c>
    </row>
    <row r="194" ht="14.25" customHeight="1" s="49">
      <c r="A194" s="58" t="n"/>
      <c r="B194" s="58" t="n"/>
      <c r="C194" s="59" t="n"/>
      <c r="D194" s="59" t="n"/>
      <c r="E194" s="59" t="n"/>
      <c r="F194" s="58" t="n"/>
      <c r="G194" s="60" t="n"/>
      <c r="H194" s="60" t="n"/>
      <c r="I194" s="61" t="n"/>
      <c r="J194" s="61" t="n"/>
      <c r="K194" s="61" t="n"/>
      <c r="L194" s="61" t="n"/>
      <c r="M194" s="61" t="n"/>
      <c r="N194" s="58" t="n"/>
      <c r="O194" s="59" t="n"/>
      <c r="P194" s="62" t="n"/>
      <c r="Q194" s="63" t="n"/>
      <c r="R194" s="61">
        <f>IF($P194&gt;0,CHOOSE(MATCH($B$4,'Служебный лист'!$A$4:$A$8,0),I194,J194,K194,L194,M194),"")</f>
        <v/>
      </c>
      <c r="S194" s="61">
        <f>IFERROR($P194*$R194,0)</f>
        <v/>
      </c>
      <c r="T194" s="61">
        <f>$S194*1.22</f>
        <v/>
      </c>
      <c r="U194" s="64">
        <f>IF($P194&gt;0,COUNTIF($P$11:P194,"&gt;0"),"")</f>
        <v/>
      </c>
    </row>
    <row r="195" ht="14.25" customHeight="1" s="49">
      <c r="A195" s="58" t="n"/>
      <c r="B195" s="58" t="n"/>
      <c r="C195" s="59" t="n"/>
      <c r="D195" s="59" t="n"/>
      <c r="E195" s="59" t="n"/>
      <c r="F195" s="58" t="n"/>
      <c r="G195" s="60" t="n"/>
      <c r="H195" s="60" t="n"/>
      <c r="I195" s="61" t="n"/>
      <c r="J195" s="61" t="n"/>
      <c r="K195" s="61" t="n"/>
      <c r="L195" s="61" t="n"/>
      <c r="M195" s="61" t="n"/>
      <c r="N195" s="58" t="n"/>
      <c r="O195" s="59" t="n"/>
      <c r="P195" s="62" t="n"/>
      <c r="Q195" s="63" t="n"/>
      <c r="R195" s="61">
        <f>IF($P195&gt;0,CHOOSE(MATCH($B$4,'Служебный лист'!$A$4:$A$8,0),I195,J195,K195,L195,M195),"")</f>
        <v/>
      </c>
      <c r="S195" s="61">
        <f>IFERROR($P195*$R195,0)</f>
        <v/>
      </c>
      <c r="T195" s="61">
        <f>$S195*1.22</f>
        <v/>
      </c>
      <c r="U195" s="64">
        <f>IF($P195&gt;0,COUNTIF($P$11:P195,"&gt;0"),"")</f>
        <v/>
      </c>
    </row>
    <row r="196" ht="14.25" customHeight="1" s="49">
      <c r="A196" s="58" t="n"/>
      <c r="B196" s="58" t="n"/>
      <c r="C196" s="59" t="n"/>
      <c r="D196" s="59" t="n"/>
      <c r="E196" s="59" t="n"/>
      <c r="F196" s="58" t="n"/>
      <c r="G196" s="60" t="n"/>
      <c r="H196" s="60" t="n"/>
      <c r="I196" s="61" t="n"/>
      <c r="J196" s="61" t="n"/>
      <c r="K196" s="61" t="n"/>
      <c r="L196" s="61" t="n"/>
      <c r="M196" s="61" t="n"/>
      <c r="N196" s="58" t="n"/>
      <c r="O196" s="59" t="n"/>
      <c r="P196" s="62" t="n"/>
      <c r="Q196" s="63" t="n"/>
      <c r="R196" s="61">
        <f>IF($P196&gt;0,CHOOSE(MATCH($B$4,'Служебный лист'!$A$4:$A$8,0),I196,J196,K196,L196,M196),"")</f>
        <v/>
      </c>
      <c r="S196" s="61">
        <f>IFERROR($P196*$R196,0)</f>
        <v/>
      </c>
      <c r="T196" s="61">
        <f>$S196*1.22</f>
        <v/>
      </c>
      <c r="U196" s="64">
        <f>IF($P196&gt;0,COUNTIF($P$11:P196,"&gt;0"),"")</f>
        <v/>
      </c>
    </row>
    <row r="197" ht="14.25" customHeight="1" s="49">
      <c r="A197" s="58" t="n"/>
      <c r="B197" s="58" t="n"/>
      <c r="C197" s="59" t="n"/>
      <c r="D197" s="59" t="n"/>
      <c r="E197" s="59" t="n"/>
      <c r="F197" s="58" t="n"/>
      <c r="G197" s="60" t="n"/>
      <c r="H197" s="60" t="n"/>
      <c r="I197" s="61" t="n"/>
      <c r="J197" s="61" t="n"/>
      <c r="K197" s="61" t="n"/>
      <c r="L197" s="61" t="n"/>
      <c r="M197" s="61" t="n"/>
      <c r="N197" s="58" t="n"/>
      <c r="O197" s="59" t="n"/>
      <c r="P197" s="62" t="n"/>
      <c r="Q197" s="63" t="n"/>
      <c r="R197" s="61">
        <f>IF($P197&gt;0,CHOOSE(MATCH($B$4,'Служебный лист'!$A$4:$A$8,0),I197,J197,K197,L197,M197),"")</f>
        <v/>
      </c>
      <c r="S197" s="61">
        <f>IFERROR($P197*$R197,0)</f>
        <v/>
      </c>
      <c r="T197" s="61">
        <f>$S197*1.22</f>
        <v/>
      </c>
      <c r="U197" s="64">
        <f>IF($P197&gt;0,COUNTIF($P$11:P197,"&gt;0"),"")</f>
        <v/>
      </c>
    </row>
    <row r="198" ht="14.25" customHeight="1" s="49">
      <c r="A198" s="58" t="n"/>
      <c r="B198" s="58" t="n"/>
      <c r="C198" s="59" t="n"/>
      <c r="D198" s="59" t="n"/>
      <c r="E198" s="59" t="n"/>
      <c r="F198" s="58" t="n"/>
      <c r="G198" s="60" t="n"/>
      <c r="H198" s="60" t="n"/>
      <c r="I198" s="61" t="n"/>
      <c r="J198" s="61" t="n"/>
      <c r="K198" s="61" t="n"/>
      <c r="L198" s="61" t="n"/>
      <c r="M198" s="61" t="n"/>
      <c r="N198" s="58" t="n"/>
      <c r="O198" s="59" t="n"/>
      <c r="P198" s="62" t="n"/>
      <c r="Q198" s="63" t="n"/>
      <c r="R198" s="61">
        <f>IF($P198&gt;0,CHOOSE(MATCH($B$4,'Служебный лист'!$A$4:$A$8,0),I198,J198,K198,L198,M198),"")</f>
        <v/>
      </c>
      <c r="S198" s="61">
        <f>IFERROR($P198*$R198,0)</f>
        <v/>
      </c>
      <c r="T198" s="61">
        <f>$S198*1.22</f>
        <v/>
      </c>
      <c r="U198" s="64">
        <f>IF($P198&gt;0,COUNTIF($P$11:P198,"&gt;0"),"")</f>
        <v/>
      </c>
    </row>
    <row r="199" ht="14.25" customHeight="1" s="49">
      <c r="A199" s="58" t="n"/>
      <c r="B199" s="58" t="n"/>
      <c r="C199" s="59" t="n"/>
      <c r="D199" s="59" t="n"/>
      <c r="E199" s="59" t="n"/>
      <c r="F199" s="58" t="n"/>
      <c r="G199" s="60" t="n"/>
      <c r="H199" s="60" t="n"/>
      <c r="I199" s="61" t="n"/>
      <c r="J199" s="61" t="n"/>
      <c r="K199" s="61" t="n"/>
      <c r="L199" s="61" t="n"/>
      <c r="M199" s="61" t="n"/>
      <c r="N199" s="58" t="n"/>
      <c r="O199" s="59" t="n"/>
      <c r="P199" s="62" t="n"/>
      <c r="Q199" s="63" t="n"/>
      <c r="R199" s="61">
        <f>IF($P199&gt;0,CHOOSE(MATCH($B$4,'Служебный лист'!$A$4:$A$8,0),I199,J199,K199,L199,M199),"")</f>
        <v/>
      </c>
      <c r="S199" s="61">
        <f>IFERROR($P199*$R199,0)</f>
        <v/>
      </c>
      <c r="T199" s="61">
        <f>$S199*1.22</f>
        <v/>
      </c>
      <c r="U199" s="64">
        <f>IF($P199&gt;0,COUNTIF($P$11:P199,"&gt;0"),"")</f>
        <v/>
      </c>
    </row>
    <row r="200" ht="14.25" customHeight="1" s="49">
      <c r="A200" s="58" t="n"/>
      <c r="B200" s="58" t="n"/>
      <c r="C200" s="59" t="n"/>
      <c r="D200" s="59" t="n"/>
      <c r="E200" s="59" t="n"/>
      <c r="F200" s="58" t="n"/>
      <c r="G200" s="60" t="n"/>
      <c r="H200" s="60" t="n"/>
      <c r="I200" s="61" t="n"/>
      <c r="J200" s="61" t="n"/>
      <c r="K200" s="61" t="n"/>
      <c r="L200" s="61" t="n"/>
      <c r="M200" s="61" t="n"/>
      <c r="N200" s="58" t="n"/>
      <c r="O200" s="59" t="n"/>
      <c r="P200" s="62" t="n"/>
      <c r="Q200" s="63" t="n"/>
      <c r="R200" s="61">
        <f>IF($P200&gt;0,CHOOSE(MATCH($B$4,'Служебный лист'!$A$4:$A$8,0),I200,J200,K200,L200,M200),"")</f>
        <v/>
      </c>
      <c r="S200" s="61">
        <f>IFERROR($P200*$R200,0)</f>
        <v/>
      </c>
      <c r="T200" s="61">
        <f>$S200*1.22</f>
        <v/>
      </c>
      <c r="U200" s="64">
        <f>IF($P200&gt;0,COUNTIF($P$11:P200,"&gt;0"),"")</f>
        <v/>
      </c>
    </row>
    <row r="201" ht="14.25" customHeight="1" s="49">
      <c r="A201" s="58" t="n"/>
      <c r="B201" s="58" t="n"/>
      <c r="C201" s="59" t="n"/>
      <c r="D201" s="59" t="n"/>
      <c r="E201" s="59" t="n"/>
      <c r="F201" s="58" t="n"/>
      <c r="G201" s="60" t="n"/>
      <c r="H201" s="60" t="n"/>
      <c r="I201" s="61" t="n"/>
      <c r="J201" s="61" t="n"/>
      <c r="K201" s="61" t="n"/>
      <c r="L201" s="61" t="n"/>
      <c r="M201" s="61" t="n"/>
      <c r="N201" s="58" t="n"/>
      <c r="O201" s="59" t="n"/>
      <c r="P201" s="62" t="n"/>
      <c r="Q201" s="63" t="n"/>
      <c r="R201" s="61">
        <f>IF($P201&gt;0,CHOOSE(MATCH($B$4,'Служебный лист'!$A$4:$A$8,0),I201,J201,K201,L201,M201),"")</f>
        <v/>
      </c>
      <c r="S201" s="61">
        <f>IFERROR($P201*$R201,0)</f>
        <v/>
      </c>
      <c r="T201" s="61">
        <f>$S201*1.22</f>
        <v/>
      </c>
      <c r="U201" s="64">
        <f>IF($P201&gt;0,COUNTIF($P$11:P201,"&gt;0"),"")</f>
        <v/>
      </c>
    </row>
    <row r="202" ht="14.25" customHeight="1" s="49">
      <c r="A202" s="58" t="n"/>
      <c r="B202" s="58" t="n"/>
      <c r="C202" s="59" t="n"/>
      <c r="D202" s="59" t="n"/>
      <c r="E202" s="59" t="n"/>
      <c r="F202" s="58" t="n"/>
      <c r="G202" s="60" t="n"/>
      <c r="H202" s="60" t="n"/>
      <c r="I202" s="61" t="n"/>
      <c r="J202" s="61" t="n"/>
      <c r="K202" s="61" t="n"/>
      <c r="L202" s="61" t="n"/>
      <c r="M202" s="61" t="n"/>
      <c r="N202" s="58" t="n"/>
      <c r="O202" s="59" t="n"/>
      <c r="P202" s="62" t="n"/>
      <c r="Q202" s="63" t="n"/>
      <c r="R202" s="61">
        <f>IF($P202&gt;0,CHOOSE(MATCH($B$4,'Служебный лист'!$A$4:$A$8,0),I202,J202,K202,L202,M202),"")</f>
        <v/>
      </c>
      <c r="S202" s="61">
        <f>IFERROR($P202*$R202,0)</f>
        <v/>
      </c>
      <c r="T202" s="61">
        <f>$S202*1.22</f>
        <v/>
      </c>
      <c r="U202" s="64">
        <f>IF($P202&gt;0,COUNTIF($P$11:P202,"&gt;0"),"")</f>
        <v/>
      </c>
    </row>
    <row r="203" ht="14.25" customHeight="1" s="49">
      <c r="A203" s="58" t="n"/>
      <c r="B203" s="58" t="n"/>
      <c r="C203" s="59" t="n"/>
      <c r="D203" s="59" t="n"/>
      <c r="E203" s="59" t="n"/>
      <c r="F203" s="58" t="n"/>
      <c r="G203" s="60" t="n"/>
      <c r="H203" s="60" t="n"/>
      <c r="I203" s="61" t="n"/>
      <c r="J203" s="61" t="n"/>
      <c r="K203" s="61" t="n"/>
      <c r="L203" s="61" t="n"/>
      <c r="M203" s="61" t="n"/>
      <c r="N203" s="58" t="n"/>
      <c r="O203" s="59" t="n"/>
      <c r="P203" s="62" t="n"/>
      <c r="Q203" s="63" t="n"/>
      <c r="R203" s="61">
        <f>IF($P203&gt;0,CHOOSE(MATCH($B$4,'Служебный лист'!$A$4:$A$8,0),I203,J203,K203,L203,M203),"")</f>
        <v/>
      </c>
      <c r="S203" s="61">
        <f>IFERROR($P203*$R203,0)</f>
        <v/>
      </c>
      <c r="T203" s="61">
        <f>$S203*1.22</f>
        <v/>
      </c>
      <c r="U203" s="64">
        <f>IF($P203&gt;0,COUNTIF($P$11:P203,"&gt;0"),"")</f>
        <v/>
      </c>
    </row>
    <row r="204" ht="14.25" customHeight="1" s="49">
      <c r="A204" s="58" t="n"/>
      <c r="B204" s="58" t="n"/>
      <c r="C204" s="59" t="n"/>
      <c r="D204" s="59" t="n"/>
      <c r="E204" s="59" t="n"/>
      <c r="F204" s="58" t="n"/>
      <c r="G204" s="60" t="n"/>
      <c r="H204" s="60" t="n"/>
      <c r="I204" s="61" t="n"/>
      <c r="J204" s="61" t="n"/>
      <c r="K204" s="61" t="n"/>
      <c r="L204" s="61" t="n"/>
      <c r="M204" s="61" t="n"/>
      <c r="N204" s="58" t="n"/>
      <c r="O204" s="59" t="n"/>
      <c r="P204" s="62" t="n"/>
      <c r="Q204" s="63" t="n"/>
      <c r="R204" s="61">
        <f>IF($P204&gt;0,CHOOSE(MATCH($B$4,'Служебный лист'!$A$4:$A$8,0),I204,J204,K204,L204,M204),"")</f>
        <v/>
      </c>
      <c r="S204" s="61">
        <f>IFERROR($P204*$R204,0)</f>
        <v/>
      </c>
      <c r="T204" s="61">
        <f>$S204*1.22</f>
        <v/>
      </c>
      <c r="U204" s="64">
        <f>IF($P204&gt;0,COUNTIF($P$11:P204,"&gt;0"),"")</f>
        <v/>
      </c>
    </row>
    <row r="205" ht="14.25" customHeight="1" s="49">
      <c r="A205" s="58" t="n"/>
      <c r="B205" s="58" t="n"/>
      <c r="C205" s="59" t="n"/>
      <c r="D205" s="59" t="n"/>
      <c r="E205" s="59" t="n"/>
      <c r="F205" s="58" t="n"/>
      <c r="G205" s="60" t="n"/>
      <c r="H205" s="60" t="n"/>
      <c r="I205" s="61" t="n"/>
      <c r="J205" s="61" t="n"/>
      <c r="K205" s="61" t="n"/>
      <c r="L205" s="61" t="n"/>
      <c r="M205" s="61" t="n"/>
      <c r="N205" s="58" t="n"/>
      <c r="O205" s="59" t="n"/>
      <c r="P205" s="62" t="n"/>
      <c r="Q205" s="63" t="n"/>
      <c r="R205" s="61">
        <f>IF($P205&gt;0,CHOOSE(MATCH($B$4,'Служебный лист'!$A$4:$A$8,0),I205,J205,K205,L205,M205),"")</f>
        <v/>
      </c>
      <c r="S205" s="61">
        <f>IFERROR($P205*$R205,0)</f>
        <v/>
      </c>
      <c r="T205" s="61">
        <f>$S205*1.22</f>
        <v/>
      </c>
      <c r="U205" s="64">
        <f>IF($P205&gt;0,COUNTIF($P$11:P205,"&gt;0"),"")</f>
        <v/>
      </c>
    </row>
    <row r="206" ht="14.25" customHeight="1" s="49">
      <c r="A206" s="58" t="n"/>
      <c r="B206" s="58" t="n"/>
      <c r="C206" s="59" t="n"/>
      <c r="D206" s="59" t="n"/>
      <c r="E206" s="59" t="n"/>
      <c r="F206" s="58" t="n"/>
      <c r="G206" s="60" t="n"/>
      <c r="H206" s="60" t="n"/>
      <c r="I206" s="61" t="n"/>
      <c r="J206" s="61" t="n"/>
      <c r="K206" s="61" t="n"/>
      <c r="L206" s="61" t="n"/>
      <c r="M206" s="61" t="n"/>
      <c r="N206" s="58" t="n"/>
      <c r="O206" s="59" t="n"/>
      <c r="P206" s="62" t="n"/>
      <c r="Q206" s="63" t="n"/>
      <c r="R206" s="61">
        <f>IF($P206&gt;0,CHOOSE(MATCH($B$4,'Служебный лист'!$A$4:$A$8,0),I206,J206,K206,L206,M206),"")</f>
        <v/>
      </c>
      <c r="S206" s="61">
        <f>IFERROR($P206*$R206,0)</f>
        <v/>
      </c>
      <c r="T206" s="61">
        <f>$S206*1.22</f>
        <v/>
      </c>
      <c r="U206" s="64">
        <f>IF($P206&gt;0,COUNTIF($P$11:P206,"&gt;0"),"")</f>
        <v/>
      </c>
    </row>
    <row r="207" ht="14.25" customHeight="1" s="49">
      <c r="A207" s="58" t="n"/>
      <c r="B207" s="58" t="n"/>
      <c r="C207" s="59" t="n"/>
      <c r="D207" s="59" t="n"/>
      <c r="E207" s="59" t="n"/>
      <c r="F207" s="58" t="n"/>
      <c r="G207" s="60" t="n"/>
      <c r="H207" s="60" t="n"/>
      <c r="I207" s="61" t="n"/>
      <c r="J207" s="61" t="n"/>
      <c r="K207" s="61" t="n"/>
      <c r="L207" s="61" t="n"/>
      <c r="M207" s="61" t="n"/>
      <c r="N207" s="58" t="n"/>
      <c r="O207" s="59" t="n"/>
      <c r="P207" s="62" t="n"/>
      <c r="Q207" s="63" t="n"/>
      <c r="R207" s="61">
        <f>IF($P207&gt;0,CHOOSE(MATCH($B$4,'Служебный лист'!$A$4:$A$8,0),I207,J207,K207,L207,M207),"")</f>
        <v/>
      </c>
      <c r="S207" s="61">
        <f>IFERROR($P207*$R207,0)</f>
        <v/>
      </c>
      <c r="T207" s="61">
        <f>$S207*1.22</f>
        <v/>
      </c>
      <c r="U207" s="64">
        <f>IF($P207&gt;0,COUNTIF($P$11:P207,"&gt;0"),"")</f>
        <v/>
      </c>
    </row>
    <row r="208" ht="14.25" customHeight="1" s="49">
      <c r="A208" s="58" t="n"/>
      <c r="B208" s="58" t="n"/>
      <c r="C208" s="59" t="n"/>
      <c r="D208" s="59" t="n"/>
      <c r="E208" s="59" t="n"/>
      <c r="F208" s="58" t="n"/>
      <c r="G208" s="60" t="n"/>
      <c r="H208" s="60" t="n"/>
      <c r="I208" s="61" t="n"/>
      <c r="J208" s="61" t="n"/>
      <c r="K208" s="61" t="n"/>
      <c r="L208" s="61" t="n"/>
      <c r="M208" s="61" t="n"/>
      <c r="N208" s="58" t="n"/>
      <c r="O208" s="59" t="n"/>
      <c r="P208" s="62" t="n"/>
      <c r="Q208" s="63" t="n"/>
      <c r="R208" s="61">
        <f>IF($P208&gt;0,CHOOSE(MATCH($B$4,'Служебный лист'!$A$4:$A$8,0),I208,J208,K208,L208,M208),"")</f>
        <v/>
      </c>
      <c r="S208" s="61">
        <f>IFERROR($P208*$R208,0)</f>
        <v/>
      </c>
      <c r="T208" s="61">
        <f>$S208*1.22</f>
        <v/>
      </c>
      <c r="U208" s="64">
        <f>IF($P208&gt;0,COUNTIF($P$11:P208,"&gt;0"),"")</f>
        <v/>
      </c>
    </row>
    <row r="209" ht="14.25" customHeight="1" s="49">
      <c r="A209" s="58" t="n"/>
      <c r="B209" s="58" t="n"/>
      <c r="C209" s="59" t="n"/>
      <c r="D209" s="59" t="n"/>
      <c r="E209" s="59" t="n"/>
      <c r="F209" s="58" t="n"/>
      <c r="G209" s="60" t="n"/>
      <c r="H209" s="60" t="n"/>
      <c r="I209" s="61" t="n"/>
      <c r="J209" s="61" t="n"/>
      <c r="K209" s="61" t="n"/>
      <c r="L209" s="61" t="n"/>
      <c r="M209" s="61" t="n"/>
      <c r="N209" s="58" t="n"/>
      <c r="O209" s="59" t="n"/>
      <c r="P209" s="62" t="n"/>
      <c r="Q209" s="63" t="n"/>
      <c r="R209" s="61">
        <f>IF($P209&gt;0,CHOOSE(MATCH($B$4,'Служебный лист'!$A$4:$A$8,0),I209,J209,K209,L209,M209),"")</f>
        <v/>
      </c>
      <c r="S209" s="61">
        <f>IFERROR($P209*$R209,0)</f>
        <v/>
      </c>
      <c r="T209" s="61">
        <f>$S209*1.22</f>
        <v/>
      </c>
      <c r="U209" s="64">
        <f>IF($P209&gt;0,COUNTIF($P$11:P209,"&gt;0"),"")</f>
        <v/>
      </c>
    </row>
    <row r="210" ht="14.25" customHeight="1" s="49">
      <c r="A210" s="58" t="n"/>
      <c r="B210" s="58" t="n"/>
      <c r="C210" s="59" t="n"/>
      <c r="D210" s="59" t="n"/>
      <c r="E210" s="59" t="n"/>
      <c r="F210" s="58" t="n"/>
      <c r="G210" s="60" t="n"/>
      <c r="H210" s="60" t="n"/>
      <c r="I210" s="61" t="n"/>
      <c r="J210" s="61" t="n"/>
      <c r="K210" s="61" t="n"/>
      <c r="L210" s="61" t="n"/>
      <c r="M210" s="61" t="n"/>
      <c r="N210" s="58" t="n"/>
      <c r="O210" s="59" t="n"/>
      <c r="P210" s="62" t="n"/>
      <c r="Q210" s="63" t="n"/>
      <c r="R210" s="61">
        <f>IF($P210&gt;0,CHOOSE(MATCH($B$4,'Служебный лист'!$A$4:$A$8,0),I210,J210,K210,L210,M210),"")</f>
        <v/>
      </c>
      <c r="S210" s="61">
        <f>IFERROR($P210*$R210,0)</f>
        <v/>
      </c>
      <c r="T210" s="61">
        <f>$S210*1.22</f>
        <v/>
      </c>
      <c r="U210" s="64">
        <f>IF($P210&gt;0,COUNTIF($P$11:P210,"&gt;0"),"")</f>
        <v/>
      </c>
    </row>
    <row r="211" ht="14.25" customHeight="1" s="49">
      <c r="A211" s="58" t="n"/>
      <c r="B211" s="58" t="n"/>
      <c r="C211" s="59" t="n"/>
      <c r="D211" s="59" t="n"/>
      <c r="E211" s="59" t="n"/>
      <c r="F211" s="58" t="n"/>
      <c r="G211" s="60" t="n"/>
      <c r="H211" s="60" t="n"/>
      <c r="I211" s="61" t="n"/>
      <c r="J211" s="61" t="n"/>
      <c r="K211" s="61" t="n"/>
      <c r="L211" s="61" t="n"/>
      <c r="M211" s="61" t="n"/>
      <c r="N211" s="58" t="n"/>
      <c r="O211" s="59" t="n"/>
      <c r="P211" s="62" t="n"/>
      <c r="Q211" s="63" t="n"/>
      <c r="R211" s="61">
        <f>IF($P211&gt;0,CHOOSE(MATCH($B$4,'Служебный лист'!$A$4:$A$8,0),I211,J211,K211,L211,M211),"")</f>
        <v/>
      </c>
      <c r="S211" s="61">
        <f>IFERROR($P211*$R211,0)</f>
        <v/>
      </c>
      <c r="T211" s="61">
        <f>$S211*1.22</f>
        <v/>
      </c>
      <c r="U211" s="64">
        <f>IF($P211&gt;0,COUNTIF($P$11:P211,"&gt;0"),"")</f>
        <v/>
      </c>
    </row>
    <row r="212" ht="14.25" customHeight="1" s="49">
      <c r="A212" s="58" t="n"/>
      <c r="B212" s="58" t="n"/>
      <c r="C212" s="59" t="n"/>
      <c r="D212" s="59" t="n"/>
      <c r="E212" s="59" t="n"/>
      <c r="F212" s="58" t="n"/>
      <c r="G212" s="60" t="n"/>
      <c r="H212" s="60" t="n"/>
      <c r="I212" s="61" t="n"/>
      <c r="J212" s="61" t="n"/>
      <c r="K212" s="61" t="n"/>
      <c r="L212" s="61" t="n"/>
      <c r="M212" s="61" t="n"/>
      <c r="N212" s="58" t="n"/>
      <c r="O212" s="59" t="n"/>
      <c r="P212" s="62" t="n"/>
      <c r="Q212" s="63" t="n"/>
      <c r="R212" s="61">
        <f>IF($P212&gt;0,CHOOSE(MATCH($B$4,'Служебный лист'!$A$4:$A$8,0),I212,J212,K212,L212,M212),"")</f>
        <v/>
      </c>
      <c r="S212" s="61">
        <f>IFERROR($P212*$R212,0)</f>
        <v/>
      </c>
      <c r="T212" s="61">
        <f>$S212*1.22</f>
        <v/>
      </c>
      <c r="U212" s="64">
        <f>IF($P212&gt;0,COUNTIF($P$11:P212,"&gt;0"),"")</f>
        <v/>
      </c>
    </row>
    <row r="213" ht="14.25" customHeight="1" s="49">
      <c r="A213" s="58" t="n"/>
      <c r="B213" s="58" t="n"/>
      <c r="C213" s="59" t="n"/>
      <c r="D213" s="59" t="n"/>
      <c r="E213" s="59" t="n"/>
      <c r="F213" s="58" t="n"/>
      <c r="G213" s="60" t="n"/>
      <c r="H213" s="60" t="n"/>
      <c r="I213" s="61" t="n"/>
      <c r="J213" s="61" t="n"/>
      <c r="K213" s="61" t="n"/>
      <c r="L213" s="61" t="n"/>
      <c r="M213" s="61" t="n"/>
      <c r="N213" s="58" t="n"/>
      <c r="O213" s="59" t="n"/>
      <c r="P213" s="62" t="n"/>
      <c r="Q213" s="63" t="n"/>
      <c r="R213" s="61">
        <f>IF($P213&gt;0,CHOOSE(MATCH($B$4,'Служебный лист'!$A$4:$A$8,0),I213,J213,K213,L213,M213),"")</f>
        <v/>
      </c>
      <c r="S213" s="61">
        <f>IFERROR($P213*$R213,0)</f>
        <v/>
      </c>
      <c r="T213" s="61">
        <f>$S213*1.22</f>
        <v/>
      </c>
      <c r="U213" s="64">
        <f>IF($P213&gt;0,COUNTIF($P$11:P213,"&gt;0"),"")</f>
        <v/>
      </c>
    </row>
    <row r="214" ht="14.25" customHeight="1" s="49">
      <c r="A214" s="58" t="n"/>
      <c r="B214" s="58" t="n"/>
      <c r="C214" s="59" t="n"/>
      <c r="D214" s="59" t="n"/>
      <c r="E214" s="59" t="n"/>
      <c r="F214" s="58" t="n"/>
      <c r="G214" s="60" t="n"/>
      <c r="H214" s="60" t="n"/>
      <c r="I214" s="61" t="n"/>
      <c r="J214" s="61" t="n"/>
      <c r="K214" s="61" t="n"/>
      <c r="L214" s="61" t="n"/>
      <c r="M214" s="61" t="n"/>
      <c r="N214" s="58" t="n"/>
      <c r="O214" s="59" t="n"/>
      <c r="P214" s="62" t="n"/>
      <c r="Q214" s="63" t="n"/>
      <c r="R214" s="61">
        <f>IF($P214&gt;0,CHOOSE(MATCH($B$4,'Служебный лист'!$A$4:$A$8,0),I214,J214,K214,L214,M214),"")</f>
        <v/>
      </c>
      <c r="S214" s="61">
        <f>IFERROR($P214*$R214,0)</f>
        <v/>
      </c>
      <c r="T214" s="61">
        <f>$S214*1.22</f>
        <v/>
      </c>
      <c r="U214" s="64">
        <f>IF($P214&gt;0,COUNTIF($P$11:P214,"&gt;0"),"")</f>
        <v/>
      </c>
    </row>
    <row r="215" ht="14.25" customHeight="1" s="49">
      <c r="A215" s="58" t="n"/>
      <c r="B215" s="58" t="n"/>
      <c r="C215" s="59" t="n"/>
      <c r="D215" s="59" t="n"/>
      <c r="E215" s="59" t="n"/>
      <c r="F215" s="58" t="n"/>
      <c r="G215" s="60" t="n"/>
      <c r="H215" s="60" t="n"/>
      <c r="I215" s="61" t="n"/>
      <c r="J215" s="61" t="n"/>
      <c r="K215" s="61" t="n"/>
      <c r="L215" s="61" t="n"/>
      <c r="M215" s="61" t="n"/>
      <c r="N215" s="58" t="n"/>
      <c r="O215" s="59" t="n"/>
      <c r="P215" s="62" t="n"/>
      <c r="Q215" s="63" t="n"/>
      <c r="R215" s="61">
        <f>IF($P215&gt;0,CHOOSE(MATCH($B$4,'Служебный лист'!$A$4:$A$8,0),I215,J215,K215,L215,M215),"")</f>
        <v/>
      </c>
      <c r="S215" s="61">
        <f>IFERROR($P215*$R215,0)</f>
        <v/>
      </c>
      <c r="T215" s="61">
        <f>$S215*1.22</f>
        <v/>
      </c>
      <c r="U215" s="64">
        <f>IF($P215&gt;0,COUNTIF($P$11:P215,"&gt;0"),"")</f>
        <v/>
      </c>
    </row>
    <row r="216" ht="14.25" customHeight="1" s="49">
      <c r="A216" s="58" t="n"/>
      <c r="B216" s="58" t="n"/>
      <c r="C216" s="59" t="n"/>
      <c r="D216" s="59" t="n"/>
      <c r="E216" s="59" t="n"/>
      <c r="F216" s="58" t="n"/>
      <c r="G216" s="60" t="n"/>
      <c r="H216" s="60" t="n"/>
      <c r="I216" s="61" t="n"/>
      <c r="J216" s="61" t="n"/>
      <c r="K216" s="61" t="n"/>
      <c r="L216" s="61" t="n"/>
      <c r="M216" s="61" t="n"/>
      <c r="N216" s="58" t="n"/>
      <c r="O216" s="59" t="n"/>
      <c r="P216" s="62" t="n"/>
      <c r="Q216" s="63" t="n"/>
      <c r="R216" s="61">
        <f>IF($P216&gt;0,CHOOSE(MATCH($B$4,'Служебный лист'!$A$4:$A$8,0),I216,J216,K216,L216,M216),"")</f>
        <v/>
      </c>
      <c r="S216" s="61">
        <f>IFERROR($P216*$R216,0)</f>
        <v/>
      </c>
      <c r="T216" s="61">
        <f>$S216*1.22</f>
        <v/>
      </c>
      <c r="U216" s="64">
        <f>IF($P216&gt;0,COUNTIF($P$11:P216,"&gt;0"),"")</f>
        <v/>
      </c>
    </row>
    <row r="217" ht="14.25" customHeight="1" s="49">
      <c r="A217" s="58" t="n"/>
      <c r="B217" s="58" t="n"/>
      <c r="C217" s="59" t="n"/>
      <c r="D217" s="59" t="n"/>
      <c r="E217" s="59" t="n"/>
      <c r="F217" s="58" t="n"/>
      <c r="G217" s="60" t="n"/>
      <c r="H217" s="60" t="n"/>
      <c r="I217" s="61" t="n"/>
      <c r="J217" s="61" t="n"/>
      <c r="K217" s="61" t="n"/>
      <c r="L217" s="61" t="n"/>
      <c r="M217" s="61" t="n"/>
      <c r="N217" s="58" t="n"/>
      <c r="O217" s="59" t="n"/>
      <c r="P217" s="62" t="n"/>
      <c r="Q217" s="63" t="n"/>
      <c r="R217" s="61">
        <f>IF($P217&gt;0,CHOOSE(MATCH($B$4,'Служебный лист'!$A$4:$A$8,0),I217,J217,K217,L217,M217),"")</f>
        <v/>
      </c>
      <c r="S217" s="61">
        <f>IFERROR($P217*$R217,0)</f>
        <v/>
      </c>
      <c r="T217" s="61">
        <f>$S217*1.22</f>
        <v/>
      </c>
      <c r="U217" s="64">
        <f>IF($P217&gt;0,COUNTIF($P$11:P217,"&gt;0"),"")</f>
        <v/>
      </c>
    </row>
    <row r="218" ht="14.25" customHeight="1" s="49">
      <c r="A218" s="58" t="n"/>
      <c r="B218" s="58" t="n"/>
      <c r="C218" s="59" t="n"/>
      <c r="D218" s="59" t="n"/>
      <c r="E218" s="59" t="n"/>
      <c r="F218" s="58" t="n"/>
      <c r="G218" s="60" t="n"/>
      <c r="H218" s="60" t="n"/>
      <c r="I218" s="61" t="n"/>
      <c r="J218" s="61" t="n"/>
      <c r="K218" s="61" t="n"/>
      <c r="L218" s="61" t="n"/>
      <c r="M218" s="61" t="n"/>
      <c r="N218" s="58" t="n"/>
      <c r="O218" s="59" t="n"/>
      <c r="P218" s="62" t="n"/>
      <c r="Q218" s="63" t="n"/>
      <c r="R218" s="61">
        <f>IF($P218&gt;0,CHOOSE(MATCH($B$4,'Служебный лист'!$A$4:$A$8,0),I218,J218,K218,L218,M218),"")</f>
        <v/>
      </c>
      <c r="S218" s="61">
        <f>IFERROR($P218*$R218,0)</f>
        <v/>
      </c>
      <c r="T218" s="61">
        <f>$S218*1.22</f>
        <v/>
      </c>
      <c r="U218" s="64">
        <f>IF($P218&gt;0,COUNTIF($P$11:P218,"&gt;0"),"")</f>
        <v/>
      </c>
    </row>
    <row r="219" ht="14.25" customHeight="1" s="49">
      <c r="A219" s="58" t="n"/>
      <c r="B219" s="58" t="n"/>
      <c r="C219" s="59" t="n"/>
      <c r="D219" s="59" t="n"/>
      <c r="E219" s="59" t="n"/>
      <c r="F219" s="58" t="n"/>
      <c r="G219" s="60" t="n"/>
      <c r="H219" s="60" t="n"/>
      <c r="I219" s="61" t="n"/>
      <c r="J219" s="61" t="n"/>
      <c r="K219" s="61" t="n"/>
      <c r="L219" s="61" t="n"/>
      <c r="M219" s="61" t="n"/>
      <c r="N219" s="58" t="n"/>
      <c r="O219" s="59" t="n"/>
      <c r="P219" s="62" t="n"/>
      <c r="Q219" s="63" t="n"/>
      <c r="R219" s="61">
        <f>IF($P219&gt;0,CHOOSE(MATCH($B$4,'Служебный лист'!$A$4:$A$8,0),I219,J219,K219,L219,M219),"")</f>
        <v/>
      </c>
      <c r="S219" s="61">
        <f>IFERROR($P219*$R219,0)</f>
        <v/>
      </c>
      <c r="T219" s="61">
        <f>$S219*1.22</f>
        <v/>
      </c>
      <c r="U219" s="64">
        <f>IF($P219&gt;0,COUNTIF($P$11:P219,"&gt;0"),"")</f>
        <v/>
      </c>
    </row>
    <row r="220" ht="14.25" customHeight="1" s="49">
      <c r="A220" s="58" t="n"/>
      <c r="B220" s="58" t="n"/>
      <c r="C220" s="59" t="n"/>
      <c r="D220" s="59" t="n"/>
      <c r="E220" s="59" t="n"/>
      <c r="F220" s="58" t="n"/>
      <c r="G220" s="60" t="n"/>
      <c r="H220" s="60" t="n"/>
      <c r="I220" s="61" t="n"/>
      <c r="J220" s="61" t="n"/>
      <c r="K220" s="61" t="n"/>
      <c r="L220" s="61" t="n"/>
      <c r="M220" s="61" t="n"/>
      <c r="N220" s="58" t="n"/>
      <c r="O220" s="59" t="n"/>
      <c r="P220" s="62" t="n"/>
      <c r="Q220" s="63" t="n"/>
      <c r="R220" s="61">
        <f>IF($P220&gt;0,CHOOSE(MATCH($B$4,'Служебный лист'!$A$4:$A$8,0),I220,J220,K220,L220,M220),"")</f>
        <v/>
      </c>
      <c r="S220" s="61">
        <f>IFERROR($P220*$R220,0)</f>
        <v/>
      </c>
      <c r="T220" s="61">
        <f>$S220*1.22</f>
        <v/>
      </c>
      <c r="U220" s="64">
        <f>IF($P220&gt;0,COUNTIF($P$11:P220,"&gt;0"),"")</f>
        <v/>
      </c>
    </row>
    <row r="221" ht="14.25" customHeight="1" s="49">
      <c r="A221" s="58" t="n"/>
      <c r="B221" s="58" t="n"/>
      <c r="C221" s="59" t="n"/>
      <c r="D221" s="59" t="n"/>
      <c r="E221" s="59" t="n"/>
      <c r="F221" s="58" t="n"/>
      <c r="G221" s="60" t="n"/>
      <c r="H221" s="60" t="n"/>
      <c r="I221" s="61" t="n"/>
      <c r="J221" s="61" t="n"/>
      <c r="K221" s="61" t="n"/>
      <c r="L221" s="61" t="n"/>
      <c r="M221" s="61" t="n"/>
      <c r="N221" s="58" t="n"/>
      <c r="O221" s="59" t="n"/>
      <c r="P221" s="62" t="n"/>
      <c r="Q221" s="63" t="n"/>
      <c r="R221" s="61">
        <f>IF($P221&gt;0,CHOOSE(MATCH($B$4,'Служебный лист'!$A$4:$A$8,0),I221,J221,K221,L221,M221),"")</f>
        <v/>
      </c>
      <c r="S221" s="61">
        <f>IFERROR($P221*$R221,0)</f>
        <v/>
      </c>
      <c r="T221" s="61">
        <f>$S221*1.22</f>
        <v/>
      </c>
      <c r="U221" s="64">
        <f>IF($P221&gt;0,COUNTIF($P$11:P221,"&gt;0"),"")</f>
        <v/>
      </c>
    </row>
    <row r="222" ht="14.25" customHeight="1" s="49">
      <c r="A222" s="58" t="n"/>
      <c r="B222" s="58" t="n"/>
      <c r="C222" s="59" t="n"/>
      <c r="D222" s="59" t="n"/>
      <c r="E222" s="59" t="n"/>
      <c r="F222" s="58" t="n"/>
      <c r="G222" s="60" t="n"/>
      <c r="H222" s="60" t="n"/>
      <c r="I222" s="61" t="n"/>
      <c r="J222" s="61" t="n"/>
      <c r="K222" s="61" t="n"/>
      <c r="L222" s="61" t="n"/>
      <c r="M222" s="61" t="n"/>
      <c r="N222" s="58" t="n"/>
      <c r="O222" s="59" t="n"/>
      <c r="P222" s="62" t="n"/>
      <c r="Q222" s="63" t="n"/>
      <c r="R222" s="61">
        <f>IF($P222&gt;0,CHOOSE(MATCH($B$4,'Служебный лист'!$A$4:$A$8,0),I222,J222,K222,L222,M222),"")</f>
        <v/>
      </c>
      <c r="S222" s="61">
        <f>IFERROR($P222*$R222,0)</f>
        <v/>
      </c>
      <c r="T222" s="61">
        <f>$S222*1.22</f>
        <v/>
      </c>
      <c r="U222" s="64">
        <f>IF($P222&gt;0,COUNTIF($P$11:P222,"&gt;0"),"")</f>
        <v/>
      </c>
    </row>
    <row r="223" ht="14.25" customHeight="1" s="49">
      <c r="A223" s="58" t="n"/>
      <c r="B223" s="58" t="n"/>
      <c r="C223" s="59" t="n"/>
      <c r="D223" s="59" t="n"/>
      <c r="E223" s="59" t="n"/>
      <c r="F223" s="58" t="n"/>
      <c r="G223" s="60" t="n"/>
      <c r="H223" s="60" t="n"/>
      <c r="I223" s="61" t="n"/>
      <c r="J223" s="61" t="n"/>
      <c r="K223" s="61" t="n"/>
      <c r="L223" s="61" t="n"/>
      <c r="M223" s="61" t="n"/>
      <c r="N223" s="58" t="n"/>
      <c r="O223" s="59" t="n"/>
      <c r="P223" s="62" t="n"/>
      <c r="Q223" s="63" t="n"/>
      <c r="R223" s="61">
        <f>IF($P223&gt;0,CHOOSE(MATCH($B$4,'Служебный лист'!$A$4:$A$8,0),I223,J223,K223,L223,M223),"")</f>
        <v/>
      </c>
      <c r="S223" s="61">
        <f>IFERROR($P223*$R223,0)</f>
        <v/>
      </c>
      <c r="T223" s="61">
        <f>$S223*1.22</f>
        <v/>
      </c>
      <c r="U223" s="64">
        <f>IF($P223&gt;0,COUNTIF($P$11:P223,"&gt;0"),"")</f>
        <v/>
      </c>
    </row>
    <row r="224" ht="14.25" customHeight="1" s="49">
      <c r="A224" s="58" t="n"/>
      <c r="B224" s="58" t="n"/>
      <c r="C224" s="59" t="n"/>
      <c r="D224" s="59" t="n"/>
      <c r="E224" s="59" t="n"/>
      <c r="F224" s="58" t="n"/>
      <c r="G224" s="60" t="n"/>
      <c r="H224" s="60" t="n"/>
      <c r="I224" s="61" t="n"/>
      <c r="J224" s="61" t="n"/>
      <c r="K224" s="61" t="n"/>
      <c r="L224" s="61" t="n"/>
      <c r="M224" s="61" t="n"/>
      <c r="N224" s="58" t="n"/>
      <c r="O224" s="59" t="n"/>
      <c r="P224" s="62" t="n"/>
      <c r="Q224" s="63" t="n"/>
      <c r="R224" s="61">
        <f>IF($P224&gt;0,CHOOSE(MATCH($B$4,'Служебный лист'!$A$4:$A$8,0),I224,J224,K224,L224,M224),"")</f>
        <v/>
      </c>
      <c r="S224" s="61">
        <f>IFERROR($P224*$R224,0)</f>
        <v/>
      </c>
      <c r="T224" s="61">
        <f>$S224*1.22</f>
        <v/>
      </c>
      <c r="U224" s="64">
        <f>IF($P224&gt;0,COUNTIF($P$11:P224,"&gt;0"),"")</f>
        <v/>
      </c>
    </row>
    <row r="225" ht="14.25" customHeight="1" s="49">
      <c r="A225" s="58" t="n"/>
      <c r="B225" s="58" t="n"/>
      <c r="C225" s="59" t="n"/>
      <c r="D225" s="59" t="n"/>
      <c r="E225" s="59" t="n"/>
      <c r="F225" s="58" t="n"/>
      <c r="G225" s="60" t="n"/>
      <c r="H225" s="60" t="n"/>
      <c r="I225" s="61" t="n"/>
      <c r="J225" s="61" t="n"/>
      <c r="K225" s="61" t="n"/>
      <c r="L225" s="61" t="n"/>
      <c r="M225" s="61" t="n"/>
      <c r="N225" s="58" t="n"/>
      <c r="O225" s="59" t="n"/>
      <c r="P225" s="62" t="n"/>
      <c r="Q225" s="63" t="n"/>
      <c r="R225" s="61">
        <f>IF($P225&gt;0,CHOOSE(MATCH($B$4,'Служебный лист'!$A$4:$A$8,0),I225,J225,K225,L225,M225),"")</f>
        <v/>
      </c>
      <c r="S225" s="61">
        <f>IFERROR($P225*$R225,0)</f>
        <v/>
      </c>
      <c r="T225" s="61">
        <f>$S225*1.22</f>
        <v/>
      </c>
      <c r="U225" s="64">
        <f>IF($P225&gt;0,COUNTIF($P$11:P225,"&gt;0"),"")</f>
        <v/>
      </c>
    </row>
    <row r="226" ht="14.25" customHeight="1" s="49">
      <c r="A226" s="58" t="n"/>
      <c r="B226" s="58" t="n"/>
      <c r="C226" s="59" t="n"/>
      <c r="D226" s="59" t="n"/>
      <c r="E226" s="59" t="n"/>
      <c r="F226" s="58" t="n"/>
      <c r="G226" s="60" t="n"/>
      <c r="H226" s="60" t="n"/>
      <c r="I226" s="61" t="n"/>
      <c r="J226" s="61" t="n"/>
      <c r="K226" s="61" t="n"/>
      <c r="L226" s="61" t="n"/>
      <c r="M226" s="61" t="n"/>
      <c r="N226" s="58" t="n"/>
      <c r="O226" s="59" t="n"/>
      <c r="P226" s="62" t="n"/>
      <c r="Q226" s="63" t="n"/>
      <c r="R226" s="61">
        <f>IF($P226&gt;0,CHOOSE(MATCH($B$4,'Служебный лист'!$A$4:$A$8,0),I226,J226,K226,L226,M226),"")</f>
        <v/>
      </c>
      <c r="S226" s="61">
        <f>IFERROR($P226*$R226,0)</f>
        <v/>
      </c>
      <c r="T226" s="61">
        <f>$S226*1.22</f>
        <v/>
      </c>
      <c r="U226" s="64">
        <f>IF($P226&gt;0,COUNTIF($P$11:P226,"&gt;0"),"")</f>
        <v/>
      </c>
    </row>
    <row r="227" ht="14.25" customHeight="1" s="49">
      <c r="A227" s="58" t="n"/>
      <c r="B227" s="58" t="n"/>
      <c r="C227" s="59" t="n"/>
      <c r="D227" s="59" t="n"/>
      <c r="E227" s="59" t="n"/>
      <c r="F227" s="58" t="n"/>
      <c r="G227" s="60" t="n"/>
      <c r="H227" s="60" t="n"/>
      <c r="I227" s="61" t="n"/>
      <c r="J227" s="61" t="n"/>
      <c r="K227" s="61" t="n"/>
      <c r="L227" s="61" t="n"/>
      <c r="M227" s="61" t="n"/>
      <c r="N227" s="58" t="n"/>
      <c r="O227" s="59" t="n"/>
      <c r="P227" s="62" t="n"/>
      <c r="Q227" s="63" t="n"/>
      <c r="R227" s="61">
        <f>IF($P227&gt;0,CHOOSE(MATCH($B$4,'Служебный лист'!$A$4:$A$8,0),I227,J227,K227,L227,M227),"")</f>
        <v/>
      </c>
      <c r="S227" s="61">
        <f>IFERROR($P227*$R227,0)</f>
        <v/>
      </c>
      <c r="T227" s="61">
        <f>$S227*1.22</f>
        <v/>
      </c>
      <c r="U227" s="64">
        <f>IF($P227&gt;0,COUNTIF($P$11:P227,"&gt;0"),"")</f>
        <v/>
      </c>
    </row>
    <row r="228" ht="14.25" customHeight="1" s="49">
      <c r="A228" s="58" t="n"/>
      <c r="B228" s="58" t="n"/>
      <c r="C228" s="59" t="n"/>
      <c r="D228" s="59" t="n"/>
      <c r="E228" s="59" t="n"/>
      <c r="F228" s="58" t="n"/>
      <c r="G228" s="60" t="n"/>
      <c r="H228" s="60" t="n"/>
      <c r="I228" s="61" t="n"/>
      <c r="J228" s="61" t="n"/>
      <c r="K228" s="61" t="n"/>
      <c r="L228" s="61" t="n"/>
      <c r="M228" s="61" t="n"/>
      <c r="N228" s="58" t="n"/>
      <c r="O228" s="59" t="n"/>
      <c r="P228" s="62" t="n"/>
      <c r="Q228" s="63" t="n"/>
      <c r="R228" s="61">
        <f>IF($P228&gt;0,CHOOSE(MATCH($B$4,'Служебный лист'!$A$4:$A$8,0),I228,J228,K228,L228,M228),"")</f>
        <v/>
      </c>
      <c r="S228" s="61">
        <f>IFERROR($P228*$R228,0)</f>
        <v/>
      </c>
      <c r="T228" s="61">
        <f>$S228*1.22</f>
        <v/>
      </c>
      <c r="U228" s="64">
        <f>IF($P228&gt;0,COUNTIF($P$11:P228,"&gt;0"),"")</f>
        <v/>
      </c>
    </row>
    <row r="229" ht="14.25" customHeight="1" s="49">
      <c r="A229" s="58" t="n"/>
      <c r="B229" s="58" t="n"/>
      <c r="C229" s="59" t="n"/>
      <c r="D229" s="59" t="n"/>
      <c r="E229" s="59" t="n"/>
      <c r="F229" s="58" t="n"/>
      <c r="G229" s="60" t="n"/>
      <c r="H229" s="60" t="n"/>
      <c r="I229" s="61" t="n"/>
      <c r="J229" s="61" t="n"/>
      <c r="K229" s="61" t="n"/>
      <c r="L229" s="61" t="n"/>
      <c r="M229" s="61" t="n"/>
      <c r="N229" s="58" t="n"/>
      <c r="O229" s="59" t="n"/>
      <c r="P229" s="62" t="n"/>
      <c r="Q229" s="63" t="n"/>
      <c r="R229" s="61">
        <f>IF($P229&gt;0,CHOOSE(MATCH($B$4,'Служебный лист'!$A$4:$A$8,0),I229,J229,K229,L229,M229),"")</f>
        <v/>
      </c>
      <c r="S229" s="61">
        <f>IFERROR($P229*$R229,0)</f>
        <v/>
      </c>
      <c r="T229" s="61">
        <f>$S229*1.22</f>
        <v/>
      </c>
      <c r="U229" s="64">
        <f>IF($P229&gt;0,COUNTIF($P$11:P229,"&gt;0"),"")</f>
        <v/>
      </c>
    </row>
    <row r="230" ht="14.25" customHeight="1" s="49">
      <c r="A230" s="58" t="n"/>
      <c r="B230" s="58" t="n"/>
      <c r="C230" s="59" t="n"/>
      <c r="D230" s="59" t="n"/>
      <c r="E230" s="59" t="n"/>
      <c r="F230" s="58" t="n"/>
      <c r="G230" s="60" t="n"/>
      <c r="H230" s="60" t="n"/>
      <c r="I230" s="61" t="n"/>
      <c r="J230" s="61" t="n"/>
      <c r="K230" s="61" t="n"/>
      <c r="L230" s="61" t="n"/>
      <c r="M230" s="61" t="n"/>
      <c r="N230" s="58" t="n"/>
      <c r="O230" s="59" t="n"/>
      <c r="P230" s="62" t="n"/>
      <c r="Q230" s="63" t="n"/>
      <c r="R230" s="61">
        <f>IF($P230&gt;0,CHOOSE(MATCH($B$4,'Служебный лист'!$A$4:$A$8,0),I230,J230,K230,L230,M230),"")</f>
        <v/>
      </c>
      <c r="S230" s="61">
        <f>IFERROR($P230*$R230,0)</f>
        <v/>
      </c>
      <c r="T230" s="61">
        <f>$S230*1.22</f>
        <v/>
      </c>
      <c r="U230" s="64">
        <f>IF($P230&gt;0,COUNTIF($P$11:P230,"&gt;0"),"")</f>
        <v/>
      </c>
    </row>
    <row r="231" ht="14.25" customHeight="1" s="49">
      <c r="A231" s="58" t="n"/>
      <c r="B231" s="58" t="n"/>
      <c r="C231" s="59" t="n"/>
      <c r="D231" s="59" t="n"/>
      <c r="E231" s="59" t="n"/>
      <c r="F231" s="58" t="n"/>
      <c r="G231" s="60" t="n"/>
      <c r="H231" s="60" t="n"/>
      <c r="I231" s="61" t="n"/>
      <c r="J231" s="61" t="n"/>
      <c r="K231" s="61" t="n"/>
      <c r="L231" s="61" t="n"/>
      <c r="M231" s="61" t="n"/>
      <c r="N231" s="58" t="n"/>
      <c r="O231" s="59" t="n"/>
      <c r="P231" s="62" t="n"/>
      <c r="Q231" s="63" t="n"/>
      <c r="R231" s="61">
        <f>IF($P231&gt;0,CHOOSE(MATCH($B$4,'Служебный лист'!$A$4:$A$8,0),I231,J231,K231,L231,M231),"")</f>
        <v/>
      </c>
      <c r="S231" s="61">
        <f>IFERROR($P231*$R231,0)</f>
        <v/>
      </c>
      <c r="T231" s="61">
        <f>$S231*1.22</f>
        <v/>
      </c>
      <c r="U231" s="64">
        <f>IF($P231&gt;0,COUNTIF($P$11:P231,"&gt;0"),"")</f>
        <v/>
      </c>
    </row>
    <row r="232" ht="14.25" customHeight="1" s="49">
      <c r="A232" s="58" t="n"/>
      <c r="B232" s="58" t="n"/>
      <c r="C232" s="59" t="n"/>
      <c r="D232" s="59" t="n"/>
      <c r="E232" s="59" t="n"/>
      <c r="F232" s="58" t="n"/>
      <c r="G232" s="60" t="n"/>
      <c r="H232" s="60" t="n"/>
      <c r="I232" s="61" t="n"/>
      <c r="J232" s="61" t="n"/>
      <c r="K232" s="61" t="n"/>
      <c r="L232" s="61" t="n"/>
      <c r="M232" s="61" t="n"/>
      <c r="N232" s="58" t="n"/>
      <c r="O232" s="59" t="n"/>
      <c r="P232" s="62" t="n"/>
      <c r="Q232" s="63" t="n"/>
      <c r="R232" s="61">
        <f>IF($P232&gt;0,CHOOSE(MATCH($B$4,'Служебный лист'!$A$4:$A$8,0),I232,J232,K232,L232,M232),"")</f>
        <v/>
      </c>
      <c r="S232" s="61">
        <f>IFERROR($P232*$R232,0)</f>
        <v/>
      </c>
      <c r="T232" s="61">
        <f>$S232*1.22</f>
        <v/>
      </c>
      <c r="U232" s="64">
        <f>IF($P232&gt;0,COUNTIF($P$11:P232,"&gt;0"),"")</f>
        <v/>
      </c>
    </row>
    <row r="233" ht="14.25" customHeight="1" s="49">
      <c r="A233" s="58" t="n"/>
      <c r="B233" s="58" t="n"/>
      <c r="C233" s="59" t="n"/>
      <c r="D233" s="59" t="n"/>
      <c r="E233" s="59" t="n"/>
      <c r="F233" s="58" t="n"/>
      <c r="G233" s="60" t="n"/>
      <c r="H233" s="60" t="n"/>
      <c r="I233" s="61" t="n"/>
      <c r="J233" s="61" t="n"/>
      <c r="K233" s="61" t="n"/>
      <c r="L233" s="61" t="n"/>
      <c r="M233" s="61" t="n"/>
      <c r="N233" s="58" t="n"/>
      <c r="O233" s="59" t="n"/>
      <c r="P233" s="62" t="n"/>
      <c r="Q233" s="63" t="n"/>
      <c r="R233" s="61">
        <f>IF($P233&gt;0,CHOOSE(MATCH($B$4,'Служебный лист'!$A$4:$A$8,0),I233,J233,K233,L233,M233),"")</f>
        <v/>
      </c>
      <c r="S233" s="61">
        <f>IFERROR($P233*$R233,0)</f>
        <v/>
      </c>
      <c r="T233" s="61">
        <f>$S233*1.22</f>
        <v/>
      </c>
      <c r="U233" s="64">
        <f>IF($P233&gt;0,COUNTIF($P$11:P233,"&gt;0"),"")</f>
        <v/>
      </c>
    </row>
    <row r="234" ht="14.25" customHeight="1" s="49">
      <c r="A234" s="58" t="n"/>
      <c r="B234" s="58" t="n"/>
      <c r="C234" s="59" t="n"/>
      <c r="D234" s="59" t="n"/>
      <c r="E234" s="59" t="n"/>
      <c r="F234" s="58" t="n"/>
      <c r="G234" s="60" t="n"/>
      <c r="H234" s="60" t="n"/>
      <c r="I234" s="61" t="n"/>
      <c r="J234" s="61" t="n"/>
      <c r="K234" s="61" t="n"/>
      <c r="L234" s="61" t="n"/>
      <c r="M234" s="61" t="n"/>
      <c r="N234" s="58" t="n"/>
      <c r="O234" s="59" t="n"/>
      <c r="P234" s="62" t="n"/>
      <c r="Q234" s="63" t="n"/>
      <c r="R234" s="61">
        <f>IF($P234&gt;0,CHOOSE(MATCH($B$4,'Служебный лист'!$A$4:$A$8,0),I234,J234,K234,L234,M234),"")</f>
        <v/>
      </c>
      <c r="S234" s="61">
        <f>IFERROR($P234*$R234,0)</f>
        <v/>
      </c>
      <c r="T234" s="61">
        <f>$S234*1.22</f>
        <v/>
      </c>
      <c r="U234" s="64">
        <f>IF($P234&gt;0,COUNTIF($P$11:P234,"&gt;0"),"")</f>
        <v/>
      </c>
    </row>
    <row r="235" ht="14.25" customHeight="1" s="49">
      <c r="A235" s="58" t="n"/>
      <c r="B235" s="58" t="n"/>
      <c r="C235" s="59" t="n"/>
      <c r="D235" s="59" t="n"/>
      <c r="E235" s="59" t="n"/>
      <c r="F235" s="58" t="n"/>
      <c r="G235" s="60" t="n"/>
      <c r="H235" s="60" t="n"/>
      <c r="I235" s="61" t="n"/>
      <c r="J235" s="61" t="n"/>
      <c r="K235" s="61" t="n"/>
      <c r="L235" s="61" t="n"/>
      <c r="M235" s="61" t="n"/>
      <c r="N235" s="58" t="n"/>
      <c r="O235" s="59" t="n"/>
      <c r="P235" s="62" t="n"/>
      <c r="Q235" s="63" t="n"/>
      <c r="R235" s="61">
        <f>IF($P235&gt;0,CHOOSE(MATCH($B$4,'Служебный лист'!$A$4:$A$8,0),I235,J235,K235,L235,M235),"")</f>
        <v/>
      </c>
      <c r="S235" s="61">
        <f>IFERROR($P235*$R235,0)</f>
        <v/>
      </c>
      <c r="T235" s="61">
        <f>$S235*1.22</f>
        <v/>
      </c>
      <c r="U235" s="64">
        <f>IF($P235&gt;0,COUNTIF($P$11:P235,"&gt;0"),"")</f>
        <v/>
      </c>
    </row>
    <row r="236" ht="14.25" customHeight="1" s="49">
      <c r="A236" s="58" t="n"/>
      <c r="B236" s="58" t="n"/>
      <c r="C236" s="59" t="n"/>
      <c r="D236" s="59" t="n"/>
      <c r="E236" s="59" t="n"/>
      <c r="F236" s="58" t="n"/>
      <c r="G236" s="60" t="n"/>
      <c r="H236" s="60" t="n"/>
      <c r="I236" s="61" t="n"/>
      <c r="J236" s="61" t="n"/>
      <c r="K236" s="61" t="n"/>
      <c r="L236" s="61" t="n"/>
      <c r="M236" s="61" t="n"/>
      <c r="N236" s="58" t="n"/>
      <c r="O236" s="59" t="n"/>
      <c r="P236" s="62" t="n"/>
      <c r="Q236" s="63" t="n"/>
      <c r="R236" s="61">
        <f>IF($P236&gt;0,CHOOSE(MATCH($B$4,'Служебный лист'!$A$4:$A$8,0),I236,J236,K236,L236,M236),"")</f>
        <v/>
      </c>
      <c r="S236" s="61">
        <f>IFERROR($P236*$R236,0)</f>
        <v/>
      </c>
      <c r="T236" s="61">
        <f>$S236*1.22</f>
        <v/>
      </c>
      <c r="U236" s="64">
        <f>IF($P236&gt;0,COUNTIF($P$11:P236,"&gt;0"),"")</f>
        <v/>
      </c>
    </row>
    <row r="237" ht="14.25" customHeight="1" s="49">
      <c r="A237" s="58" t="n"/>
      <c r="B237" s="58" t="n"/>
      <c r="C237" s="59" t="n"/>
      <c r="D237" s="59" t="n"/>
      <c r="E237" s="59" t="n"/>
      <c r="F237" s="58" t="n"/>
      <c r="G237" s="60" t="n"/>
      <c r="H237" s="60" t="n"/>
      <c r="I237" s="61" t="n"/>
      <c r="J237" s="61" t="n"/>
      <c r="K237" s="61" t="n"/>
      <c r="L237" s="61" t="n"/>
      <c r="M237" s="61" t="n"/>
      <c r="N237" s="58" t="n"/>
      <c r="O237" s="59" t="n"/>
      <c r="P237" s="62" t="n"/>
      <c r="Q237" s="63" t="n"/>
      <c r="R237" s="61">
        <f>IF($P237&gt;0,CHOOSE(MATCH($B$4,'Служебный лист'!$A$4:$A$8,0),I237,J237,K237,L237,M237),"")</f>
        <v/>
      </c>
      <c r="S237" s="61">
        <f>IFERROR($P237*$R237,0)</f>
        <v/>
      </c>
      <c r="T237" s="61">
        <f>$S237*1.22</f>
        <v/>
      </c>
      <c r="U237" s="64">
        <f>IF($P237&gt;0,COUNTIF($P$11:P237,"&gt;0"),"")</f>
        <v/>
      </c>
    </row>
    <row r="238" ht="14.25" customHeight="1" s="49">
      <c r="A238" s="58" t="n"/>
      <c r="B238" s="58" t="n"/>
      <c r="C238" s="59" t="n"/>
      <c r="D238" s="59" t="n"/>
      <c r="E238" s="59" t="n"/>
      <c r="F238" s="58" t="n"/>
      <c r="G238" s="60" t="n"/>
      <c r="H238" s="60" t="n"/>
      <c r="I238" s="61" t="n"/>
      <c r="J238" s="61" t="n"/>
      <c r="K238" s="61" t="n"/>
      <c r="L238" s="61" t="n"/>
      <c r="M238" s="61" t="n"/>
      <c r="N238" s="58" t="n"/>
      <c r="O238" s="59" t="n"/>
      <c r="P238" s="62" t="n"/>
      <c r="Q238" s="63" t="n"/>
      <c r="R238" s="61">
        <f>IF($P238&gt;0,CHOOSE(MATCH($B$4,'Служебный лист'!$A$4:$A$8,0),I238,J238,K238,L238,M238),"")</f>
        <v/>
      </c>
      <c r="S238" s="61">
        <f>IFERROR($P238*$R238,0)</f>
        <v/>
      </c>
      <c r="T238" s="61">
        <f>$S238*1.22</f>
        <v/>
      </c>
      <c r="U238" s="64">
        <f>IF($P238&gt;0,COUNTIF($P$11:P238,"&gt;0"),"")</f>
        <v/>
      </c>
    </row>
    <row r="239" ht="14.25" customHeight="1" s="49">
      <c r="A239" s="58" t="n"/>
      <c r="B239" s="58" t="n"/>
      <c r="C239" s="59" t="n"/>
      <c r="D239" s="59" t="n"/>
      <c r="E239" s="59" t="n"/>
      <c r="F239" s="58" t="n"/>
      <c r="G239" s="60" t="n"/>
      <c r="H239" s="60" t="n"/>
      <c r="I239" s="61" t="n"/>
      <c r="J239" s="61" t="n"/>
      <c r="K239" s="61" t="n"/>
      <c r="L239" s="61" t="n"/>
      <c r="M239" s="61" t="n"/>
      <c r="N239" s="58" t="n"/>
      <c r="O239" s="59" t="n"/>
      <c r="P239" s="62" t="n"/>
      <c r="Q239" s="63" t="n"/>
      <c r="R239" s="61">
        <f>IF($P239&gt;0,CHOOSE(MATCH($B$4,'Служебный лист'!$A$4:$A$8,0),I239,J239,K239,L239,M239),"")</f>
        <v/>
      </c>
      <c r="S239" s="61">
        <f>IFERROR($P239*$R239,0)</f>
        <v/>
      </c>
      <c r="T239" s="61">
        <f>$S239*1.22</f>
        <v/>
      </c>
      <c r="U239" s="64">
        <f>IF($P239&gt;0,COUNTIF($P$11:P239,"&gt;0"),"")</f>
        <v/>
      </c>
    </row>
    <row r="240" ht="14.25" customHeight="1" s="49">
      <c r="A240" s="58" t="n"/>
      <c r="B240" s="58" t="n"/>
      <c r="C240" s="59" t="n"/>
      <c r="D240" s="59" t="n"/>
      <c r="E240" s="59" t="n"/>
      <c r="F240" s="58" t="n"/>
      <c r="G240" s="60" t="n"/>
      <c r="H240" s="60" t="n"/>
      <c r="I240" s="61" t="n"/>
      <c r="J240" s="61" t="n"/>
      <c r="K240" s="61" t="n"/>
      <c r="L240" s="61" t="n"/>
      <c r="M240" s="61" t="n"/>
      <c r="N240" s="58" t="n"/>
      <c r="O240" s="59" t="n"/>
      <c r="P240" s="62" t="n"/>
      <c r="Q240" s="63" t="n"/>
      <c r="R240" s="61">
        <f>IF($P240&gt;0,CHOOSE(MATCH($B$4,'Служебный лист'!$A$4:$A$8,0),I240,J240,K240,L240,M240),"")</f>
        <v/>
      </c>
      <c r="S240" s="61">
        <f>IFERROR($P240*$R240,0)</f>
        <v/>
      </c>
      <c r="T240" s="61">
        <f>$S240*1.22</f>
        <v/>
      </c>
      <c r="U240" s="64">
        <f>IF($P240&gt;0,COUNTIF($P$11:P240,"&gt;0"),"")</f>
        <v/>
      </c>
    </row>
    <row r="241" ht="14.25" customHeight="1" s="49">
      <c r="A241" s="58" t="n"/>
      <c r="B241" s="58" t="n"/>
      <c r="C241" s="59" t="n"/>
      <c r="D241" s="59" t="n"/>
      <c r="E241" s="59" t="n"/>
      <c r="F241" s="58" t="n"/>
      <c r="G241" s="60" t="n"/>
      <c r="H241" s="60" t="n"/>
      <c r="I241" s="61" t="n"/>
      <c r="J241" s="61" t="n"/>
      <c r="K241" s="61" t="n"/>
      <c r="L241" s="61" t="n"/>
      <c r="M241" s="61" t="n"/>
      <c r="N241" s="58" t="n"/>
      <c r="O241" s="59" t="n"/>
      <c r="P241" s="62" t="n"/>
      <c r="Q241" s="63" t="n"/>
      <c r="R241" s="61">
        <f>IF($P241&gt;0,CHOOSE(MATCH($B$4,'Служебный лист'!$A$4:$A$8,0),I241,J241,K241,L241,M241),"")</f>
        <v/>
      </c>
      <c r="S241" s="61">
        <f>IFERROR($P241*$R241,0)</f>
        <v/>
      </c>
      <c r="T241" s="61">
        <f>$S241*1.22</f>
        <v/>
      </c>
      <c r="U241" s="64">
        <f>IF($P241&gt;0,COUNTIF($P$11:P241,"&gt;0"),"")</f>
        <v/>
      </c>
    </row>
    <row r="242" ht="14.25" customHeight="1" s="49">
      <c r="A242" s="58" t="n"/>
      <c r="B242" s="58" t="n"/>
      <c r="C242" s="59" t="n"/>
      <c r="D242" s="59" t="n"/>
      <c r="E242" s="59" t="n"/>
      <c r="F242" s="58" t="n"/>
      <c r="G242" s="60" t="n"/>
      <c r="H242" s="60" t="n"/>
      <c r="I242" s="61" t="n"/>
      <c r="J242" s="61" t="n"/>
      <c r="K242" s="61" t="n"/>
      <c r="L242" s="61" t="n"/>
      <c r="M242" s="61" t="n"/>
      <c r="N242" s="58" t="n"/>
      <c r="O242" s="59" t="n"/>
      <c r="P242" s="62" t="n"/>
      <c r="Q242" s="63" t="n"/>
      <c r="R242" s="61">
        <f>IF($P242&gt;0,CHOOSE(MATCH($B$4,'Служебный лист'!$A$4:$A$8,0),I242,J242,K242,L242,M242),"")</f>
        <v/>
      </c>
      <c r="S242" s="61">
        <f>IFERROR($P242*$R242,0)</f>
        <v/>
      </c>
      <c r="T242" s="61">
        <f>$S242*1.22</f>
        <v/>
      </c>
      <c r="U242" s="64">
        <f>IF($P242&gt;0,COUNTIF($P$11:P242,"&gt;0"),"")</f>
        <v/>
      </c>
    </row>
    <row r="243" ht="14.25" customHeight="1" s="49">
      <c r="A243" s="58" t="n"/>
      <c r="B243" s="58" t="n"/>
      <c r="C243" s="59" t="n"/>
      <c r="D243" s="59" t="n"/>
      <c r="E243" s="59" t="n"/>
      <c r="F243" s="58" t="n"/>
      <c r="G243" s="60" t="n"/>
      <c r="H243" s="60" t="n"/>
      <c r="I243" s="61" t="n"/>
      <c r="J243" s="61" t="n"/>
      <c r="K243" s="61" t="n"/>
      <c r="L243" s="61" t="n"/>
      <c r="M243" s="61" t="n"/>
      <c r="N243" s="58" t="n"/>
      <c r="O243" s="59" t="n"/>
      <c r="P243" s="62" t="n"/>
      <c r="Q243" s="63" t="n"/>
      <c r="R243" s="61">
        <f>IF($P243&gt;0,CHOOSE(MATCH($B$4,'Служебный лист'!$A$4:$A$8,0),I243,J243,K243,L243,M243),"")</f>
        <v/>
      </c>
      <c r="S243" s="61">
        <f>IFERROR($P243*$R243,0)</f>
        <v/>
      </c>
      <c r="T243" s="61">
        <f>$S243*1.22</f>
        <v/>
      </c>
      <c r="U243" s="64">
        <f>IF($P243&gt;0,COUNTIF($P$11:P243,"&gt;0"),"")</f>
        <v/>
      </c>
    </row>
    <row r="244" ht="14.25" customHeight="1" s="49">
      <c r="A244" s="58" t="n"/>
      <c r="B244" s="58" t="n"/>
      <c r="C244" s="59" t="n"/>
      <c r="D244" s="59" t="n"/>
      <c r="E244" s="59" t="n"/>
      <c r="F244" s="58" t="n"/>
      <c r="G244" s="60" t="n"/>
      <c r="H244" s="60" t="n"/>
      <c r="I244" s="61" t="n"/>
      <c r="J244" s="61" t="n"/>
      <c r="K244" s="61" t="n"/>
      <c r="L244" s="61" t="n"/>
      <c r="M244" s="61" t="n"/>
      <c r="N244" s="58" t="n"/>
      <c r="O244" s="59" t="n"/>
      <c r="P244" s="62" t="n"/>
      <c r="Q244" s="63" t="n"/>
      <c r="R244" s="61">
        <f>IF($P244&gt;0,CHOOSE(MATCH($B$4,'Служебный лист'!$A$4:$A$8,0),I244,J244,K244,L244,M244),"")</f>
        <v/>
      </c>
      <c r="S244" s="61">
        <f>IFERROR($P244*$R244,0)</f>
        <v/>
      </c>
      <c r="T244" s="61">
        <f>$S244*1.22</f>
        <v/>
      </c>
      <c r="U244" s="64">
        <f>IF($P244&gt;0,COUNTIF($P$11:P244,"&gt;0"),"")</f>
        <v/>
      </c>
    </row>
    <row r="245" ht="14.25" customHeight="1" s="49">
      <c r="A245" s="58" t="n"/>
      <c r="B245" s="58" t="n"/>
      <c r="C245" s="59" t="n"/>
      <c r="D245" s="59" t="n"/>
      <c r="E245" s="59" t="n"/>
      <c r="F245" s="58" t="n"/>
      <c r="G245" s="60" t="n"/>
      <c r="H245" s="60" t="n"/>
      <c r="I245" s="61" t="n"/>
      <c r="J245" s="61" t="n"/>
      <c r="K245" s="61" t="n"/>
      <c r="L245" s="61" t="n"/>
      <c r="M245" s="61" t="n"/>
      <c r="N245" s="58" t="n"/>
      <c r="O245" s="59" t="n"/>
      <c r="P245" s="62" t="n"/>
      <c r="Q245" s="63" t="n"/>
      <c r="R245" s="61">
        <f>IF($P245&gt;0,CHOOSE(MATCH($B$4,'Служебный лист'!$A$4:$A$8,0),I245,J245,K245,L245,M245),"")</f>
        <v/>
      </c>
      <c r="S245" s="61">
        <f>IFERROR($P245*$R245,0)</f>
        <v/>
      </c>
      <c r="T245" s="61">
        <f>$S245*1.22</f>
        <v/>
      </c>
      <c r="U245" s="64">
        <f>IF($P245&gt;0,COUNTIF($P$11:P245,"&gt;0"),"")</f>
        <v/>
      </c>
    </row>
    <row r="246" ht="14.25" customHeight="1" s="49">
      <c r="A246" s="58" t="n"/>
      <c r="B246" s="58" t="n"/>
      <c r="C246" s="59" t="n"/>
      <c r="D246" s="59" t="n"/>
      <c r="E246" s="59" t="n"/>
      <c r="F246" s="58" t="n"/>
      <c r="G246" s="60" t="n"/>
      <c r="H246" s="60" t="n"/>
      <c r="I246" s="61" t="n"/>
      <c r="J246" s="61" t="n"/>
      <c r="K246" s="61" t="n"/>
      <c r="L246" s="61" t="n"/>
      <c r="M246" s="61" t="n"/>
      <c r="N246" s="58" t="n"/>
      <c r="O246" s="59" t="n"/>
      <c r="P246" s="62" t="n"/>
      <c r="Q246" s="63" t="n"/>
      <c r="R246" s="61">
        <f>IF($P246&gt;0,CHOOSE(MATCH($B$4,'Служебный лист'!$A$4:$A$8,0),I246,J246,K246,L246,M246),"")</f>
        <v/>
      </c>
      <c r="S246" s="61">
        <f>IFERROR($P246*$R246,0)</f>
        <v/>
      </c>
      <c r="T246" s="61">
        <f>$S246*1.22</f>
        <v/>
      </c>
      <c r="U246" s="64">
        <f>IF($P246&gt;0,COUNTIF($P$11:P246,"&gt;0"),"")</f>
        <v/>
      </c>
    </row>
    <row r="247" ht="14.25" customHeight="1" s="49">
      <c r="A247" s="58" t="n"/>
      <c r="B247" s="58" t="n"/>
      <c r="C247" s="59" t="n"/>
      <c r="D247" s="59" t="n"/>
      <c r="E247" s="59" t="n"/>
      <c r="F247" s="58" t="n"/>
      <c r="G247" s="60" t="n"/>
      <c r="H247" s="60" t="n"/>
      <c r="I247" s="61" t="n"/>
      <c r="J247" s="61" t="n"/>
      <c r="K247" s="61" t="n"/>
      <c r="L247" s="61" t="n"/>
      <c r="M247" s="61" t="n"/>
      <c r="N247" s="58" t="n"/>
      <c r="O247" s="59" t="n"/>
      <c r="P247" s="62" t="n"/>
      <c r="Q247" s="63" t="n"/>
      <c r="R247" s="61">
        <f>IF($P247&gt;0,CHOOSE(MATCH($B$4,'Служебный лист'!$A$4:$A$8,0),I247,J247,K247,L247,M247),"")</f>
        <v/>
      </c>
      <c r="S247" s="61">
        <f>IFERROR($P247*$R247,0)</f>
        <v/>
      </c>
      <c r="T247" s="61">
        <f>$S247*1.22</f>
        <v/>
      </c>
      <c r="U247" s="64">
        <f>IF($P247&gt;0,COUNTIF($P$11:P247,"&gt;0"),"")</f>
        <v/>
      </c>
    </row>
    <row r="248" ht="14.25" customHeight="1" s="49">
      <c r="A248" s="58" t="n"/>
      <c r="B248" s="58" t="n"/>
      <c r="C248" s="59" t="n"/>
      <c r="D248" s="59" t="n"/>
      <c r="E248" s="59" t="n"/>
      <c r="F248" s="58" t="n"/>
      <c r="G248" s="60" t="n"/>
      <c r="H248" s="60" t="n"/>
      <c r="I248" s="61" t="n"/>
      <c r="J248" s="61" t="n"/>
      <c r="K248" s="61" t="n"/>
      <c r="L248" s="61" t="n"/>
      <c r="M248" s="61" t="n"/>
      <c r="N248" s="58" t="n"/>
      <c r="O248" s="59" t="n"/>
      <c r="P248" s="62" t="n"/>
      <c r="Q248" s="63" t="n"/>
      <c r="R248" s="61">
        <f>IF($P248&gt;0,CHOOSE(MATCH($B$4,'Служебный лист'!$A$4:$A$8,0),I248,J248,K248,L248,M248),"")</f>
        <v/>
      </c>
      <c r="S248" s="61">
        <f>IFERROR($P248*$R248,0)</f>
        <v/>
      </c>
      <c r="T248" s="61">
        <f>$S248*1.22</f>
        <v/>
      </c>
      <c r="U248" s="64">
        <f>IF($P248&gt;0,COUNTIF($P$11:P248,"&gt;0"),"")</f>
        <v/>
      </c>
    </row>
    <row r="249" ht="14.25" customHeight="1" s="49">
      <c r="A249" s="58" t="n"/>
      <c r="B249" s="58" t="n"/>
      <c r="C249" s="59" t="n"/>
      <c r="D249" s="59" t="n"/>
      <c r="E249" s="59" t="n"/>
      <c r="F249" s="58" t="n"/>
      <c r="G249" s="60" t="n"/>
      <c r="H249" s="60" t="n"/>
      <c r="I249" s="61" t="n"/>
      <c r="J249" s="61" t="n"/>
      <c r="K249" s="61" t="n"/>
      <c r="L249" s="61" t="n"/>
      <c r="M249" s="61" t="n"/>
      <c r="N249" s="58" t="n"/>
      <c r="O249" s="59" t="n"/>
      <c r="P249" s="62" t="n"/>
      <c r="Q249" s="63" t="n"/>
      <c r="R249" s="61">
        <f>IF($P249&gt;0,CHOOSE(MATCH($B$4,'Служебный лист'!$A$4:$A$8,0),I249,J249,K249,L249,M249),"")</f>
        <v/>
      </c>
      <c r="S249" s="61">
        <f>IFERROR($P249*$R249,0)</f>
        <v/>
      </c>
      <c r="T249" s="61">
        <f>$S249*1.22</f>
        <v/>
      </c>
      <c r="U249" s="64">
        <f>IF($P249&gt;0,COUNTIF($P$11:P249,"&gt;0"),"")</f>
        <v/>
      </c>
    </row>
    <row r="250" ht="14.25" customHeight="1" s="49">
      <c r="A250" s="58" t="n"/>
      <c r="B250" s="58" t="n"/>
      <c r="C250" s="59" t="n"/>
      <c r="D250" s="59" t="n"/>
      <c r="E250" s="59" t="n"/>
      <c r="F250" s="58" t="n"/>
      <c r="G250" s="60" t="n"/>
      <c r="H250" s="60" t="n"/>
      <c r="I250" s="61" t="n"/>
      <c r="J250" s="61" t="n"/>
      <c r="K250" s="61" t="n"/>
      <c r="L250" s="61" t="n"/>
      <c r="M250" s="61" t="n"/>
      <c r="N250" s="58" t="n"/>
      <c r="O250" s="59" t="n"/>
      <c r="P250" s="62" t="n"/>
      <c r="Q250" s="63" t="n"/>
      <c r="R250" s="61">
        <f>IF($P250&gt;0,CHOOSE(MATCH($B$4,'Служебный лист'!$A$4:$A$8,0),I250,J250,K250,L250,M250),"")</f>
        <v/>
      </c>
      <c r="S250" s="61">
        <f>IFERROR($P250*$R250,0)</f>
        <v/>
      </c>
      <c r="T250" s="61">
        <f>$S250*1.22</f>
        <v/>
      </c>
      <c r="U250" s="64">
        <f>IF($P250&gt;0,COUNTIF($P$11:P250,"&gt;0"),"")</f>
        <v/>
      </c>
    </row>
    <row r="251" ht="14.25" customHeight="1" s="49">
      <c r="A251" s="58" t="n"/>
      <c r="B251" s="58" t="n"/>
      <c r="C251" s="59" t="n"/>
      <c r="D251" s="59" t="n"/>
      <c r="E251" s="59" t="n"/>
      <c r="F251" s="58" t="n"/>
      <c r="G251" s="60" t="n"/>
      <c r="H251" s="60" t="n"/>
      <c r="I251" s="61" t="n"/>
      <c r="J251" s="61" t="n"/>
      <c r="K251" s="61" t="n"/>
      <c r="L251" s="61" t="n"/>
      <c r="M251" s="61" t="n"/>
      <c r="N251" s="58" t="n"/>
      <c r="O251" s="59" t="n"/>
      <c r="P251" s="62" t="n"/>
      <c r="Q251" s="63" t="n"/>
      <c r="R251" s="61">
        <f>IF($P251&gt;0,CHOOSE(MATCH($B$4,'Служебный лист'!$A$4:$A$8,0),I251,J251,K251,L251,M251),"")</f>
        <v/>
      </c>
      <c r="S251" s="61">
        <f>IFERROR($P251*$R251,0)</f>
        <v/>
      </c>
      <c r="T251" s="61">
        <f>$S251*1.22</f>
        <v/>
      </c>
      <c r="U251" s="64">
        <f>IF($P251&gt;0,COUNTIF($P$11:P251,"&gt;0"),"")</f>
        <v/>
      </c>
    </row>
    <row r="252" ht="14.25" customHeight="1" s="49">
      <c r="A252" s="58" t="n"/>
      <c r="B252" s="58" t="n"/>
      <c r="C252" s="59" t="n"/>
      <c r="D252" s="59" t="n"/>
      <c r="E252" s="59" t="n"/>
      <c r="F252" s="58" t="n"/>
      <c r="G252" s="60" t="n"/>
      <c r="H252" s="60" t="n"/>
      <c r="I252" s="61" t="n"/>
      <c r="J252" s="61" t="n"/>
      <c r="K252" s="61" t="n"/>
      <c r="L252" s="61" t="n"/>
      <c r="M252" s="61" t="n"/>
      <c r="N252" s="58" t="n"/>
      <c r="O252" s="59" t="n"/>
      <c r="P252" s="62" t="n"/>
      <c r="Q252" s="63" t="n"/>
      <c r="R252" s="61">
        <f>IF($P252&gt;0,CHOOSE(MATCH($B$4,'Служебный лист'!$A$4:$A$8,0),I252,J252,K252,L252,M252),"")</f>
        <v/>
      </c>
      <c r="S252" s="61">
        <f>IFERROR($P252*$R252,0)</f>
        <v/>
      </c>
      <c r="T252" s="61">
        <f>$S252*1.22</f>
        <v/>
      </c>
      <c r="U252" s="64">
        <f>IF($P252&gt;0,COUNTIF($P$11:P252,"&gt;0"),"")</f>
        <v/>
      </c>
    </row>
    <row r="253" ht="14.25" customHeight="1" s="49">
      <c r="A253" s="58" t="n"/>
      <c r="B253" s="58" t="n"/>
      <c r="C253" s="59" t="n"/>
      <c r="D253" s="59" t="n"/>
      <c r="E253" s="59" t="n"/>
      <c r="F253" s="58" t="n"/>
      <c r="G253" s="60" t="n"/>
      <c r="H253" s="60" t="n"/>
      <c r="I253" s="61" t="n"/>
      <c r="J253" s="61" t="n"/>
      <c r="K253" s="61" t="n"/>
      <c r="L253" s="61" t="n"/>
      <c r="M253" s="61" t="n"/>
      <c r="N253" s="58" t="n"/>
      <c r="O253" s="59" t="n"/>
      <c r="P253" s="62" t="n"/>
      <c r="Q253" s="63" t="n"/>
      <c r="R253" s="61">
        <f>IF($P253&gt;0,CHOOSE(MATCH($B$4,'Служебный лист'!$A$4:$A$8,0),I253,J253,K253,L253,M253),"")</f>
        <v/>
      </c>
      <c r="S253" s="61">
        <f>IFERROR($P253*$R253,0)</f>
        <v/>
      </c>
      <c r="T253" s="61">
        <f>$S253*1.22</f>
        <v/>
      </c>
      <c r="U253" s="64">
        <f>IF($P253&gt;0,COUNTIF($P$11:P253,"&gt;0"),"")</f>
        <v/>
      </c>
    </row>
    <row r="254" ht="14.25" customHeight="1" s="49">
      <c r="A254" s="58" t="n"/>
      <c r="B254" s="58" t="n"/>
      <c r="C254" s="59" t="n"/>
      <c r="D254" s="59" t="n"/>
      <c r="E254" s="59" t="n"/>
      <c r="F254" s="58" t="n"/>
      <c r="G254" s="60" t="n"/>
      <c r="H254" s="60" t="n"/>
      <c r="I254" s="61" t="n"/>
      <c r="J254" s="61" t="n"/>
      <c r="K254" s="61" t="n"/>
      <c r="L254" s="61" t="n"/>
      <c r="M254" s="61" t="n"/>
      <c r="N254" s="58" t="n"/>
      <c r="O254" s="59" t="n"/>
      <c r="P254" s="62" t="n"/>
      <c r="Q254" s="63" t="n"/>
      <c r="R254" s="61">
        <f>IF($P254&gt;0,CHOOSE(MATCH($B$4,'Служебный лист'!$A$4:$A$8,0),I254,J254,K254,L254,M254),"")</f>
        <v/>
      </c>
      <c r="S254" s="61">
        <f>IFERROR($P254*$R254,0)</f>
        <v/>
      </c>
      <c r="T254" s="61">
        <f>$S254*1.22</f>
        <v/>
      </c>
      <c r="U254" s="64">
        <f>IF($P254&gt;0,COUNTIF($P$11:P254,"&gt;0"),"")</f>
        <v/>
      </c>
    </row>
    <row r="255" ht="14.25" customHeight="1" s="49">
      <c r="A255" s="58" t="n"/>
      <c r="B255" s="58" t="n"/>
      <c r="C255" s="59" t="n"/>
      <c r="D255" s="59" t="n"/>
      <c r="E255" s="59" t="n"/>
      <c r="F255" s="58" t="n"/>
      <c r="G255" s="60" t="n"/>
      <c r="H255" s="60" t="n"/>
      <c r="I255" s="61" t="n"/>
      <c r="J255" s="61" t="n"/>
      <c r="K255" s="61" t="n"/>
      <c r="L255" s="61" t="n"/>
      <c r="M255" s="61" t="n"/>
      <c r="N255" s="58" t="n"/>
      <c r="O255" s="59" t="n"/>
      <c r="P255" s="62" t="n"/>
      <c r="Q255" s="63" t="n"/>
      <c r="R255" s="61">
        <f>IF($P255&gt;0,CHOOSE(MATCH($B$4,'Служебный лист'!$A$4:$A$8,0),I255,J255,K255,L255,M255),"")</f>
        <v/>
      </c>
      <c r="S255" s="61">
        <f>IFERROR($P255*$R255,0)</f>
        <v/>
      </c>
      <c r="T255" s="61">
        <f>$S255*1.22</f>
        <v/>
      </c>
      <c r="U255" s="64">
        <f>IF($P255&gt;0,COUNTIF($P$11:P255,"&gt;0"),"")</f>
        <v/>
      </c>
    </row>
    <row r="256" ht="14.25" customHeight="1" s="49">
      <c r="A256" s="58" t="n"/>
      <c r="B256" s="58" t="n"/>
      <c r="C256" s="59" t="n"/>
      <c r="D256" s="59" t="n"/>
      <c r="E256" s="59" t="n"/>
      <c r="F256" s="58" t="n"/>
      <c r="G256" s="60" t="n"/>
      <c r="H256" s="60" t="n"/>
      <c r="I256" s="61" t="n"/>
      <c r="J256" s="61" t="n"/>
      <c r="K256" s="61" t="n"/>
      <c r="L256" s="61" t="n"/>
      <c r="M256" s="61" t="n"/>
      <c r="N256" s="58" t="n"/>
      <c r="O256" s="59" t="n"/>
      <c r="P256" s="62" t="n"/>
      <c r="Q256" s="63" t="n"/>
      <c r="R256" s="61">
        <f>IF($P256&gt;0,CHOOSE(MATCH($B$4,'Служебный лист'!$A$4:$A$8,0),I256,J256,K256,L256,M256),"")</f>
        <v/>
      </c>
      <c r="S256" s="61">
        <f>IFERROR($P256*$R256,0)</f>
        <v/>
      </c>
      <c r="T256" s="61">
        <f>$S256*1.22</f>
        <v/>
      </c>
      <c r="U256" s="64">
        <f>IF($P256&gt;0,COUNTIF($P$11:P256,"&gt;0"),"")</f>
        <v/>
      </c>
    </row>
    <row r="257" ht="14.25" customHeight="1" s="49">
      <c r="A257" s="58" t="n"/>
      <c r="B257" s="58" t="n"/>
      <c r="C257" s="59" t="n"/>
      <c r="D257" s="59" t="n"/>
      <c r="E257" s="59" t="n"/>
      <c r="F257" s="58" t="n"/>
      <c r="G257" s="60" t="n"/>
      <c r="H257" s="60" t="n"/>
      <c r="I257" s="61" t="n"/>
      <c r="J257" s="61" t="n"/>
      <c r="K257" s="61" t="n"/>
      <c r="L257" s="61" t="n"/>
      <c r="M257" s="61" t="n"/>
      <c r="N257" s="58" t="n"/>
      <c r="O257" s="59" t="n"/>
      <c r="P257" s="62" t="n"/>
      <c r="Q257" s="63" t="n"/>
      <c r="R257" s="61">
        <f>IF($P257&gt;0,CHOOSE(MATCH($B$4,'Служебный лист'!$A$4:$A$8,0),I257,J257,K257,L257,M257),"")</f>
        <v/>
      </c>
      <c r="S257" s="61">
        <f>IFERROR($P257*$R257,0)</f>
        <v/>
      </c>
      <c r="T257" s="61">
        <f>$S257*1.22</f>
        <v/>
      </c>
      <c r="U257" s="64">
        <f>IF($P257&gt;0,COUNTIF($P$11:P257,"&gt;0"),"")</f>
        <v/>
      </c>
    </row>
    <row r="258" ht="14.25" customHeight="1" s="49">
      <c r="A258" s="58" t="n"/>
      <c r="B258" s="58" t="n"/>
      <c r="C258" s="59" t="n"/>
      <c r="D258" s="59" t="n"/>
      <c r="E258" s="59" t="n"/>
      <c r="F258" s="58" t="n"/>
      <c r="G258" s="60" t="n"/>
      <c r="H258" s="60" t="n"/>
      <c r="I258" s="61" t="n"/>
      <c r="J258" s="61" t="n"/>
      <c r="K258" s="61" t="n"/>
      <c r="L258" s="61" t="n"/>
      <c r="M258" s="61" t="n"/>
      <c r="N258" s="58" t="n"/>
      <c r="O258" s="59" t="n"/>
      <c r="P258" s="62" t="n"/>
      <c r="Q258" s="63" t="n"/>
      <c r="R258" s="61">
        <f>IF($P258&gt;0,CHOOSE(MATCH($B$4,'Служебный лист'!$A$4:$A$8,0),I258,J258,K258,L258,M258),"")</f>
        <v/>
      </c>
      <c r="S258" s="61">
        <f>IFERROR($P258*$R258,0)</f>
        <v/>
      </c>
      <c r="T258" s="61">
        <f>$S258*1.22</f>
        <v/>
      </c>
      <c r="U258" s="64">
        <f>IF($P258&gt;0,COUNTIF($P$11:P258,"&gt;0"),"")</f>
        <v/>
      </c>
    </row>
    <row r="259" ht="14.25" customHeight="1" s="49">
      <c r="A259" s="58" t="n"/>
      <c r="B259" s="58" t="n"/>
      <c r="C259" s="59" t="n"/>
      <c r="D259" s="59" t="n"/>
      <c r="E259" s="59" t="n"/>
      <c r="F259" s="58" t="n"/>
      <c r="G259" s="60" t="n"/>
      <c r="H259" s="60" t="n"/>
      <c r="I259" s="61" t="n"/>
      <c r="J259" s="61" t="n"/>
      <c r="K259" s="61" t="n"/>
      <c r="L259" s="61" t="n"/>
      <c r="M259" s="61" t="n"/>
      <c r="N259" s="58" t="n"/>
      <c r="O259" s="59" t="n"/>
      <c r="P259" s="62" t="n"/>
      <c r="Q259" s="63" t="n"/>
      <c r="R259" s="61">
        <f>IF($P259&gt;0,CHOOSE(MATCH($B$4,'Служебный лист'!$A$4:$A$8,0),I259,J259,K259,L259,M259),"")</f>
        <v/>
      </c>
      <c r="S259" s="61">
        <f>IFERROR($P259*$R259,0)</f>
        <v/>
      </c>
      <c r="T259" s="61">
        <f>$S259*1.22</f>
        <v/>
      </c>
      <c r="U259" s="64">
        <f>IF($P259&gt;0,COUNTIF($P$11:P259,"&gt;0"),"")</f>
        <v/>
      </c>
    </row>
    <row r="260" ht="14.25" customHeight="1" s="49">
      <c r="A260" s="58" t="n"/>
      <c r="B260" s="58" t="n"/>
      <c r="C260" s="59" t="n"/>
      <c r="D260" s="59" t="n"/>
      <c r="E260" s="59" t="n"/>
      <c r="F260" s="58" t="n"/>
      <c r="G260" s="60" t="n"/>
      <c r="H260" s="60" t="n"/>
      <c r="I260" s="61" t="n"/>
      <c r="J260" s="61" t="n"/>
      <c r="K260" s="61" t="n"/>
      <c r="L260" s="61" t="n"/>
      <c r="M260" s="61" t="n"/>
      <c r="N260" s="58" t="n"/>
      <c r="O260" s="59" t="n"/>
      <c r="P260" s="62" t="n"/>
      <c r="Q260" s="63" t="n"/>
      <c r="R260" s="61">
        <f>IF($P260&gt;0,CHOOSE(MATCH($B$4,'Служебный лист'!$A$4:$A$8,0),I260,J260,K260,L260,M260),"")</f>
        <v/>
      </c>
      <c r="S260" s="61">
        <f>IFERROR($P260*$R260,0)</f>
        <v/>
      </c>
      <c r="T260" s="61">
        <f>$S260*1.22</f>
        <v/>
      </c>
      <c r="U260" s="64">
        <f>IF($P260&gt;0,COUNTIF($P$11:P260,"&gt;0"),"")</f>
        <v/>
      </c>
    </row>
    <row r="261" ht="14.25" customHeight="1" s="49">
      <c r="A261" s="58" t="n"/>
      <c r="B261" s="58" t="n"/>
      <c r="C261" s="59" t="n"/>
      <c r="D261" s="59" t="n"/>
      <c r="E261" s="59" t="n"/>
      <c r="F261" s="58" t="n"/>
      <c r="G261" s="60" t="n"/>
      <c r="H261" s="60" t="n"/>
      <c r="I261" s="61" t="n"/>
      <c r="J261" s="61" t="n"/>
      <c r="K261" s="61" t="n"/>
      <c r="L261" s="61" t="n"/>
      <c r="M261" s="61" t="n"/>
      <c r="N261" s="58" t="n"/>
      <c r="O261" s="59" t="n"/>
      <c r="P261" s="62" t="n"/>
      <c r="Q261" s="63" t="n"/>
      <c r="R261" s="61">
        <f>IF($P261&gt;0,CHOOSE(MATCH($B$4,'Служебный лист'!$A$4:$A$8,0),I261,J261,K261,L261,M261),"")</f>
        <v/>
      </c>
      <c r="S261" s="61">
        <f>IFERROR($P261*$R261,0)</f>
        <v/>
      </c>
      <c r="T261" s="61">
        <f>$S261*1.22</f>
        <v/>
      </c>
      <c r="U261" s="64">
        <f>IF($P261&gt;0,COUNTIF($P$11:P261,"&gt;0"),"")</f>
        <v/>
      </c>
    </row>
    <row r="262" ht="14.25" customHeight="1" s="49">
      <c r="A262" s="58" t="n"/>
      <c r="B262" s="58" t="n"/>
      <c r="C262" s="59" t="n"/>
      <c r="D262" s="59" t="n"/>
      <c r="E262" s="59" t="n"/>
      <c r="F262" s="58" t="n"/>
      <c r="G262" s="60" t="n"/>
      <c r="H262" s="60" t="n"/>
      <c r="I262" s="61" t="n"/>
      <c r="J262" s="61" t="n"/>
      <c r="K262" s="61" t="n"/>
      <c r="L262" s="61" t="n"/>
      <c r="M262" s="61" t="n"/>
      <c r="N262" s="58" t="n"/>
      <c r="O262" s="59" t="n"/>
      <c r="P262" s="62" t="n"/>
      <c r="Q262" s="63" t="n"/>
      <c r="R262" s="61">
        <f>IF($P262&gt;0,CHOOSE(MATCH($B$4,'Служебный лист'!$A$4:$A$8,0),I262,J262,K262,L262,M262),"")</f>
        <v/>
      </c>
      <c r="S262" s="61">
        <f>IFERROR($P262*$R262,0)</f>
        <v/>
      </c>
      <c r="T262" s="61">
        <f>$S262*1.22</f>
        <v/>
      </c>
      <c r="U262" s="64">
        <f>IF($P262&gt;0,COUNTIF($P$11:P262,"&gt;0"),"")</f>
        <v/>
      </c>
    </row>
    <row r="263" ht="14.25" customHeight="1" s="49">
      <c r="A263" s="58" t="n"/>
      <c r="B263" s="58" t="n"/>
      <c r="C263" s="59" t="n"/>
      <c r="D263" s="59" t="n"/>
      <c r="E263" s="59" t="n"/>
      <c r="F263" s="58" t="n"/>
      <c r="G263" s="60" t="n"/>
      <c r="H263" s="60" t="n"/>
      <c r="I263" s="61" t="n"/>
      <c r="J263" s="61" t="n"/>
      <c r="K263" s="61" t="n"/>
      <c r="L263" s="61" t="n"/>
      <c r="M263" s="61" t="n"/>
      <c r="N263" s="58" t="n"/>
      <c r="O263" s="59" t="n"/>
      <c r="P263" s="62" t="n"/>
      <c r="Q263" s="63" t="n"/>
      <c r="R263" s="61">
        <f>IF($P263&gt;0,CHOOSE(MATCH($B$4,'Служебный лист'!$A$4:$A$8,0),I263,J263,K263,L263,M263),"")</f>
        <v/>
      </c>
      <c r="S263" s="61">
        <f>IFERROR($P263*$R263,0)</f>
        <v/>
      </c>
      <c r="T263" s="61">
        <f>$S263*1.22</f>
        <v/>
      </c>
      <c r="U263" s="64">
        <f>IF($P263&gt;0,COUNTIF($P$11:P263,"&gt;0"),"")</f>
        <v/>
      </c>
    </row>
    <row r="264" ht="14.25" customHeight="1" s="49">
      <c r="A264" s="58" t="n"/>
      <c r="B264" s="58" t="n"/>
      <c r="C264" s="59" t="n"/>
      <c r="D264" s="59" t="n"/>
      <c r="E264" s="59" t="n"/>
      <c r="F264" s="58" t="n"/>
      <c r="G264" s="60" t="n"/>
      <c r="H264" s="60" t="n"/>
      <c r="I264" s="61" t="n"/>
      <c r="J264" s="61" t="n"/>
      <c r="K264" s="61" t="n"/>
      <c r="L264" s="61" t="n"/>
      <c r="M264" s="61" t="n"/>
      <c r="N264" s="58" t="n"/>
      <c r="O264" s="59" t="n"/>
      <c r="P264" s="62" t="n"/>
      <c r="Q264" s="63" t="n"/>
      <c r="R264" s="61">
        <f>IF($P264&gt;0,CHOOSE(MATCH($B$4,'Служебный лист'!$A$4:$A$8,0),I264,J264,K264,L264,M264),"")</f>
        <v/>
      </c>
      <c r="S264" s="61">
        <f>IFERROR($P264*$R264,0)</f>
        <v/>
      </c>
      <c r="T264" s="61">
        <f>$S264*1.22</f>
        <v/>
      </c>
      <c r="U264" s="64">
        <f>IF($P264&gt;0,COUNTIF($P$11:P264,"&gt;0"),"")</f>
        <v/>
      </c>
    </row>
    <row r="265" ht="14.25" customHeight="1" s="49">
      <c r="A265" s="58" t="n"/>
      <c r="B265" s="58" t="n"/>
      <c r="C265" s="59" t="n"/>
      <c r="D265" s="59" t="n"/>
      <c r="E265" s="59" t="n"/>
      <c r="F265" s="58" t="n"/>
      <c r="G265" s="60" t="n"/>
      <c r="H265" s="60" t="n"/>
      <c r="I265" s="61" t="n"/>
      <c r="J265" s="61" t="n"/>
      <c r="K265" s="61" t="n"/>
      <c r="L265" s="61" t="n"/>
      <c r="M265" s="61" t="n"/>
      <c r="N265" s="58" t="n"/>
      <c r="O265" s="59" t="n"/>
      <c r="P265" s="62" t="n"/>
      <c r="Q265" s="63" t="n"/>
      <c r="R265" s="61">
        <f>IF($P265&gt;0,CHOOSE(MATCH($B$4,'Служебный лист'!$A$4:$A$8,0),I265,J265,K265,L265,M265),"")</f>
        <v/>
      </c>
      <c r="S265" s="61">
        <f>IFERROR($P265*$R265,0)</f>
        <v/>
      </c>
      <c r="T265" s="61">
        <f>$S265*1.22</f>
        <v/>
      </c>
      <c r="U265" s="64">
        <f>IF($P265&gt;0,COUNTIF($P$11:P265,"&gt;0"),"")</f>
        <v/>
      </c>
    </row>
    <row r="266" ht="14.25" customHeight="1" s="49">
      <c r="A266" s="58" t="n"/>
      <c r="B266" s="58" t="n"/>
      <c r="C266" s="59" t="n"/>
      <c r="D266" s="59" t="n"/>
      <c r="E266" s="59" t="n"/>
      <c r="F266" s="58" t="n"/>
      <c r="G266" s="60" t="n"/>
      <c r="H266" s="60" t="n"/>
      <c r="I266" s="61" t="n"/>
      <c r="J266" s="61" t="n"/>
      <c r="K266" s="61" t="n"/>
      <c r="L266" s="61" t="n"/>
      <c r="M266" s="61" t="n"/>
      <c r="N266" s="58" t="n"/>
      <c r="O266" s="59" t="n"/>
      <c r="P266" s="62" t="n"/>
      <c r="Q266" s="63" t="n"/>
      <c r="R266" s="61">
        <f>IF($P266&gt;0,CHOOSE(MATCH($B$4,'Служебный лист'!$A$4:$A$8,0),I266,J266,K266,L266,M266),"")</f>
        <v/>
      </c>
      <c r="S266" s="61">
        <f>IFERROR($P266*$R266,0)</f>
        <v/>
      </c>
      <c r="T266" s="61">
        <f>$S266*1.22</f>
        <v/>
      </c>
      <c r="U266" s="64">
        <f>IF($P266&gt;0,COUNTIF($P$11:P266,"&gt;0"),"")</f>
        <v/>
      </c>
    </row>
    <row r="267" ht="14.25" customHeight="1" s="49">
      <c r="A267" s="58" t="n"/>
      <c r="B267" s="58" t="n"/>
      <c r="C267" s="59" t="n"/>
      <c r="D267" s="59" t="n"/>
      <c r="E267" s="59" t="n"/>
      <c r="F267" s="58" t="n"/>
      <c r="G267" s="60" t="n"/>
      <c r="H267" s="60" t="n"/>
      <c r="I267" s="61" t="n"/>
      <c r="J267" s="61" t="n"/>
      <c r="K267" s="61" t="n"/>
      <c r="L267" s="61" t="n"/>
      <c r="M267" s="61" t="n"/>
      <c r="N267" s="58" t="n"/>
      <c r="O267" s="59" t="n"/>
      <c r="P267" s="62" t="n"/>
      <c r="Q267" s="63" t="n"/>
      <c r="R267" s="61">
        <f>IF($P267&gt;0,CHOOSE(MATCH($B$4,'Служебный лист'!$A$4:$A$8,0),I267,J267,K267,L267,M267),"")</f>
        <v/>
      </c>
      <c r="S267" s="61">
        <f>IFERROR($P267*$R267,0)</f>
        <v/>
      </c>
      <c r="T267" s="61">
        <f>$S267*1.22</f>
        <v/>
      </c>
      <c r="U267" s="64">
        <f>IF($P267&gt;0,COUNTIF($P$11:P267,"&gt;0"),"")</f>
        <v/>
      </c>
    </row>
    <row r="268" ht="14.25" customHeight="1" s="49">
      <c r="A268" s="58" t="n"/>
      <c r="B268" s="58" t="n"/>
      <c r="C268" s="59" t="n"/>
      <c r="D268" s="59" t="n"/>
      <c r="E268" s="59" t="n"/>
      <c r="F268" s="58" t="n"/>
      <c r="G268" s="60" t="n"/>
      <c r="H268" s="60" t="n"/>
      <c r="I268" s="61" t="n"/>
      <c r="J268" s="61" t="n"/>
      <c r="K268" s="61" t="n"/>
      <c r="L268" s="61" t="n"/>
      <c r="M268" s="61" t="n"/>
      <c r="N268" s="58" t="n"/>
      <c r="O268" s="59" t="n"/>
      <c r="P268" s="62" t="n"/>
      <c r="Q268" s="63" t="n"/>
      <c r="R268" s="61">
        <f>IF($P268&gt;0,CHOOSE(MATCH($B$4,'Служебный лист'!$A$4:$A$8,0),I268,J268,K268,L268,M268),"")</f>
        <v/>
      </c>
      <c r="S268" s="61">
        <f>IFERROR($P268*$R268,0)</f>
        <v/>
      </c>
      <c r="T268" s="61">
        <f>$S268*1.22</f>
        <v/>
      </c>
      <c r="U268" s="64">
        <f>IF($P268&gt;0,COUNTIF($P$11:P268,"&gt;0"),"")</f>
        <v/>
      </c>
    </row>
    <row r="269" ht="14.25" customHeight="1" s="49">
      <c r="A269" s="58" t="n"/>
      <c r="B269" s="58" t="n"/>
      <c r="C269" s="59" t="n"/>
      <c r="D269" s="59" t="n"/>
      <c r="E269" s="59" t="n"/>
      <c r="F269" s="58" t="n"/>
      <c r="G269" s="60" t="n"/>
      <c r="H269" s="60" t="n"/>
      <c r="I269" s="61" t="n"/>
      <c r="J269" s="61" t="n"/>
      <c r="K269" s="61" t="n"/>
      <c r="L269" s="61" t="n"/>
      <c r="M269" s="61" t="n"/>
      <c r="N269" s="58" t="n"/>
      <c r="O269" s="59" t="n"/>
      <c r="P269" s="62" t="n"/>
      <c r="Q269" s="63" t="n"/>
      <c r="R269" s="61">
        <f>IF($P269&gt;0,CHOOSE(MATCH($B$4,'Служебный лист'!$A$4:$A$8,0),I269,J269,K269,L269,M269),"")</f>
        <v/>
      </c>
      <c r="S269" s="61">
        <f>IFERROR($P269*$R269,0)</f>
        <v/>
      </c>
      <c r="T269" s="61">
        <f>$S269*1.22</f>
        <v/>
      </c>
      <c r="U269" s="64">
        <f>IF($P269&gt;0,COUNTIF($P$11:P269,"&gt;0"),"")</f>
        <v/>
      </c>
    </row>
    <row r="270" ht="14.25" customHeight="1" s="49">
      <c r="A270" s="58" t="n"/>
      <c r="B270" s="58" t="n"/>
      <c r="C270" s="59" t="n"/>
      <c r="D270" s="59" t="n"/>
      <c r="E270" s="59" t="n"/>
      <c r="F270" s="58" t="n"/>
      <c r="G270" s="60" t="n"/>
      <c r="H270" s="60" t="n"/>
      <c r="I270" s="61" t="n"/>
      <c r="J270" s="61" t="n"/>
      <c r="K270" s="61" t="n"/>
      <c r="L270" s="61" t="n"/>
      <c r="M270" s="61" t="n"/>
      <c r="N270" s="58" t="n"/>
      <c r="O270" s="59" t="n"/>
      <c r="P270" s="62" t="n"/>
      <c r="Q270" s="63" t="n"/>
      <c r="R270" s="61">
        <f>IF($P270&gt;0,CHOOSE(MATCH($B$4,'Служебный лист'!$A$4:$A$8,0),I270,J270,K270,L270,M270),"")</f>
        <v/>
      </c>
      <c r="S270" s="61">
        <f>IFERROR($P270*$R270,0)</f>
        <v/>
      </c>
      <c r="T270" s="61">
        <f>$S270*1.22</f>
        <v/>
      </c>
      <c r="U270" s="64">
        <f>IF($P270&gt;0,COUNTIF($P$11:P270,"&gt;0"),"")</f>
        <v/>
      </c>
    </row>
    <row r="271" ht="14.25" customHeight="1" s="49">
      <c r="A271" s="58" t="n"/>
      <c r="B271" s="58" t="n"/>
      <c r="C271" s="59" t="n"/>
      <c r="D271" s="59" t="n"/>
      <c r="E271" s="59" t="n"/>
      <c r="F271" s="58" t="n"/>
      <c r="G271" s="60" t="n"/>
      <c r="H271" s="60" t="n"/>
      <c r="I271" s="61" t="n"/>
      <c r="J271" s="61" t="n"/>
      <c r="K271" s="61" t="n"/>
      <c r="L271" s="61" t="n"/>
      <c r="M271" s="61" t="n"/>
      <c r="N271" s="58" t="n"/>
      <c r="O271" s="59" t="n"/>
      <c r="P271" s="62" t="n"/>
      <c r="Q271" s="63" t="n"/>
      <c r="R271" s="61">
        <f>IF($P271&gt;0,CHOOSE(MATCH($B$4,'Служебный лист'!$A$4:$A$8,0),I271,J271,K271,L271,M271),"")</f>
        <v/>
      </c>
      <c r="S271" s="61">
        <f>IFERROR($P271*$R271,0)</f>
        <v/>
      </c>
      <c r="T271" s="61">
        <f>$S271*1.22</f>
        <v/>
      </c>
      <c r="U271" s="64">
        <f>IF($P271&gt;0,COUNTIF($P$11:P271,"&gt;0"),"")</f>
        <v/>
      </c>
    </row>
    <row r="272" ht="14.25" customHeight="1" s="49">
      <c r="A272" s="58" t="n"/>
      <c r="B272" s="58" t="n"/>
      <c r="C272" s="59" t="n"/>
      <c r="D272" s="59" t="n"/>
      <c r="E272" s="59" t="n"/>
      <c r="F272" s="58" t="n"/>
      <c r="G272" s="60" t="n"/>
      <c r="H272" s="60" t="n"/>
      <c r="I272" s="61" t="n"/>
      <c r="J272" s="61" t="n"/>
      <c r="K272" s="61" t="n"/>
      <c r="L272" s="61" t="n"/>
      <c r="M272" s="61" t="n"/>
      <c r="N272" s="58" t="n"/>
      <c r="O272" s="59" t="n"/>
      <c r="P272" s="62" t="n"/>
      <c r="Q272" s="63" t="n"/>
      <c r="R272" s="61">
        <f>IF($P272&gt;0,CHOOSE(MATCH($B$4,'Служебный лист'!$A$4:$A$8,0),I272,J272,K272,L272,M272),"")</f>
        <v/>
      </c>
      <c r="S272" s="61">
        <f>IFERROR($P272*$R272,0)</f>
        <v/>
      </c>
      <c r="T272" s="61">
        <f>$S272*1.22</f>
        <v/>
      </c>
      <c r="U272" s="64">
        <f>IF($P272&gt;0,COUNTIF($P$11:P272,"&gt;0"),"")</f>
        <v/>
      </c>
    </row>
    <row r="273" ht="14.25" customHeight="1" s="49">
      <c r="A273" s="58" t="n"/>
      <c r="B273" s="58" t="n"/>
      <c r="C273" s="59" t="n"/>
      <c r="D273" s="59" t="n"/>
      <c r="E273" s="59" t="n"/>
      <c r="F273" s="58" t="n"/>
      <c r="G273" s="60" t="n"/>
      <c r="H273" s="60" t="n"/>
      <c r="I273" s="61" t="n"/>
      <c r="J273" s="61" t="n"/>
      <c r="K273" s="61" t="n"/>
      <c r="L273" s="61" t="n"/>
      <c r="M273" s="61" t="n"/>
      <c r="N273" s="58" t="n"/>
      <c r="O273" s="59" t="n"/>
      <c r="P273" s="62" t="n"/>
      <c r="Q273" s="63" t="n"/>
      <c r="R273" s="61">
        <f>IF($P273&gt;0,CHOOSE(MATCH($B$4,'Служебный лист'!$A$4:$A$8,0),I273,J273,K273,L273,M273),"")</f>
        <v/>
      </c>
      <c r="S273" s="61">
        <f>IFERROR($P273*$R273,0)</f>
        <v/>
      </c>
      <c r="T273" s="61">
        <f>$S273*1.22</f>
        <v/>
      </c>
      <c r="U273" s="64">
        <f>IF($P273&gt;0,COUNTIF($P$11:P273,"&gt;0"),"")</f>
        <v/>
      </c>
    </row>
    <row r="274" ht="14.25" customHeight="1" s="49">
      <c r="A274" s="58" t="n"/>
      <c r="B274" s="58" t="n"/>
      <c r="C274" s="59" t="n"/>
      <c r="D274" s="59" t="n"/>
      <c r="E274" s="59" t="n"/>
      <c r="F274" s="58" t="n"/>
      <c r="G274" s="60" t="n"/>
      <c r="H274" s="60" t="n"/>
      <c r="I274" s="61" t="n"/>
      <c r="J274" s="61" t="n"/>
      <c r="K274" s="61" t="n"/>
      <c r="L274" s="61" t="n"/>
      <c r="M274" s="61" t="n"/>
      <c r="N274" s="58" t="n"/>
      <c r="O274" s="59" t="n"/>
      <c r="P274" s="62" t="n"/>
      <c r="Q274" s="63" t="n"/>
      <c r="R274" s="61">
        <f>IF($P274&gt;0,CHOOSE(MATCH($B$4,'Служебный лист'!$A$4:$A$8,0),I274,J274,K274,L274,M274),"")</f>
        <v/>
      </c>
      <c r="S274" s="61">
        <f>IFERROR($P274*$R274,0)</f>
        <v/>
      </c>
      <c r="T274" s="61">
        <f>$S274*1.22</f>
        <v/>
      </c>
      <c r="U274" s="64">
        <f>IF($P274&gt;0,COUNTIF($P$11:P274,"&gt;0"),"")</f>
        <v/>
      </c>
    </row>
    <row r="275" ht="14.25" customHeight="1" s="49">
      <c r="A275" s="58" t="n"/>
      <c r="B275" s="58" t="n"/>
      <c r="C275" s="59" t="n"/>
      <c r="D275" s="59" t="n"/>
      <c r="E275" s="59" t="n"/>
      <c r="F275" s="58" t="n"/>
      <c r="G275" s="60" t="n"/>
      <c r="H275" s="60" t="n"/>
      <c r="I275" s="61" t="n"/>
      <c r="J275" s="61" t="n"/>
      <c r="K275" s="61" t="n"/>
      <c r="L275" s="61" t="n"/>
      <c r="M275" s="61" t="n"/>
      <c r="N275" s="58" t="n"/>
      <c r="O275" s="59" t="n"/>
      <c r="P275" s="62" t="n"/>
      <c r="Q275" s="63" t="n"/>
      <c r="R275" s="61">
        <f>IF($P275&gt;0,CHOOSE(MATCH($B$4,'Служебный лист'!$A$4:$A$8,0),I275,J275,K275,L275,M275),"")</f>
        <v/>
      </c>
      <c r="S275" s="61">
        <f>IFERROR($P275*$R275,0)</f>
        <v/>
      </c>
      <c r="T275" s="61">
        <f>$S275*1.22</f>
        <v/>
      </c>
      <c r="U275" s="64">
        <f>IF($P275&gt;0,COUNTIF($P$11:P275,"&gt;0"),"")</f>
        <v/>
      </c>
    </row>
    <row r="276" ht="14.25" customHeight="1" s="49">
      <c r="A276" s="58" t="n"/>
      <c r="B276" s="58" t="n"/>
      <c r="C276" s="59" t="n"/>
      <c r="D276" s="59" t="n"/>
      <c r="E276" s="59" t="n"/>
      <c r="F276" s="58" t="n"/>
      <c r="G276" s="60" t="n"/>
      <c r="H276" s="60" t="n"/>
      <c r="I276" s="61" t="n"/>
      <c r="J276" s="61" t="n"/>
      <c r="K276" s="61" t="n"/>
      <c r="L276" s="61" t="n"/>
      <c r="M276" s="61" t="n"/>
      <c r="N276" s="58" t="n"/>
      <c r="O276" s="59" t="n"/>
      <c r="P276" s="62" t="n"/>
      <c r="Q276" s="63" t="n"/>
      <c r="R276" s="61">
        <f>IF($P276&gt;0,CHOOSE(MATCH($B$4,'Служебный лист'!$A$4:$A$8,0),I276,J276,K276,L276,M276),"")</f>
        <v/>
      </c>
      <c r="S276" s="61">
        <f>IFERROR($P276*$R276,0)</f>
        <v/>
      </c>
      <c r="T276" s="61">
        <f>$S276*1.22</f>
        <v/>
      </c>
      <c r="U276" s="64">
        <f>IF($P276&gt;0,COUNTIF($P$11:P276,"&gt;0"),"")</f>
        <v/>
      </c>
    </row>
    <row r="277" ht="14.25" customHeight="1" s="49">
      <c r="A277" s="58" t="n"/>
      <c r="B277" s="58" t="n"/>
      <c r="C277" s="59" t="n"/>
      <c r="D277" s="59" t="n"/>
      <c r="E277" s="59" t="n"/>
      <c r="F277" s="58" t="n"/>
      <c r="G277" s="60" t="n"/>
      <c r="H277" s="60" t="n"/>
      <c r="I277" s="61" t="n"/>
      <c r="J277" s="61" t="n"/>
      <c r="K277" s="61" t="n"/>
      <c r="L277" s="61" t="n"/>
      <c r="M277" s="61" t="n"/>
      <c r="N277" s="58" t="n"/>
      <c r="O277" s="59" t="n"/>
      <c r="P277" s="62" t="n"/>
      <c r="Q277" s="63" t="n"/>
      <c r="R277" s="61">
        <f>IF($P277&gt;0,CHOOSE(MATCH($B$4,'Служебный лист'!$A$4:$A$8,0),I277,J277,K277,L277,M277),"")</f>
        <v/>
      </c>
      <c r="S277" s="61">
        <f>IFERROR($P277*$R277,0)</f>
        <v/>
      </c>
      <c r="T277" s="61">
        <f>$S277*1.22</f>
        <v/>
      </c>
      <c r="U277" s="64">
        <f>IF($P277&gt;0,COUNTIF($P$11:P277,"&gt;0"),"")</f>
        <v/>
      </c>
    </row>
    <row r="278" ht="14.25" customHeight="1" s="49">
      <c r="A278" s="58" t="n"/>
      <c r="B278" s="58" t="n"/>
      <c r="C278" s="59" t="n"/>
      <c r="D278" s="59" t="n"/>
      <c r="E278" s="59" t="n"/>
      <c r="F278" s="58" t="n"/>
      <c r="G278" s="60" t="n"/>
      <c r="H278" s="60" t="n"/>
      <c r="I278" s="61" t="n"/>
      <c r="J278" s="61" t="n"/>
      <c r="K278" s="61" t="n"/>
      <c r="L278" s="61" t="n"/>
      <c r="M278" s="61" t="n"/>
      <c r="N278" s="58" t="n"/>
      <c r="O278" s="59" t="n"/>
      <c r="P278" s="62" t="n"/>
      <c r="Q278" s="63" t="n"/>
      <c r="R278" s="61">
        <f>IF($P278&gt;0,CHOOSE(MATCH($B$4,'Служебный лист'!$A$4:$A$8,0),I278,J278,K278,L278,M278),"")</f>
        <v/>
      </c>
      <c r="S278" s="61">
        <f>IFERROR($P278*$R278,0)</f>
        <v/>
      </c>
      <c r="T278" s="61">
        <f>$S278*1.22</f>
        <v/>
      </c>
      <c r="U278" s="64">
        <f>IF($P278&gt;0,COUNTIF($P$11:P278,"&gt;0"),"")</f>
        <v/>
      </c>
    </row>
    <row r="279" ht="14.25" customHeight="1" s="49">
      <c r="A279" s="58" t="n"/>
      <c r="B279" s="58" t="n"/>
      <c r="C279" s="59" t="n"/>
      <c r="D279" s="59" t="n"/>
      <c r="E279" s="59" t="n"/>
      <c r="F279" s="58" t="n"/>
      <c r="G279" s="60" t="n"/>
      <c r="H279" s="60" t="n"/>
      <c r="I279" s="61" t="n"/>
      <c r="J279" s="61" t="n"/>
      <c r="K279" s="61" t="n"/>
      <c r="L279" s="61" t="n"/>
      <c r="M279" s="61" t="n"/>
      <c r="N279" s="58" t="n"/>
      <c r="O279" s="59" t="n"/>
      <c r="P279" s="62" t="n"/>
      <c r="Q279" s="63" t="n"/>
      <c r="R279" s="61">
        <f>IF($P279&gt;0,CHOOSE(MATCH($B$4,'Служебный лист'!$A$4:$A$8,0),I279,J279,K279,L279,M279),"")</f>
        <v/>
      </c>
      <c r="S279" s="61">
        <f>IFERROR($P279*$R279,0)</f>
        <v/>
      </c>
      <c r="T279" s="61">
        <f>$S279*1.22</f>
        <v/>
      </c>
      <c r="U279" s="64">
        <f>IF($P279&gt;0,COUNTIF($P$11:P279,"&gt;0"),"")</f>
        <v/>
      </c>
    </row>
    <row r="280" ht="14.25" customHeight="1" s="49">
      <c r="A280" s="58" t="n"/>
      <c r="B280" s="58" t="n"/>
      <c r="C280" s="59" t="n"/>
      <c r="D280" s="59" t="n"/>
      <c r="E280" s="59" t="n"/>
      <c r="F280" s="58" t="n"/>
      <c r="G280" s="60" t="n"/>
      <c r="H280" s="60" t="n"/>
      <c r="I280" s="61" t="n"/>
      <c r="J280" s="61" t="n"/>
      <c r="K280" s="61" t="n"/>
      <c r="L280" s="61" t="n"/>
      <c r="M280" s="61" t="n"/>
      <c r="N280" s="58" t="n"/>
      <c r="O280" s="59" t="n"/>
      <c r="P280" s="62" t="n"/>
      <c r="Q280" s="63" t="n"/>
      <c r="R280" s="61">
        <f>IF($P280&gt;0,CHOOSE(MATCH($B$4,'Служебный лист'!$A$4:$A$8,0),I280,J280,K280,L280,M280),"")</f>
        <v/>
      </c>
      <c r="S280" s="61">
        <f>IFERROR($P280*$R280,0)</f>
        <v/>
      </c>
      <c r="T280" s="61">
        <f>$S280*1.22</f>
        <v/>
      </c>
      <c r="U280" s="64">
        <f>IF($P280&gt;0,COUNTIF($P$11:P280,"&gt;0"),"")</f>
        <v/>
      </c>
    </row>
    <row r="281" ht="14.25" customHeight="1" s="49">
      <c r="A281" s="58" t="n"/>
      <c r="B281" s="58" t="n"/>
      <c r="C281" s="59" t="n"/>
      <c r="D281" s="59" t="n"/>
      <c r="E281" s="59" t="n"/>
      <c r="F281" s="58" t="n"/>
      <c r="G281" s="60" t="n"/>
      <c r="H281" s="60" t="n"/>
      <c r="I281" s="61" t="n"/>
      <c r="J281" s="61" t="n"/>
      <c r="K281" s="61" t="n"/>
      <c r="L281" s="61" t="n"/>
      <c r="M281" s="61" t="n"/>
      <c r="N281" s="58" t="n"/>
      <c r="O281" s="59" t="n"/>
      <c r="P281" s="62" t="n"/>
      <c r="Q281" s="63" t="n"/>
      <c r="R281" s="61">
        <f>IF($P281&gt;0,CHOOSE(MATCH($B$4,'Служебный лист'!$A$4:$A$8,0),I281,J281,K281,L281,M281),"")</f>
        <v/>
      </c>
      <c r="S281" s="61">
        <f>IFERROR($P281*$R281,0)</f>
        <v/>
      </c>
      <c r="T281" s="61">
        <f>$S281*1.22</f>
        <v/>
      </c>
      <c r="U281" s="64">
        <f>IF($P281&gt;0,COUNTIF($P$11:P281,"&gt;0"),"")</f>
        <v/>
      </c>
    </row>
    <row r="282" ht="14.25" customHeight="1" s="49">
      <c r="A282" s="58" t="n"/>
      <c r="B282" s="58" t="n"/>
      <c r="C282" s="59" t="n"/>
      <c r="D282" s="59" t="n"/>
      <c r="E282" s="59" t="n"/>
      <c r="F282" s="58" t="n"/>
      <c r="G282" s="60" t="n"/>
      <c r="H282" s="60" t="n"/>
      <c r="I282" s="61" t="n"/>
      <c r="J282" s="61" t="n"/>
      <c r="K282" s="61" t="n"/>
      <c r="L282" s="61" t="n"/>
      <c r="M282" s="61" t="n"/>
      <c r="N282" s="58" t="n"/>
      <c r="O282" s="59" t="n"/>
      <c r="P282" s="62" t="n"/>
      <c r="Q282" s="63" t="n"/>
      <c r="R282" s="61">
        <f>IF($P282&gt;0,CHOOSE(MATCH($B$4,'Служебный лист'!$A$4:$A$8,0),I282,J282,K282,L282,M282),"")</f>
        <v/>
      </c>
      <c r="S282" s="61">
        <f>IFERROR($P282*$R282,0)</f>
        <v/>
      </c>
      <c r="T282" s="61">
        <f>$S282*1.22</f>
        <v/>
      </c>
      <c r="U282" s="64">
        <f>IF($P282&gt;0,COUNTIF($P$11:P282,"&gt;0"),"")</f>
        <v/>
      </c>
    </row>
    <row r="283" ht="14.25" customHeight="1" s="49">
      <c r="A283" s="58" t="n"/>
      <c r="B283" s="58" t="n"/>
      <c r="C283" s="59" t="n"/>
      <c r="D283" s="59" t="n"/>
      <c r="E283" s="59" t="n"/>
      <c r="F283" s="58" t="n"/>
      <c r="G283" s="60" t="n"/>
      <c r="H283" s="60" t="n"/>
      <c r="I283" s="61" t="n"/>
      <c r="J283" s="61" t="n"/>
      <c r="K283" s="61" t="n"/>
      <c r="L283" s="61" t="n"/>
      <c r="M283" s="61" t="n"/>
      <c r="N283" s="58" t="n"/>
      <c r="O283" s="59" t="n"/>
      <c r="P283" s="62" t="n"/>
      <c r="Q283" s="63" t="n"/>
      <c r="R283" s="61">
        <f>IF($P283&gt;0,CHOOSE(MATCH($B$4,'Служебный лист'!$A$4:$A$8,0),I283,J283,K283,L283,M283),"")</f>
        <v/>
      </c>
      <c r="S283" s="61">
        <f>IFERROR($P283*$R283,0)</f>
        <v/>
      </c>
      <c r="T283" s="61">
        <f>$S283*1.22</f>
        <v/>
      </c>
      <c r="U283" s="64">
        <f>IF($P283&gt;0,COUNTIF($P$11:P283,"&gt;0"),"")</f>
        <v/>
      </c>
    </row>
    <row r="284" ht="14.25" customHeight="1" s="49">
      <c r="A284" s="58" t="n"/>
      <c r="B284" s="58" t="n"/>
      <c r="C284" s="59" t="n"/>
      <c r="D284" s="59" t="n"/>
      <c r="E284" s="59" t="n"/>
      <c r="F284" s="58" t="n"/>
      <c r="G284" s="60" t="n"/>
      <c r="H284" s="60" t="n"/>
      <c r="I284" s="61" t="n"/>
      <c r="J284" s="61" t="n"/>
      <c r="K284" s="61" t="n"/>
      <c r="L284" s="61" t="n"/>
      <c r="M284" s="61" t="n"/>
      <c r="N284" s="58" t="n"/>
      <c r="O284" s="59" t="n"/>
      <c r="P284" s="62" t="n"/>
      <c r="Q284" s="63" t="n"/>
      <c r="R284" s="61">
        <f>IF($P284&gt;0,CHOOSE(MATCH($B$4,'Служебный лист'!$A$4:$A$8,0),I284,J284,K284,L284,M284),"")</f>
        <v/>
      </c>
      <c r="S284" s="61">
        <f>IFERROR($P284*$R284,0)</f>
        <v/>
      </c>
      <c r="T284" s="61">
        <f>$S284*1.22</f>
        <v/>
      </c>
      <c r="U284" s="64">
        <f>IF($P284&gt;0,COUNTIF($P$11:P284,"&gt;0"),"")</f>
        <v/>
      </c>
    </row>
    <row r="285" ht="14.25" customHeight="1" s="49">
      <c r="A285" s="58" t="n"/>
      <c r="B285" s="58" t="n"/>
      <c r="C285" s="59" t="n"/>
      <c r="D285" s="59" t="n"/>
      <c r="E285" s="59" t="n"/>
      <c r="F285" s="58" t="n"/>
      <c r="G285" s="60" t="n"/>
      <c r="H285" s="60" t="n"/>
      <c r="I285" s="61" t="n"/>
      <c r="J285" s="61" t="n"/>
      <c r="K285" s="61" t="n"/>
      <c r="L285" s="61" t="n"/>
      <c r="M285" s="61" t="n"/>
      <c r="N285" s="58" t="n"/>
      <c r="O285" s="59" t="n"/>
      <c r="P285" s="62" t="n"/>
      <c r="Q285" s="63" t="n"/>
      <c r="R285" s="61">
        <f>IF($P285&gt;0,CHOOSE(MATCH($B$4,'Служебный лист'!$A$4:$A$8,0),I285,J285,K285,L285,M285),"")</f>
        <v/>
      </c>
      <c r="S285" s="61">
        <f>IFERROR($P285*$R285,0)</f>
        <v/>
      </c>
      <c r="T285" s="61">
        <f>$S285*1.22</f>
        <v/>
      </c>
      <c r="U285" s="64">
        <f>IF($P285&gt;0,COUNTIF($P$11:P285,"&gt;0"),"")</f>
        <v/>
      </c>
    </row>
    <row r="286" ht="14.25" customHeight="1" s="49">
      <c r="A286" s="58" t="n"/>
      <c r="B286" s="58" t="n"/>
      <c r="C286" s="59" t="n"/>
      <c r="D286" s="59" t="n"/>
      <c r="E286" s="59" t="n"/>
      <c r="F286" s="58" t="n"/>
      <c r="G286" s="60" t="n"/>
      <c r="H286" s="60" t="n"/>
      <c r="I286" s="61" t="n"/>
      <c r="J286" s="61" t="n"/>
      <c r="K286" s="61" t="n"/>
      <c r="L286" s="61" t="n"/>
      <c r="M286" s="61" t="n"/>
      <c r="N286" s="58" t="n"/>
      <c r="O286" s="59" t="n"/>
      <c r="P286" s="62" t="n"/>
      <c r="Q286" s="63" t="n"/>
      <c r="R286" s="61">
        <f>IF($P286&gt;0,CHOOSE(MATCH($B$4,'Служебный лист'!$A$4:$A$8,0),I286,J286,K286,L286,M286),"")</f>
        <v/>
      </c>
      <c r="S286" s="61">
        <f>IFERROR($P286*$R286,0)</f>
        <v/>
      </c>
      <c r="T286" s="61">
        <f>$S286*1.22</f>
        <v/>
      </c>
      <c r="U286" s="64">
        <f>IF($P286&gt;0,COUNTIF($P$11:P286,"&gt;0"),"")</f>
        <v/>
      </c>
    </row>
    <row r="287" ht="14.25" customHeight="1" s="49">
      <c r="A287" s="58" t="n"/>
      <c r="B287" s="58" t="n"/>
      <c r="C287" s="59" t="n"/>
      <c r="D287" s="59" t="n"/>
      <c r="E287" s="59" t="n"/>
      <c r="F287" s="58" t="n"/>
      <c r="G287" s="60" t="n"/>
      <c r="H287" s="60" t="n"/>
      <c r="I287" s="61" t="n"/>
      <c r="J287" s="61" t="n"/>
      <c r="K287" s="61" t="n"/>
      <c r="L287" s="61" t="n"/>
      <c r="M287" s="61" t="n"/>
      <c r="N287" s="58" t="n"/>
      <c r="O287" s="59" t="n"/>
      <c r="P287" s="62" t="n"/>
      <c r="Q287" s="63" t="n"/>
      <c r="R287" s="61">
        <f>IF($P287&gt;0,CHOOSE(MATCH($B$4,'Служебный лист'!$A$4:$A$8,0),I287,J287,K287,L287,M287),"")</f>
        <v/>
      </c>
      <c r="S287" s="61">
        <f>IFERROR($P287*$R287,0)</f>
        <v/>
      </c>
      <c r="T287" s="61">
        <f>$S287*1.22</f>
        <v/>
      </c>
      <c r="U287" s="64">
        <f>IF($P287&gt;0,COUNTIF($P$11:P287,"&gt;0"),"")</f>
        <v/>
      </c>
    </row>
    <row r="288" ht="14.25" customHeight="1" s="49">
      <c r="A288" s="58" t="n"/>
      <c r="B288" s="58" t="n"/>
      <c r="C288" s="59" t="n"/>
      <c r="D288" s="59" t="n"/>
      <c r="E288" s="59" t="n"/>
      <c r="F288" s="58" t="n"/>
      <c r="G288" s="60" t="n"/>
      <c r="H288" s="60" t="n"/>
      <c r="I288" s="61" t="n"/>
      <c r="J288" s="61" t="n"/>
      <c r="K288" s="61" t="n"/>
      <c r="L288" s="61" t="n"/>
      <c r="M288" s="61" t="n"/>
      <c r="N288" s="58" t="n"/>
      <c r="O288" s="59" t="n"/>
      <c r="P288" s="62" t="n"/>
      <c r="Q288" s="63" t="n"/>
      <c r="R288" s="61">
        <f>IF($P288&gt;0,CHOOSE(MATCH($B$4,'Служебный лист'!$A$4:$A$8,0),I288,J288,K288,L288,M288),"")</f>
        <v/>
      </c>
      <c r="S288" s="61">
        <f>IFERROR($P288*$R288,0)</f>
        <v/>
      </c>
      <c r="T288" s="61">
        <f>$S288*1.22</f>
        <v/>
      </c>
      <c r="U288" s="64">
        <f>IF($P288&gt;0,COUNTIF($P$11:P288,"&gt;0"),"")</f>
        <v/>
      </c>
    </row>
    <row r="289" ht="14.25" customHeight="1" s="49">
      <c r="A289" s="58" t="n"/>
      <c r="B289" s="58" t="n"/>
      <c r="C289" s="59" t="n"/>
      <c r="D289" s="59" t="n"/>
      <c r="E289" s="59" t="n"/>
      <c r="F289" s="58" t="n"/>
      <c r="G289" s="60" t="n"/>
      <c r="H289" s="60" t="n"/>
      <c r="I289" s="61" t="n"/>
      <c r="J289" s="61" t="n"/>
      <c r="K289" s="61" t="n"/>
      <c r="L289" s="61" t="n"/>
      <c r="M289" s="61" t="n"/>
      <c r="N289" s="58" t="n"/>
      <c r="O289" s="59" t="n"/>
      <c r="P289" s="62" t="n"/>
      <c r="Q289" s="63" t="n"/>
      <c r="R289" s="61">
        <f>IF($P289&gt;0,CHOOSE(MATCH($B$4,'Служебный лист'!$A$4:$A$8,0),I289,J289,K289,L289,M289),"")</f>
        <v/>
      </c>
      <c r="S289" s="61">
        <f>IFERROR($P289*$R289,0)</f>
        <v/>
      </c>
      <c r="T289" s="61">
        <f>$S289*1.22</f>
        <v/>
      </c>
      <c r="U289" s="64">
        <f>IF($P289&gt;0,COUNTIF($P$11:P289,"&gt;0"),"")</f>
        <v/>
      </c>
    </row>
    <row r="290" ht="14.25" customHeight="1" s="49">
      <c r="A290" s="58" t="n"/>
      <c r="B290" s="58" t="n"/>
      <c r="C290" s="59" t="n"/>
      <c r="D290" s="59" t="n"/>
      <c r="E290" s="59" t="n"/>
      <c r="F290" s="58" t="n"/>
      <c r="G290" s="60" t="n"/>
      <c r="H290" s="60" t="n"/>
      <c r="I290" s="61" t="n"/>
      <c r="J290" s="61" t="n"/>
      <c r="K290" s="61" t="n"/>
      <c r="L290" s="61" t="n"/>
      <c r="M290" s="61" t="n"/>
      <c r="N290" s="58" t="n"/>
      <c r="O290" s="59" t="n"/>
      <c r="P290" s="62" t="n"/>
      <c r="Q290" s="63" t="n"/>
      <c r="R290" s="61">
        <f>IF($P290&gt;0,CHOOSE(MATCH($B$4,'Служебный лист'!$A$4:$A$8,0),I290,J290,K290,L290,M290),"")</f>
        <v/>
      </c>
      <c r="S290" s="61">
        <f>IFERROR($P290*$R290,0)</f>
        <v/>
      </c>
      <c r="T290" s="61">
        <f>$S290*1.22</f>
        <v/>
      </c>
      <c r="U290" s="64">
        <f>IF($P290&gt;0,COUNTIF($P$11:P290,"&gt;0"),"")</f>
        <v/>
      </c>
    </row>
    <row r="291" ht="14.25" customHeight="1" s="49">
      <c r="A291" s="58" t="n"/>
      <c r="B291" s="58" t="n"/>
      <c r="C291" s="59" t="n"/>
      <c r="D291" s="59" t="n"/>
      <c r="E291" s="59" t="n"/>
      <c r="F291" s="58" t="n"/>
      <c r="G291" s="60" t="n"/>
      <c r="H291" s="60" t="n"/>
      <c r="I291" s="61" t="n"/>
      <c r="J291" s="61" t="n"/>
      <c r="K291" s="61" t="n"/>
      <c r="L291" s="61" t="n"/>
      <c r="M291" s="61" t="n"/>
      <c r="N291" s="58" t="n"/>
      <c r="O291" s="59" t="n"/>
      <c r="P291" s="62" t="n"/>
      <c r="Q291" s="63" t="n"/>
      <c r="R291" s="61">
        <f>IF($P291&gt;0,CHOOSE(MATCH($B$4,'Служебный лист'!$A$4:$A$8,0),I291,J291,K291,L291,M291),"")</f>
        <v/>
      </c>
      <c r="S291" s="61">
        <f>IFERROR($P291*$R291,0)</f>
        <v/>
      </c>
      <c r="T291" s="61">
        <f>$S291*1.22</f>
        <v/>
      </c>
      <c r="U291" s="64">
        <f>IF($P291&gt;0,COUNTIF($P$11:P291,"&gt;0"),"")</f>
        <v/>
      </c>
    </row>
    <row r="292" ht="14.25" customHeight="1" s="49">
      <c r="A292" s="58" t="n"/>
      <c r="B292" s="58" t="n"/>
      <c r="C292" s="59" t="n"/>
      <c r="D292" s="59" t="n"/>
      <c r="E292" s="59" t="n"/>
      <c r="F292" s="58" t="n"/>
      <c r="G292" s="60" t="n"/>
      <c r="H292" s="60" t="n"/>
      <c r="I292" s="61" t="n"/>
      <c r="J292" s="61" t="n"/>
      <c r="K292" s="61" t="n"/>
      <c r="L292" s="61" t="n"/>
      <c r="M292" s="61" t="n"/>
      <c r="N292" s="58" t="n"/>
      <c r="O292" s="59" t="n"/>
      <c r="P292" s="62" t="n"/>
      <c r="Q292" s="63" t="n"/>
      <c r="R292" s="61">
        <f>IF($P292&gt;0,CHOOSE(MATCH($B$4,'Служебный лист'!$A$4:$A$8,0),I292,J292,K292,L292,M292),"")</f>
        <v/>
      </c>
      <c r="S292" s="61">
        <f>IFERROR($P292*$R292,0)</f>
        <v/>
      </c>
      <c r="T292" s="61">
        <f>$S292*1.22</f>
        <v/>
      </c>
      <c r="U292" s="64">
        <f>IF($P292&gt;0,COUNTIF($P$11:P292,"&gt;0"),"")</f>
        <v/>
      </c>
    </row>
    <row r="293" ht="14.25" customHeight="1" s="49">
      <c r="A293" s="58" t="n"/>
      <c r="B293" s="58" t="n"/>
      <c r="C293" s="59" t="n"/>
      <c r="D293" s="59" t="n"/>
      <c r="E293" s="59" t="n"/>
      <c r="F293" s="58" t="n"/>
      <c r="G293" s="60" t="n"/>
      <c r="H293" s="60" t="n"/>
      <c r="I293" s="61" t="n"/>
      <c r="J293" s="61" t="n"/>
      <c r="K293" s="61" t="n"/>
      <c r="L293" s="61" t="n"/>
      <c r="M293" s="61" t="n"/>
      <c r="N293" s="58" t="n"/>
      <c r="O293" s="59" t="n"/>
      <c r="P293" s="62" t="n"/>
      <c r="Q293" s="63" t="n"/>
      <c r="R293" s="61">
        <f>IF($P293&gt;0,CHOOSE(MATCH($B$4,'Служебный лист'!$A$4:$A$8,0),I293,J293,K293,L293,M293),"")</f>
        <v/>
      </c>
      <c r="S293" s="61">
        <f>IFERROR($P293*$R293,0)</f>
        <v/>
      </c>
      <c r="T293" s="61">
        <f>$S293*1.22</f>
        <v/>
      </c>
      <c r="U293" s="64">
        <f>IF($P293&gt;0,COUNTIF($P$11:P293,"&gt;0"),"")</f>
        <v/>
      </c>
    </row>
    <row r="294" ht="14.25" customHeight="1" s="49">
      <c r="A294" s="58" t="n"/>
      <c r="B294" s="58" t="n"/>
      <c r="C294" s="59" t="n"/>
      <c r="D294" s="59" t="n"/>
      <c r="E294" s="59" t="n"/>
      <c r="F294" s="58" t="n"/>
      <c r="G294" s="60" t="n"/>
      <c r="H294" s="60" t="n"/>
      <c r="I294" s="61" t="n"/>
      <c r="J294" s="61" t="n"/>
      <c r="K294" s="61" t="n"/>
      <c r="L294" s="61" t="n"/>
      <c r="M294" s="61" t="n"/>
      <c r="N294" s="58" t="n"/>
      <c r="O294" s="59" t="n"/>
      <c r="P294" s="62" t="n"/>
      <c r="Q294" s="63" t="n"/>
      <c r="R294" s="61">
        <f>IF($P294&gt;0,CHOOSE(MATCH($B$4,'Служебный лист'!$A$4:$A$8,0),I294,J294,K294,L294,M294),"")</f>
        <v/>
      </c>
      <c r="S294" s="61">
        <f>IFERROR($P294*$R294,0)</f>
        <v/>
      </c>
      <c r="T294" s="61">
        <f>$S294*1.22</f>
        <v/>
      </c>
      <c r="U294" s="64">
        <f>IF($P294&gt;0,COUNTIF($P$11:P294,"&gt;0"),"")</f>
        <v/>
      </c>
    </row>
    <row r="295" ht="14.25" customHeight="1" s="49">
      <c r="A295" s="58" t="n"/>
      <c r="B295" s="58" t="n"/>
      <c r="C295" s="59" t="n"/>
      <c r="D295" s="59" t="n"/>
      <c r="E295" s="59" t="n"/>
      <c r="F295" s="58" t="n"/>
      <c r="G295" s="60" t="n"/>
      <c r="H295" s="60" t="n"/>
      <c r="I295" s="61" t="n"/>
      <c r="J295" s="61" t="n"/>
      <c r="K295" s="61" t="n"/>
      <c r="L295" s="61" t="n"/>
      <c r="M295" s="61" t="n"/>
      <c r="N295" s="58" t="n"/>
      <c r="O295" s="59" t="n"/>
      <c r="P295" s="62" t="n"/>
      <c r="Q295" s="63" t="n"/>
      <c r="R295" s="61">
        <f>IF($P295&gt;0,CHOOSE(MATCH($B$4,'Служебный лист'!$A$4:$A$8,0),I295,J295,K295,L295,M295),"")</f>
        <v/>
      </c>
      <c r="S295" s="61">
        <f>IFERROR($P295*$R295,0)</f>
        <v/>
      </c>
      <c r="T295" s="61">
        <f>$S295*1.22</f>
        <v/>
      </c>
      <c r="U295" s="64">
        <f>IF($P295&gt;0,COUNTIF($P$11:P295,"&gt;0"),"")</f>
        <v/>
      </c>
    </row>
    <row r="296" ht="14.25" customHeight="1" s="49">
      <c r="A296" s="58" t="n"/>
      <c r="B296" s="58" t="n"/>
      <c r="C296" s="59" t="n"/>
      <c r="D296" s="59" t="n"/>
      <c r="E296" s="59" t="n"/>
      <c r="F296" s="58" t="n"/>
      <c r="G296" s="60" t="n"/>
      <c r="H296" s="60" t="n"/>
      <c r="I296" s="61" t="n"/>
      <c r="J296" s="61" t="n"/>
      <c r="K296" s="61" t="n"/>
      <c r="L296" s="61" t="n"/>
      <c r="M296" s="61" t="n"/>
      <c r="N296" s="58" t="n"/>
      <c r="O296" s="59" t="n"/>
      <c r="P296" s="62" t="n"/>
      <c r="Q296" s="63" t="n"/>
      <c r="R296" s="61">
        <f>IF($P296&gt;0,CHOOSE(MATCH($B$4,'Служебный лист'!$A$4:$A$8,0),I296,J296,K296,L296,M296),"")</f>
        <v/>
      </c>
      <c r="S296" s="61">
        <f>IFERROR($P296*$R296,0)</f>
        <v/>
      </c>
      <c r="T296" s="61">
        <f>$S296*1.22</f>
        <v/>
      </c>
      <c r="U296" s="64">
        <f>IF($P296&gt;0,COUNTIF($P$11:P296,"&gt;0"),"")</f>
        <v/>
      </c>
    </row>
    <row r="297" ht="14.25" customHeight="1" s="49">
      <c r="A297" s="58" t="n"/>
      <c r="B297" s="58" t="n"/>
      <c r="C297" s="59" t="n"/>
      <c r="D297" s="59" t="n"/>
      <c r="E297" s="59" t="n"/>
      <c r="F297" s="58" t="n"/>
      <c r="G297" s="60" t="n"/>
      <c r="H297" s="60" t="n"/>
      <c r="I297" s="61" t="n"/>
      <c r="J297" s="61" t="n"/>
      <c r="K297" s="61" t="n"/>
      <c r="L297" s="61" t="n"/>
      <c r="M297" s="61" t="n"/>
      <c r="N297" s="58" t="n"/>
      <c r="O297" s="59" t="n"/>
      <c r="P297" s="62" t="n"/>
      <c r="Q297" s="63" t="n"/>
      <c r="R297" s="61">
        <f>IF($P297&gt;0,CHOOSE(MATCH($B$4,'Служебный лист'!$A$4:$A$8,0),I297,J297,K297,L297,M297),"")</f>
        <v/>
      </c>
      <c r="S297" s="61">
        <f>IFERROR($P297*$R297,0)</f>
        <v/>
      </c>
      <c r="T297" s="61">
        <f>$S297*1.22</f>
        <v/>
      </c>
      <c r="U297" s="64">
        <f>IF($P297&gt;0,COUNTIF($P$11:P297,"&gt;0"),"")</f>
        <v/>
      </c>
    </row>
    <row r="298" ht="14.25" customHeight="1" s="49">
      <c r="A298" s="58" t="n"/>
      <c r="B298" s="58" t="n"/>
      <c r="C298" s="59" t="n"/>
      <c r="D298" s="59" t="n"/>
      <c r="E298" s="59" t="n"/>
      <c r="F298" s="58" t="n"/>
      <c r="G298" s="60" t="n"/>
      <c r="H298" s="60" t="n"/>
      <c r="I298" s="61" t="n"/>
      <c r="J298" s="61" t="n"/>
      <c r="K298" s="61" t="n"/>
      <c r="L298" s="61" t="n"/>
      <c r="M298" s="61" t="n"/>
      <c r="N298" s="58" t="n"/>
      <c r="O298" s="59" t="n"/>
      <c r="P298" s="62" t="n"/>
      <c r="Q298" s="63" t="n"/>
      <c r="R298" s="61">
        <f>IF($P298&gt;0,CHOOSE(MATCH($B$4,'Служебный лист'!$A$4:$A$8,0),I298,J298,K298,L298,M298),"")</f>
        <v/>
      </c>
      <c r="S298" s="61">
        <f>IFERROR($P298*$R298,0)</f>
        <v/>
      </c>
      <c r="T298" s="61">
        <f>$S298*1.22</f>
        <v/>
      </c>
      <c r="U298" s="64">
        <f>IF($P298&gt;0,COUNTIF($P$11:P298,"&gt;0"),"")</f>
        <v/>
      </c>
    </row>
    <row r="299" ht="14.25" customHeight="1" s="49">
      <c r="A299" s="58" t="n"/>
      <c r="B299" s="58" t="n"/>
      <c r="C299" s="59" t="n"/>
      <c r="D299" s="59" t="n"/>
      <c r="E299" s="59" t="n"/>
      <c r="F299" s="58" t="n"/>
      <c r="G299" s="60" t="n"/>
      <c r="H299" s="60" t="n"/>
      <c r="I299" s="61" t="n"/>
      <c r="J299" s="61" t="n"/>
      <c r="K299" s="61" t="n"/>
      <c r="L299" s="61" t="n"/>
      <c r="M299" s="61" t="n"/>
      <c r="N299" s="58" t="n"/>
      <c r="O299" s="59" t="n"/>
      <c r="P299" s="62" t="n"/>
      <c r="Q299" s="63" t="n"/>
      <c r="R299" s="61">
        <f>IF($P299&gt;0,CHOOSE(MATCH($B$4,'Служебный лист'!$A$4:$A$8,0),I299,J299,K299,L299,M299),"")</f>
        <v/>
      </c>
      <c r="S299" s="61">
        <f>IFERROR($P299*$R299,0)</f>
        <v/>
      </c>
      <c r="T299" s="61">
        <f>$S299*1.22</f>
        <v/>
      </c>
      <c r="U299" s="64">
        <f>IF($P299&gt;0,COUNTIF($P$11:P299,"&gt;0"),"")</f>
        <v/>
      </c>
    </row>
    <row r="300" ht="14.25" customHeight="1" s="49">
      <c r="A300" s="58" t="n"/>
      <c r="B300" s="58" t="n"/>
      <c r="C300" s="59" t="n"/>
      <c r="D300" s="59" t="n"/>
      <c r="E300" s="59" t="n"/>
      <c r="F300" s="58" t="n"/>
      <c r="G300" s="60" t="n"/>
      <c r="H300" s="60" t="n"/>
      <c r="I300" s="61" t="n"/>
      <c r="J300" s="61" t="n"/>
      <c r="K300" s="61" t="n"/>
      <c r="L300" s="61" t="n"/>
      <c r="M300" s="61" t="n"/>
      <c r="N300" s="58" t="n"/>
      <c r="O300" s="59" t="n"/>
      <c r="P300" s="62" t="n"/>
      <c r="Q300" s="63" t="n"/>
      <c r="R300" s="61">
        <f>IF($P300&gt;0,CHOOSE(MATCH($B$4,'Служебный лист'!$A$4:$A$8,0),I300,J300,K300,L300,M300),"")</f>
        <v/>
      </c>
      <c r="S300" s="61">
        <f>IFERROR($P300*$R300,0)</f>
        <v/>
      </c>
      <c r="T300" s="61">
        <f>$S300*1.22</f>
        <v/>
      </c>
      <c r="U300" s="64">
        <f>IF($P300&gt;0,COUNTIF($P$11:P300,"&gt;0"),"")</f>
        <v/>
      </c>
    </row>
    <row r="301" ht="14.25" customHeight="1" s="49">
      <c r="A301" s="58" t="n"/>
      <c r="B301" s="58" t="n"/>
      <c r="C301" s="59" t="n"/>
      <c r="D301" s="59" t="n"/>
      <c r="E301" s="59" t="n"/>
      <c r="F301" s="58" t="n"/>
      <c r="G301" s="60" t="n"/>
      <c r="H301" s="60" t="n"/>
      <c r="I301" s="61" t="n"/>
      <c r="J301" s="61" t="n"/>
      <c r="K301" s="61" t="n"/>
      <c r="L301" s="61" t="n"/>
      <c r="M301" s="61" t="n"/>
      <c r="N301" s="58" t="n"/>
      <c r="O301" s="59" t="n"/>
      <c r="P301" s="62" t="n"/>
      <c r="Q301" s="63" t="n"/>
      <c r="R301" s="61">
        <f>IF($P301&gt;0,CHOOSE(MATCH($B$4,'Служебный лист'!$A$4:$A$8,0),I301,J301,K301,L301,M301),"")</f>
        <v/>
      </c>
      <c r="S301" s="61">
        <f>IFERROR($P301*$R301,0)</f>
        <v/>
      </c>
      <c r="T301" s="61">
        <f>$S301*1.22</f>
        <v/>
      </c>
      <c r="U301" s="64">
        <f>IF($P301&gt;0,COUNTIF($P$11:P301,"&gt;0"),"")</f>
        <v/>
      </c>
    </row>
    <row r="302" ht="14.25" customHeight="1" s="49">
      <c r="A302" s="58" t="n"/>
      <c r="B302" s="58" t="n"/>
      <c r="C302" s="59" t="n"/>
      <c r="D302" s="59" t="n"/>
      <c r="E302" s="59" t="n"/>
      <c r="F302" s="58" t="n"/>
      <c r="G302" s="60" t="n"/>
      <c r="H302" s="60" t="n"/>
      <c r="I302" s="61" t="n"/>
      <c r="J302" s="61" t="n"/>
      <c r="K302" s="61" t="n"/>
      <c r="L302" s="61" t="n"/>
      <c r="M302" s="61" t="n"/>
      <c r="N302" s="58" t="n"/>
      <c r="O302" s="59" t="n"/>
      <c r="P302" s="62" t="n"/>
      <c r="Q302" s="63" t="n"/>
      <c r="R302" s="61">
        <f>IF($P302&gt;0,CHOOSE(MATCH($B$4,'Служебный лист'!$A$4:$A$8,0),I302,J302,K302,L302,M302),"")</f>
        <v/>
      </c>
      <c r="S302" s="61">
        <f>IFERROR($P302*$R302,0)</f>
        <v/>
      </c>
      <c r="T302" s="61">
        <f>$S302*1.22</f>
        <v/>
      </c>
      <c r="U302" s="64">
        <f>IF($P302&gt;0,COUNTIF($P$11:P302,"&gt;0"),"")</f>
        <v/>
      </c>
    </row>
    <row r="303" ht="14.25" customHeight="1" s="49">
      <c r="A303" s="58" t="n"/>
      <c r="B303" s="58" t="n"/>
      <c r="C303" s="59" t="n"/>
      <c r="D303" s="59" t="n"/>
      <c r="E303" s="59" t="n"/>
      <c r="F303" s="58" t="n"/>
      <c r="G303" s="60" t="n"/>
      <c r="H303" s="60" t="n"/>
      <c r="I303" s="61" t="n"/>
      <c r="J303" s="61" t="n"/>
      <c r="K303" s="61" t="n"/>
      <c r="L303" s="61" t="n"/>
      <c r="M303" s="61" t="n"/>
      <c r="N303" s="58" t="n"/>
      <c r="O303" s="59" t="n"/>
      <c r="P303" s="62" t="n"/>
      <c r="Q303" s="63" t="n"/>
      <c r="R303" s="61">
        <f>IF($P303&gt;0,CHOOSE(MATCH($B$4,'Служебный лист'!$A$4:$A$8,0),I303,J303,K303,L303,M303),"")</f>
        <v/>
      </c>
      <c r="S303" s="61">
        <f>IFERROR($P303*$R303,0)</f>
        <v/>
      </c>
      <c r="T303" s="61">
        <f>$S303*1.22</f>
        <v/>
      </c>
      <c r="U303" s="64">
        <f>IF($P303&gt;0,COUNTIF($P$11:P303,"&gt;0"),"")</f>
        <v/>
      </c>
    </row>
    <row r="304" ht="14.25" customHeight="1" s="49">
      <c r="A304" s="58" t="n"/>
      <c r="B304" s="58" t="n"/>
      <c r="C304" s="59" t="n"/>
      <c r="D304" s="59" t="n"/>
      <c r="E304" s="59" t="n"/>
      <c r="F304" s="58" t="n"/>
      <c r="G304" s="60" t="n"/>
      <c r="H304" s="60" t="n"/>
      <c r="I304" s="61" t="n"/>
      <c r="J304" s="61" t="n"/>
      <c r="K304" s="61" t="n"/>
      <c r="L304" s="61" t="n"/>
      <c r="M304" s="61" t="n"/>
      <c r="N304" s="58" t="n"/>
      <c r="O304" s="59" t="n"/>
      <c r="P304" s="62" t="n"/>
      <c r="Q304" s="63" t="n"/>
      <c r="R304" s="61">
        <f>IF($P304&gt;0,CHOOSE(MATCH($B$4,'Служебный лист'!$A$4:$A$8,0),I304,J304,K304,L304,M304),"")</f>
        <v/>
      </c>
      <c r="S304" s="61">
        <f>IFERROR($P304*$R304,0)</f>
        <v/>
      </c>
      <c r="T304" s="61">
        <f>$S304*1.22</f>
        <v/>
      </c>
      <c r="U304" s="64">
        <f>IF($P304&gt;0,COUNTIF($P$11:P304,"&gt;0"),"")</f>
        <v/>
      </c>
    </row>
    <row r="305" ht="14.25" customHeight="1" s="49">
      <c r="A305" s="58" t="n"/>
      <c r="B305" s="58" t="n"/>
      <c r="C305" s="59" t="n"/>
      <c r="D305" s="59" t="n"/>
      <c r="E305" s="59" t="n"/>
      <c r="F305" s="58" t="n"/>
      <c r="G305" s="60" t="n"/>
      <c r="H305" s="60" t="n"/>
      <c r="I305" s="61" t="n"/>
      <c r="J305" s="61" t="n"/>
      <c r="K305" s="61" t="n"/>
      <c r="L305" s="61" t="n"/>
      <c r="M305" s="61" t="n"/>
      <c r="N305" s="58" t="n"/>
      <c r="O305" s="59" t="n"/>
      <c r="P305" s="62" t="n"/>
      <c r="Q305" s="63" t="n"/>
      <c r="R305" s="61">
        <f>IF($P305&gt;0,CHOOSE(MATCH($B$4,'Служебный лист'!$A$4:$A$8,0),I305,J305,K305,L305,M305),"")</f>
        <v/>
      </c>
      <c r="S305" s="61">
        <f>IFERROR($P305*$R305,0)</f>
        <v/>
      </c>
      <c r="T305" s="61">
        <f>$S305*1.22</f>
        <v/>
      </c>
      <c r="U305" s="64">
        <f>IF($P305&gt;0,COUNTIF($P$11:P305,"&gt;0"),"")</f>
        <v/>
      </c>
    </row>
    <row r="306" ht="14.25" customHeight="1" s="49">
      <c r="A306" s="58" t="n"/>
      <c r="B306" s="58" t="n"/>
      <c r="C306" s="59" t="n"/>
      <c r="D306" s="59" t="n"/>
      <c r="E306" s="59" t="n"/>
      <c r="F306" s="58" t="n"/>
      <c r="G306" s="60" t="n"/>
      <c r="H306" s="60" t="n"/>
      <c r="I306" s="61" t="n"/>
      <c r="J306" s="61" t="n"/>
      <c r="K306" s="61" t="n"/>
      <c r="L306" s="61" t="n"/>
      <c r="M306" s="61" t="n"/>
      <c r="N306" s="58" t="n"/>
      <c r="O306" s="59" t="n"/>
      <c r="P306" s="62" t="n"/>
      <c r="Q306" s="63" t="n"/>
      <c r="R306" s="61">
        <f>IF($P306&gt;0,CHOOSE(MATCH($B$4,'Служебный лист'!$A$4:$A$8,0),I306,J306,K306,L306,M306),"")</f>
        <v/>
      </c>
      <c r="S306" s="61">
        <f>IFERROR($P306*$R306,0)</f>
        <v/>
      </c>
      <c r="T306" s="61">
        <f>$S306*1.22</f>
        <v/>
      </c>
      <c r="U306" s="64">
        <f>IF($P306&gt;0,COUNTIF($P$11:P306,"&gt;0"),"")</f>
        <v/>
      </c>
    </row>
    <row r="307" ht="14.25" customHeight="1" s="49">
      <c r="A307" s="58" t="n"/>
      <c r="B307" s="58" t="n"/>
      <c r="C307" s="59" t="n"/>
      <c r="D307" s="59" t="n"/>
      <c r="E307" s="59" t="n"/>
      <c r="F307" s="58" t="n"/>
      <c r="G307" s="60" t="n"/>
      <c r="H307" s="60" t="n"/>
      <c r="I307" s="61" t="n"/>
      <c r="J307" s="61" t="n"/>
      <c r="K307" s="61" t="n"/>
      <c r="L307" s="61" t="n"/>
      <c r="M307" s="61" t="n"/>
      <c r="N307" s="58" t="n"/>
      <c r="O307" s="59" t="n"/>
      <c r="P307" s="62" t="n"/>
      <c r="Q307" s="63" t="n"/>
      <c r="R307" s="61">
        <f>IF($P307&gt;0,CHOOSE(MATCH($B$4,'Служебный лист'!$A$4:$A$8,0),I307,J307,K307,L307,M307),"")</f>
        <v/>
      </c>
      <c r="S307" s="61">
        <f>IFERROR($P307*$R307,0)</f>
        <v/>
      </c>
      <c r="T307" s="61">
        <f>$S307*1.22</f>
        <v/>
      </c>
      <c r="U307" s="64">
        <f>IF($P307&gt;0,COUNTIF($P$11:P307,"&gt;0"),"")</f>
        <v/>
      </c>
    </row>
    <row r="308" ht="14.25" customHeight="1" s="49">
      <c r="A308" s="58" t="n"/>
      <c r="B308" s="58" t="n"/>
      <c r="C308" s="59" t="n"/>
      <c r="D308" s="59" t="n"/>
      <c r="E308" s="59" t="n"/>
      <c r="F308" s="58" t="n"/>
      <c r="G308" s="60" t="n"/>
      <c r="H308" s="60" t="n"/>
      <c r="I308" s="61" t="n"/>
      <c r="J308" s="61" t="n"/>
      <c r="K308" s="61" t="n"/>
      <c r="L308" s="61" t="n"/>
      <c r="M308" s="61" t="n"/>
      <c r="N308" s="58" t="n"/>
      <c r="O308" s="59" t="n"/>
      <c r="P308" s="62" t="n"/>
      <c r="Q308" s="63" t="n"/>
      <c r="R308" s="61">
        <f>IF($P308&gt;0,CHOOSE(MATCH($B$4,'Служебный лист'!$A$4:$A$8,0),I308,J308,K308,L308,M308),"")</f>
        <v/>
      </c>
      <c r="S308" s="61">
        <f>IFERROR($P308*$R308,0)</f>
        <v/>
      </c>
      <c r="T308" s="61">
        <f>$S308*1.22</f>
        <v/>
      </c>
      <c r="U308" s="64">
        <f>IF($P308&gt;0,COUNTIF($P$11:P308,"&gt;0"),"")</f>
        <v/>
      </c>
    </row>
    <row r="309" ht="14.25" customHeight="1" s="49">
      <c r="A309" s="58" t="n"/>
      <c r="B309" s="58" t="n"/>
      <c r="C309" s="59" t="n"/>
      <c r="D309" s="59" t="n"/>
      <c r="E309" s="59" t="n"/>
      <c r="F309" s="58" t="n"/>
      <c r="G309" s="60" t="n"/>
      <c r="H309" s="60" t="n"/>
      <c r="I309" s="61" t="n"/>
      <c r="J309" s="61" t="n"/>
      <c r="K309" s="61" t="n"/>
      <c r="L309" s="61" t="n"/>
      <c r="M309" s="61" t="n"/>
      <c r="N309" s="58" t="n"/>
      <c r="O309" s="59" t="n"/>
      <c r="P309" s="62" t="n"/>
      <c r="Q309" s="63" t="n"/>
      <c r="R309" s="61">
        <f>IF($P309&gt;0,CHOOSE(MATCH($B$4,'Служебный лист'!$A$4:$A$8,0),I309,J309,K309,L309,M309),"")</f>
        <v/>
      </c>
      <c r="S309" s="61">
        <f>IFERROR($P309*$R309,0)</f>
        <v/>
      </c>
      <c r="T309" s="61">
        <f>$S309*1.22</f>
        <v/>
      </c>
      <c r="U309" s="64">
        <f>IF($P309&gt;0,COUNTIF($P$11:P309,"&gt;0"),"")</f>
        <v/>
      </c>
    </row>
    <row r="310" ht="14.25" customHeight="1" s="49">
      <c r="A310" s="58" t="n"/>
      <c r="B310" s="58" t="n"/>
      <c r="C310" s="59" t="n"/>
      <c r="D310" s="59" t="n"/>
      <c r="E310" s="59" t="n"/>
      <c r="F310" s="58" t="n"/>
      <c r="G310" s="60" t="n"/>
      <c r="H310" s="60" t="n"/>
      <c r="I310" s="61" t="n"/>
      <c r="J310" s="61" t="n"/>
      <c r="K310" s="61" t="n"/>
      <c r="L310" s="61" t="n"/>
      <c r="M310" s="61" t="n"/>
      <c r="N310" s="58" t="n"/>
      <c r="O310" s="59" t="n"/>
      <c r="P310" s="62" t="n"/>
      <c r="Q310" s="63" t="n"/>
      <c r="R310" s="61">
        <f>IF($P310&gt;0,CHOOSE(MATCH($B$4,'Служебный лист'!$A$4:$A$8,0),I310,J310,K310,L310,M310),"")</f>
        <v/>
      </c>
      <c r="S310" s="61">
        <f>IFERROR($P310*$R310,0)</f>
        <v/>
      </c>
      <c r="T310" s="61">
        <f>$S310*1.22</f>
        <v/>
      </c>
      <c r="U310" s="64">
        <f>IF($P310&gt;0,COUNTIF($P$11:P310,"&gt;0"),"")</f>
        <v/>
      </c>
    </row>
    <row r="311" ht="14.25" customHeight="1" s="49">
      <c r="A311" s="58" t="n"/>
      <c r="B311" s="58" t="n"/>
      <c r="C311" s="59" t="n"/>
      <c r="D311" s="59" t="n"/>
      <c r="E311" s="59" t="n"/>
      <c r="F311" s="58" t="n"/>
      <c r="G311" s="60" t="n"/>
      <c r="H311" s="60" t="n"/>
      <c r="I311" s="61" t="n"/>
      <c r="J311" s="61" t="n"/>
      <c r="K311" s="61" t="n"/>
      <c r="L311" s="61" t="n"/>
      <c r="M311" s="61" t="n"/>
      <c r="N311" s="58" t="n"/>
      <c r="O311" s="59" t="n"/>
      <c r="P311" s="62" t="n"/>
      <c r="Q311" s="63" t="n"/>
      <c r="R311" s="61">
        <f>IF($P311&gt;0,CHOOSE(MATCH($B$4,'Служебный лист'!$A$4:$A$8,0),I311,J311,K311,L311,M311),"")</f>
        <v/>
      </c>
      <c r="S311" s="61">
        <f>IFERROR($P311*$R311,0)</f>
        <v/>
      </c>
      <c r="T311" s="61">
        <f>$S311*1.22</f>
        <v/>
      </c>
      <c r="U311" s="64">
        <f>IF($P311&gt;0,COUNTIF($P$11:P311,"&gt;0"),"")</f>
        <v/>
      </c>
    </row>
    <row r="312" ht="14.25" customHeight="1" s="49">
      <c r="A312" s="58" t="n"/>
      <c r="B312" s="58" t="n"/>
      <c r="C312" s="59" t="n"/>
      <c r="D312" s="59" t="n"/>
      <c r="E312" s="59" t="n"/>
      <c r="F312" s="58" t="n"/>
      <c r="G312" s="60" t="n"/>
      <c r="H312" s="60" t="n"/>
      <c r="I312" s="61" t="n"/>
      <c r="J312" s="61" t="n"/>
      <c r="K312" s="61" t="n"/>
      <c r="L312" s="61" t="n"/>
      <c r="M312" s="61" t="n"/>
      <c r="N312" s="58" t="n"/>
      <c r="O312" s="59" t="n"/>
      <c r="P312" s="62" t="n"/>
      <c r="Q312" s="63" t="n"/>
      <c r="R312" s="61">
        <f>IF($P312&gt;0,CHOOSE(MATCH($B$4,'Служебный лист'!$A$4:$A$8,0),I312,J312,K312,L312,M312),"")</f>
        <v/>
      </c>
      <c r="S312" s="61">
        <f>IFERROR($P312*$R312,0)</f>
        <v/>
      </c>
      <c r="T312" s="61">
        <f>$S312*1.22</f>
        <v/>
      </c>
      <c r="U312" s="64">
        <f>IF($P312&gt;0,COUNTIF($P$11:P312,"&gt;0"),"")</f>
        <v/>
      </c>
    </row>
    <row r="313" ht="14.25" customHeight="1" s="49">
      <c r="A313" s="58" t="n"/>
      <c r="B313" s="58" t="n"/>
      <c r="C313" s="59" t="n"/>
      <c r="D313" s="59" t="n"/>
      <c r="E313" s="59" t="n"/>
      <c r="F313" s="58" t="n"/>
      <c r="G313" s="60" t="n"/>
      <c r="H313" s="60" t="n"/>
      <c r="I313" s="61" t="n"/>
      <c r="J313" s="61" t="n"/>
      <c r="K313" s="61" t="n"/>
      <c r="L313" s="61" t="n"/>
      <c r="M313" s="61" t="n"/>
      <c r="N313" s="58" t="n"/>
      <c r="O313" s="59" t="n"/>
      <c r="P313" s="62" t="n"/>
      <c r="Q313" s="63" t="n"/>
      <c r="R313" s="61">
        <f>IF($P313&gt;0,CHOOSE(MATCH($B$4,'Служебный лист'!$A$4:$A$8,0),I313,J313,K313,L313,M313),"")</f>
        <v/>
      </c>
      <c r="S313" s="61">
        <f>IFERROR($P313*$R313,0)</f>
        <v/>
      </c>
      <c r="T313" s="61">
        <f>$S313*1.22</f>
        <v/>
      </c>
      <c r="U313" s="64">
        <f>IF($P313&gt;0,COUNTIF($P$11:P313,"&gt;0"),"")</f>
        <v/>
      </c>
    </row>
    <row r="314" ht="14.25" customHeight="1" s="49">
      <c r="A314" s="58" t="n"/>
      <c r="B314" s="58" t="n"/>
      <c r="C314" s="59" t="n"/>
      <c r="D314" s="59" t="n"/>
      <c r="E314" s="59" t="n"/>
      <c r="F314" s="58" t="n"/>
      <c r="G314" s="60" t="n"/>
      <c r="H314" s="60" t="n"/>
      <c r="I314" s="61" t="n"/>
      <c r="J314" s="61" t="n"/>
      <c r="K314" s="61" t="n"/>
      <c r="L314" s="61" t="n"/>
      <c r="M314" s="61" t="n"/>
      <c r="N314" s="58" t="n"/>
      <c r="O314" s="59" t="n"/>
      <c r="P314" s="62" t="n"/>
      <c r="Q314" s="63" t="n"/>
      <c r="R314" s="61">
        <f>IF($P314&gt;0,CHOOSE(MATCH($B$4,'Служебный лист'!$A$4:$A$8,0),I314,J314,K314,L314,M314),"")</f>
        <v/>
      </c>
      <c r="S314" s="61">
        <f>IFERROR($P314*$R314,0)</f>
        <v/>
      </c>
      <c r="T314" s="61">
        <f>$S314*1.22</f>
        <v/>
      </c>
      <c r="U314" s="64">
        <f>IF($P314&gt;0,COUNTIF($P$11:P314,"&gt;0"),"")</f>
        <v/>
      </c>
    </row>
    <row r="315" ht="14.25" customHeight="1" s="49">
      <c r="A315" s="58" t="n"/>
      <c r="B315" s="58" t="n"/>
      <c r="C315" s="59" t="n"/>
      <c r="D315" s="59" t="n"/>
      <c r="E315" s="59" t="n"/>
      <c r="F315" s="58" t="n"/>
      <c r="G315" s="60" t="n"/>
      <c r="H315" s="60" t="n"/>
      <c r="I315" s="61" t="n"/>
      <c r="J315" s="61" t="n"/>
      <c r="K315" s="61" t="n"/>
      <c r="L315" s="61" t="n"/>
      <c r="M315" s="61" t="n"/>
      <c r="N315" s="58" t="n"/>
      <c r="O315" s="59" t="n"/>
      <c r="P315" s="62" t="n"/>
      <c r="Q315" s="63" t="n"/>
      <c r="R315" s="61">
        <f>IF($P315&gt;0,CHOOSE(MATCH($B$4,'Служебный лист'!$A$4:$A$8,0),I315,J315,K315,L315,M315),"")</f>
        <v/>
      </c>
      <c r="S315" s="61">
        <f>IFERROR($P315*$R315,0)</f>
        <v/>
      </c>
      <c r="T315" s="61">
        <f>$S315*1.22</f>
        <v/>
      </c>
      <c r="U315" s="64">
        <f>IF($P315&gt;0,COUNTIF($P$11:P315,"&gt;0"),"")</f>
        <v/>
      </c>
    </row>
    <row r="316" ht="14.25" customHeight="1" s="49">
      <c r="A316" s="58" t="n"/>
      <c r="B316" s="58" t="n"/>
      <c r="C316" s="59" t="n"/>
      <c r="D316" s="59" t="n"/>
      <c r="E316" s="59" t="n"/>
      <c r="F316" s="58" t="n"/>
      <c r="G316" s="60" t="n"/>
      <c r="H316" s="60" t="n"/>
      <c r="I316" s="61" t="n"/>
      <c r="J316" s="61" t="n"/>
      <c r="K316" s="61" t="n"/>
      <c r="L316" s="61" t="n"/>
      <c r="M316" s="61" t="n"/>
      <c r="N316" s="58" t="n"/>
      <c r="O316" s="59" t="n"/>
      <c r="P316" s="62" t="n"/>
      <c r="Q316" s="63" t="n"/>
      <c r="R316" s="61">
        <f>IF($P316&gt;0,CHOOSE(MATCH($B$4,'Служебный лист'!$A$4:$A$8,0),I316,J316,K316,L316,M316),"")</f>
        <v/>
      </c>
      <c r="S316" s="61">
        <f>IFERROR($P316*$R316,0)</f>
        <v/>
      </c>
      <c r="T316" s="61">
        <f>$S316*1.22</f>
        <v/>
      </c>
      <c r="U316" s="64">
        <f>IF($P316&gt;0,COUNTIF($P$11:P316,"&gt;0"),"")</f>
        <v/>
      </c>
    </row>
    <row r="317" ht="14.25" customHeight="1" s="49">
      <c r="A317" s="58" t="n"/>
      <c r="B317" s="58" t="n"/>
      <c r="C317" s="59" t="n"/>
      <c r="D317" s="59" t="n"/>
      <c r="E317" s="59" t="n"/>
      <c r="F317" s="58" t="n"/>
      <c r="G317" s="60" t="n"/>
      <c r="H317" s="60" t="n"/>
      <c r="I317" s="61" t="n"/>
      <c r="J317" s="61" t="n"/>
      <c r="K317" s="61" t="n"/>
      <c r="L317" s="61" t="n"/>
      <c r="M317" s="61" t="n"/>
      <c r="N317" s="58" t="n"/>
      <c r="O317" s="59" t="n"/>
      <c r="P317" s="62" t="n"/>
      <c r="Q317" s="63" t="n"/>
      <c r="R317" s="61">
        <f>IF($P317&gt;0,CHOOSE(MATCH($B$4,'Служебный лист'!$A$4:$A$8,0),I317,J317,K317,L317,M317),"")</f>
        <v/>
      </c>
      <c r="S317" s="61">
        <f>IFERROR($P317*$R317,0)</f>
        <v/>
      </c>
      <c r="T317" s="61">
        <f>$S317*1.22</f>
        <v/>
      </c>
      <c r="U317" s="64">
        <f>IF($P317&gt;0,COUNTIF($P$11:P317,"&gt;0"),"")</f>
        <v/>
      </c>
    </row>
    <row r="318" ht="14.25" customHeight="1" s="49">
      <c r="A318" s="58" t="n"/>
      <c r="B318" s="58" t="n"/>
      <c r="C318" s="59" t="n"/>
      <c r="D318" s="59" t="n"/>
      <c r="E318" s="59" t="n"/>
      <c r="F318" s="58" t="n"/>
      <c r="G318" s="60" t="n"/>
      <c r="H318" s="60" t="n"/>
      <c r="I318" s="61" t="n"/>
      <c r="J318" s="61" t="n"/>
      <c r="K318" s="61" t="n"/>
      <c r="L318" s="61" t="n"/>
      <c r="M318" s="61" t="n"/>
      <c r="N318" s="58" t="n"/>
      <c r="O318" s="59" t="n"/>
      <c r="P318" s="62" t="n"/>
      <c r="Q318" s="63" t="n"/>
      <c r="R318" s="61">
        <f>IF($P318&gt;0,CHOOSE(MATCH($B$4,'Служебный лист'!$A$4:$A$8,0),I318,J318,K318,L318,M318),"")</f>
        <v/>
      </c>
      <c r="S318" s="61">
        <f>IFERROR($P318*$R318,0)</f>
        <v/>
      </c>
      <c r="T318" s="61">
        <f>$S318*1.22</f>
        <v/>
      </c>
      <c r="U318" s="64">
        <f>IF($P318&gt;0,COUNTIF($P$11:P318,"&gt;0"),"")</f>
        <v/>
      </c>
    </row>
    <row r="319" ht="14.25" customHeight="1" s="49">
      <c r="A319" s="58" t="n"/>
      <c r="B319" s="58" t="n"/>
      <c r="C319" s="59" t="n"/>
      <c r="D319" s="59" t="n"/>
      <c r="E319" s="59" t="n"/>
      <c r="F319" s="58" t="n"/>
      <c r="G319" s="60" t="n"/>
      <c r="H319" s="60" t="n"/>
      <c r="I319" s="61" t="n"/>
      <c r="J319" s="61" t="n"/>
      <c r="K319" s="61" t="n"/>
      <c r="L319" s="61" t="n"/>
      <c r="M319" s="61" t="n"/>
      <c r="N319" s="58" t="n"/>
      <c r="O319" s="59" t="n"/>
      <c r="P319" s="62" t="n"/>
      <c r="Q319" s="63" t="n"/>
      <c r="R319" s="61">
        <f>IF($P319&gt;0,CHOOSE(MATCH($B$4,'Служебный лист'!$A$4:$A$8,0),I319,J319,K319,L319,M319),"")</f>
        <v/>
      </c>
      <c r="S319" s="61">
        <f>IFERROR($P319*$R319,0)</f>
        <v/>
      </c>
      <c r="T319" s="61">
        <f>$S319*1.22</f>
        <v/>
      </c>
      <c r="U319" s="64">
        <f>IF($P319&gt;0,COUNTIF($P$11:P319,"&gt;0"),"")</f>
        <v/>
      </c>
    </row>
    <row r="320" ht="14.25" customHeight="1" s="49">
      <c r="A320" s="58" t="n"/>
      <c r="B320" s="58" t="n"/>
      <c r="C320" s="59" t="n"/>
      <c r="D320" s="59" t="n"/>
      <c r="E320" s="59" t="n"/>
      <c r="F320" s="58" t="n"/>
      <c r="G320" s="60" t="n"/>
      <c r="H320" s="60" t="n"/>
      <c r="I320" s="61" t="n"/>
      <c r="J320" s="61" t="n"/>
      <c r="K320" s="61" t="n"/>
      <c r="L320" s="61" t="n"/>
      <c r="M320" s="61" t="n"/>
      <c r="N320" s="58" t="n"/>
      <c r="O320" s="59" t="n"/>
      <c r="P320" s="62" t="n"/>
      <c r="Q320" s="63" t="n"/>
      <c r="R320" s="61">
        <f>IF($P320&gt;0,CHOOSE(MATCH($B$4,'Служебный лист'!$A$4:$A$8,0),I320,J320,K320,L320,M320),"")</f>
        <v/>
      </c>
      <c r="S320" s="61">
        <f>IFERROR($P320*$R320,0)</f>
        <v/>
      </c>
      <c r="T320" s="61">
        <f>$S320*1.22</f>
        <v/>
      </c>
      <c r="U320" s="64">
        <f>IF($P320&gt;0,COUNTIF($P$11:P320,"&gt;0"),"")</f>
        <v/>
      </c>
    </row>
    <row r="321" ht="14.25" customHeight="1" s="49">
      <c r="A321" s="58" t="n"/>
      <c r="B321" s="58" t="n"/>
      <c r="C321" s="59" t="n"/>
      <c r="D321" s="59" t="n"/>
      <c r="E321" s="59" t="n"/>
      <c r="F321" s="58" t="n"/>
      <c r="G321" s="60" t="n"/>
      <c r="H321" s="60" t="n"/>
      <c r="I321" s="61" t="n"/>
      <c r="J321" s="61" t="n"/>
      <c r="K321" s="61" t="n"/>
      <c r="L321" s="61" t="n"/>
      <c r="M321" s="61" t="n"/>
      <c r="N321" s="58" t="n"/>
      <c r="O321" s="59" t="n"/>
      <c r="P321" s="62" t="n"/>
      <c r="Q321" s="63" t="n"/>
      <c r="R321" s="61">
        <f>IF($P321&gt;0,CHOOSE(MATCH($B$4,'Служебный лист'!$A$4:$A$8,0),I321,J321,K321,L321,M321),"")</f>
        <v/>
      </c>
      <c r="S321" s="61">
        <f>IFERROR($P321*$R321,0)</f>
        <v/>
      </c>
      <c r="T321" s="61">
        <f>$S321*1.22</f>
        <v/>
      </c>
      <c r="U321" s="64">
        <f>IF($P321&gt;0,COUNTIF($P$11:P321,"&gt;0"),"")</f>
        <v/>
      </c>
    </row>
    <row r="322" ht="14.25" customHeight="1" s="49">
      <c r="A322" s="58" t="n"/>
      <c r="B322" s="58" t="n"/>
      <c r="C322" s="59" t="n"/>
      <c r="D322" s="59" t="n"/>
      <c r="E322" s="59" t="n"/>
      <c r="F322" s="58" t="n"/>
      <c r="G322" s="60" t="n"/>
      <c r="H322" s="60" t="n"/>
      <c r="I322" s="61" t="n"/>
      <c r="J322" s="61" t="n"/>
      <c r="K322" s="61" t="n"/>
      <c r="L322" s="61" t="n"/>
      <c r="M322" s="61" t="n"/>
      <c r="N322" s="58" t="n"/>
      <c r="O322" s="59" t="n"/>
      <c r="P322" s="62" t="n"/>
      <c r="Q322" s="63" t="n"/>
      <c r="R322" s="61">
        <f>IF($P322&gt;0,CHOOSE(MATCH($B$4,'Служебный лист'!$A$4:$A$8,0),I322,J322,K322,L322,M322),"")</f>
        <v/>
      </c>
      <c r="S322" s="61">
        <f>IFERROR($P322*$R322,0)</f>
        <v/>
      </c>
      <c r="T322" s="61">
        <f>$S322*1.22</f>
        <v/>
      </c>
      <c r="U322" s="64">
        <f>IF($P322&gt;0,COUNTIF($P$11:P322,"&gt;0"),"")</f>
        <v/>
      </c>
    </row>
    <row r="323" ht="14.25" customHeight="1" s="49">
      <c r="A323" s="58" t="n"/>
      <c r="B323" s="58" t="n"/>
      <c r="C323" s="59" t="n"/>
      <c r="D323" s="59" t="n"/>
      <c r="E323" s="59" t="n"/>
      <c r="F323" s="58" t="n"/>
      <c r="G323" s="60" t="n"/>
      <c r="H323" s="60" t="n"/>
      <c r="I323" s="61" t="n"/>
      <c r="J323" s="61" t="n"/>
      <c r="K323" s="61" t="n"/>
      <c r="L323" s="61" t="n"/>
      <c r="M323" s="61" t="n"/>
      <c r="N323" s="58" t="n"/>
      <c r="O323" s="59" t="n"/>
      <c r="P323" s="62" t="n"/>
      <c r="Q323" s="63" t="n"/>
      <c r="R323" s="61">
        <f>IF($P323&gt;0,CHOOSE(MATCH($B$4,'Служебный лист'!$A$4:$A$8,0),I323,J323,K323,L323,M323),"")</f>
        <v/>
      </c>
      <c r="S323" s="61">
        <f>IFERROR($P323*$R323,0)</f>
        <v/>
      </c>
      <c r="T323" s="61">
        <f>$S323*1.22</f>
        <v/>
      </c>
      <c r="U323" s="64">
        <f>IF($P323&gt;0,COUNTIF($P$11:P323,"&gt;0"),"")</f>
        <v/>
      </c>
    </row>
    <row r="324" ht="14.25" customHeight="1" s="49">
      <c r="A324" s="58" t="n"/>
      <c r="B324" s="58" t="n"/>
      <c r="C324" s="59" t="n"/>
      <c r="D324" s="59" t="n"/>
      <c r="E324" s="59" t="n"/>
      <c r="F324" s="58" t="n"/>
      <c r="G324" s="60" t="n"/>
      <c r="H324" s="60" t="n"/>
      <c r="I324" s="61" t="n"/>
      <c r="J324" s="61" t="n"/>
      <c r="K324" s="61" t="n"/>
      <c r="L324" s="61" t="n"/>
      <c r="M324" s="61" t="n"/>
      <c r="N324" s="58" t="n"/>
      <c r="O324" s="59" t="n"/>
      <c r="P324" s="62" t="n"/>
      <c r="Q324" s="63" t="n"/>
      <c r="R324" s="61">
        <f>IF($P324&gt;0,CHOOSE(MATCH($B$4,'Служебный лист'!$A$4:$A$8,0),I324,J324,K324,L324,M324),"")</f>
        <v/>
      </c>
      <c r="S324" s="61">
        <f>IFERROR($P324*$R324,0)</f>
        <v/>
      </c>
      <c r="T324" s="61">
        <f>$S324*1.22</f>
        <v/>
      </c>
      <c r="U324" s="64">
        <f>IF($P324&gt;0,COUNTIF($P$11:P324,"&gt;0"),"")</f>
        <v/>
      </c>
    </row>
    <row r="325" ht="14.25" customHeight="1" s="49">
      <c r="A325" s="58" t="n"/>
      <c r="B325" s="58" t="n"/>
      <c r="C325" s="59" t="n"/>
      <c r="D325" s="59" t="n"/>
      <c r="E325" s="59" t="n"/>
      <c r="F325" s="58" t="n"/>
      <c r="G325" s="60" t="n"/>
      <c r="H325" s="60" t="n"/>
      <c r="I325" s="61" t="n"/>
      <c r="J325" s="61" t="n"/>
      <c r="K325" s="61" t="n"/>
      <c r="L325" s="61" t="n"/>
      <c r="M325" s="61" t="n"/>
      <c r="N325" s="58" t="n"/>
      <c r="O325" s="59" t="n"/>
      <c r="P325" s="62" t="n"/>
      <c r="Q325" s="63" t="n"/>
      <c r="R325" s="61">
        <f>IF($P325&gt;0,CHOOSE(MATCH($B$4,'Служебный лист'!$A$4:$A$8,0),I325,J325,K325,L325,M325),"")</f>
        <v/>
      </c>
      <c r="S325" s="61">
        <f>IFERROR($P325*$R325,0)</f>
        <v/>
      </c>
      <c r="T325" s="61">
        <f>$S325*1.22</f>
        <v/>
      </c>
      <c r="U325" s="64">
        <f>IF($P325&gt;0,COUNTIF($P$11:P325,"&gt;0"),"")</f>
        <v/>
      </c>
    </row>
    <row r="326" ht="14.25" customHeight="1" s="49">
      <c r="A326" s="58" t="n"/>
      <c r="B326" s="58" t="n"/>
      <c r="C326" s="59" t="n"/>
      <c r="D326" s="59" t="n"/>
      <c r="E326" s="59" t="n"/>
      <c r="F326" s="58" t="n"/>
      <c r="G326" s="60" t="n"/>
      <c r="H326" s="60" t="n"/>
      <c r="I326" s="61" t="n"/>
      <c r="J326" s="61" t="n"/>
      <c r="K326" s="61" t="n"/>
      <c r="L326" s="61" t="n"/>
      <c r="M326" s="61" t="n"/>
      <c r="N326" s="58" t="n"/>
      <c r="O326" s="59" t="n"/>
      <c r="P326" s="62" t="n"/>
      <c r="Q326" s="63" t="n"/>
      <c r="R326" s="61">
        <f>IF($P326&gt;0,CHOOSE(MATCH($B$4,'Служебный лист'!$A$4:$A$8,0),I326,J326,K326,L326,M326),"")</f>
        <v/>
      </c>
      <c r="S326" s="61">
        <f>IFERROR($P326*$R326,0)</f>
        <v/>
      </c>
      <c r="T326" s="61">
        <f>$S326*1.22</f>
        <v/>
      </c>
      <c r="U326" s="64">
        <f>IF($P326&gt;0,COUNTIF($P$11:P326,"&gt;0"),"")</f>
        <v/>
      </c>
    </row>
    <row r="327" ht="14.25" customHeight="1" s="49">
      <c r="A327" s="58" t="n"/>
      <c r="B327" s="58" t="n"/>
      <c r="C327" s="59" t="n"/>
      <c r="D327" s="59" t="n"/>
      <c r="E327" s="59" t="n"/>
      <c r="F327" s="58" t="n"/>
      <c r="G327" s="60" t="n"/>
      <c r="H327" s="60" t="n"/>
      <c r="I327" s="61" t="n"/>
      <c r="J327" s="61" t="n"/>
      <c r="K327" s="61" t="n"/>
      <c r="L327" s="61" t="n"/>
      <c r="M327" s="61" t="n"/>
      <c r="N327" s="58" t="n"/>
      <c r="O327" s="59" t="n"/>
      <c r="P327" s="62" t="n"/>
      <c r="Q327" s="63" t="n"/>
      <c r="R327" s="61">
        <f>IF($P327&gt;0,CHOOSE(MATCH($B$4,'Служебный лист'!$A$4:$A$8,0),I327,J327,K327,L327,M327),"")</f>
        <v/>
      </c>
      <c r="S327" s="61">
        <f>IFERROR($P327*$R327,0)</f>
        <v/>
      </c>
      <c r="T327" s="61">
        <f>$S327*1.22</f>
        <v/>
      </c>
      <c r="U327" s="64">
        <f>IF($P327&gt;0,COUNTIF($P$11:P327,"&gt;0"),"")</f>
        <v/>
      </c>
    </row>
    <row r="328" ht="14.25" customHeight="1" s="49">
      <c r="A328" s="58" t="n"/>
      <c r="B328" s="58" t="n"/>
      <c r="C328" s="59" t="n"/>
      <c r="D328" s="59" t="n"/>
      <c r="E328" s="59" t="n"/>
      <c r="F328" s="58" t="n"/>
      <c r="G328" s="60" t="n"/>
      <c r="H328" s="60" t="n"/>
      <c r="I328" s="61" t="n"/>
      <c r="J328" s="61" t="n"/>
      <c r="K328" s="61" t="n"/>
      <c r="L328" s="61" t="n"/>
      <c r="M328" s="61" t="n"/>
      <c r="N328" s="58" t="n"/>
      <c r="O328" s="59" t="n"/>
      <c r="P328" s="62" t="n"/>
      <c r="Q328" s="63" t="n"/>
      <c r="R328" s="61">
        <f>IF($P328&gt;0,CHOOSE(MATCH($B$4,'Служебный лист'!$A$4:$A$8,0),I328,J328,K328,L328,M328),"")</f>
        <v/>
      </c>
      <c r="S328" s="61">
        <f>IFERROR($P328*$R328,0)</f>
        <v/>
      </c>
      <c r="T328" s="61">
        <f>$S328*1.22</f>
        <v/>
      </c>
      <c r="U328" s="64">
        <f>IF($P328&gt;0,COUNTIF($P$11:P328,"&gt;0"),"")</f>
        <v/>
      </c>
    </row>
    <row r="329" ht="14.25" customHeight="1" s="49">
      <c r="A329" s="58" t="n"/>
      <c r="B329" s="58" t="n"/>
      <c r="C329" s="59" t="n"/>
      <c r="D329" s="59" t="n"/>
      <c r="E329" s="59" t="n"/>
      <c r="F329" s="58" t="n"/>
      <c r="G329" s="60" t="n"/>
      <c r="H329" s="60" t="n"/>
      <c r="I329" s="61" t="n"/>
      <c r="J329" s="61" t="n"/>
      <c r="K329" s="61" t="n"/>
      <c r="L329" s="61" t="n"/>
      <c r="M329" s="61" t="n"/>
      <c r="N329" s="58" t="n"/>
      <c r="O329" s="59" t="n"/>
      <c r="P329" s="62" t="n"/>
      <c r="Q329" s="63" t="n"/>
      <c r="R329" s="61">
        <f>IF($P329&gt;0,CHOOSE(MATCH($B$4,'Служебный лист'!$A$4:$A$8,0),I329,J329,K329,L329,M329),"")</f>
        <v/>
      </c>
      <c r="S329" s="61">
        <f>IFERROR($P329*$R329,0)</f>
        <v/>
      </c>
      <c r="T329" s="61">
        <f>$S329*1.22</f>
        <v/>
      </c>
      <c r="U329" s="64">
        <f>IF($P329&gt;0,COUNTIF($P$11:P329,"&gt;0"),"")</f>
        <v/>
      </c>
    </row>
    <row r="330" ht="14.25" customHeight="1" s="49">
      <c r="A330" s="58" t="n"/>
      <c r="B330" s="58" t="n"/>
      <c r="C330" s="59" t="n"/>
      <c r="D330" s="59" t="n"/>
      <c r="E330" s="59" t="n"/>
      <c r="F330" s="58" t="n"/>
      <c r="G330" s="60" t="n"/>
      <c r="H330" s="60" t="n"/>
      <c r="I330" s="61" t="n"/>
      <c r="J330" s="61" t="n"/>
      <c r="K330" s="61" t="n"/>
      <c r="L330" s="61" t="n"/>
      <c r="M330" s="61" t="n"/>
      <c r="N330" s="58" t="n"/>
      <c r="O330" s="59" t="n"/>
      <c r="P330" s="62" t="n"/>
      <c r="Q330" s="63" t="n"/>
      <c r="R330" s="61">
        <f>IF($P330&gt;0,CHOOSE(MATCH($B$4,'Служебный лист'!$A$4:$A$8,0),I330,J330,K330,L330,M330),"")</f>
        <v/>
      </c>
      <c r="S330" s="61">
        <f>IFERROR($P330*$R330,0)</f>
        <v/>
      </c>
      <c r="T330" s="61">
        <f>$S330*1.22</f>
        <v/>
      </c>
      <c r="U330" s="64">
        <f>IF($P330&gt;0,COUNTIF($P$11:P330,"&gt;0"),"")</f>
        <v/>
      </c>
    </row>
    <row r="331" ht="14.25" customHeight="1" s="49">
      <c r="A331" s="58" t="n"/>
      <c r="B331" s="58" t="n"/>
      <c r="C331" s="59" t="n"/>
      <c r="D331" s="59" t="n"/>
      <c r="E331" s="59" t="n"/>
      <c r="F331" s="58" t="n"/>
      <c r="G331" s="60" t="n"/>
      <c r="H331" s="60" t="n"/>
      <c r="I331" s="61" t="n"/>
      <c r="J331" s="61" t="n"/>
      <c r="K331" s="61" t="n"/>
      <c r="L331" s="61" t="n"/>
      <c r="M331" s="61" t="n"/>
      <c r="N331" s="58" t="n"/>
      <c r="O331" s="59" t="n"/>
      <c r="P331" s="62" t="n"/>
      <c r="Q331" s="63" t="n"/>
      <c r="R331" s="61">
        <f>IF($P331&gt;0,CHOOSE(MATCH($B$4,'Служебный лист'!$A$4:$A$8,0),I331,J331,K331,L331,M331),"")</f>
        <v/>
      </c>
      <c r="S331" s="61">
        <f>IFERROR($P331*$R331,0)</f>
        <v/>
      </c>
      <c r="T331" s="61">
        <f>$S331*1.22</f>
        <v/>
      </c>
      <c r="U331" s="64">
        <f>IF($P331&gt;0,COUNTIF($P$11:P331,"&gt;0"),"")</f>
        <v/>
      </c>
    </row>
    <row r="332" ht="14.25" customHeight="1" s="49">
      <c r="A332" s="58" t="n"/>
      <c r="B332" s="58" t="n"/>
      <c r="C332" s="59" t="n"/>
      <c r="D332" s="59" t="n"/>
      <c r="E332" s="59" t="n"/>
      <c r="F332" s="58" t="n"/>
      <c r="G332" s="60" t="n"/>
      <c r="H332" s="60" t="n"/>
      <c r="I332" s="61" t="n"/>
      <c r="J332" s="61" t="n"/>
      <c r="K332" s="61" t="n"/>
      <c r="L332" s="61" t="n"/>
      <c r="M332" s="61" t="n"/>
      <c r="N332" s="58" t="n"/>
      <c r="O332" s="59" t="n"/>
      <c r="P332" s="62" t="n"/>
      <c r="Q332" s="63" t="n"/>
      <c r="R332" s="61">
        <f>IF($P332&gt;0,CHOOSE(MATCH($B$4,'Служебный лист'!$A$4:$A$8,0),I332,J332,K332,L332,M332),"")</f>
        <v/>
      </c>
      <c r="S332" s="61">
        <f>IFERROR($P332*$R332,0)</f>
        <v/>
      </c>
      <c r="T332" s="61">
        <f>$S332*1.22</f>
        <v/>
      </c>
      <c r="U332" s="64">
        <f>IF($P332&gt;0,COUNTIF($P$11:P332,"&gt;0"),"")</f>
        <v/>
      </c>
    </row>
    <row r="333" ht="14.25" customHeight="1" s="49">
      <c r="A333" s="58" t="n"/>
      <c r="B333" s="58" t="n"/>
      <c r="C333" s="59" t="n"/>
      <c r="D333" s="59" t="n"/>
      <c r="E333" s="59" t="n"/>
      <c r="F333" s="58" t="n"/>
      <c r="G333" s="60" t="n"/>
      <c r="H333" s="60" t="n"/>
      <c r="I333" s="61" t="n"/>
      <c r="J333" s="61" t="n"/>
      <c r="K333" s="61" t="n"/>
      <c r="L333" s="61" t="n"/>
      <c r="M333" s="61" t="n"/>
      <c r="N333" s="58" t="n"/>
      <c r="O333" s="59" t="n"/>
      <c r="P333" s="62" t="n"/>
      <c r="Q333" s="63" t="n"/>
      <c r="R333" s="61">
        <f>IF($P333&gt;0,CHOOSE(MATCH($B$4,'Служебный лист'!$A$4:$A$8,0),I333,J333,K333,L333,M333),"")</f>
        <v/>
      </c>
      <c r="S333" s="61">
        <f>IFERROR($P333*$R333,0)</f>
        <v/>
      </c>
      <c r="T333" s="61">
        <f>$S333*1.22</f>
        <v/>
      </c>
      <c r="U333" s="64">
        <f>IF($P333&gt;0,COUNTIF($P$11:P333,"&gt;0"),"")</f>
        <v/>
      </c>
    </row>
    <row r="334" ht="14.25" customHeight="1" s="49">
      <c r="A334" s="58" t="n"/>
      <c r="B334" s="58" t="n"/>
      <c r="C334" s="59" t="n"/>
      <c r="D334" s="59" t="n"/>
      <c r="E334" s="59" t="n"/>
      <c r="F334" s="58" t="n"/>
      <c r="G334" s="60" t="n"/>
      <c r="H334" s="60" t="n"/>
      <c r="I334" s="61" t="n"/>
      <c r="J334" s="61" t="n"/>
      <c r="K334" s="61" t="n"/>
      <c r="L334" s="61" t="n"/>
      <c r="M334" s="61" t="n"/>
      <c r="N334" s="58" t="n"/>
      <c r="O334" s="59" t="n"/>
      <c r="P334" s="62" t="n"/>
      <c r="Q334" s="63" t="n"/>
      <c r="R334" s="61">
        <f>IF($P334&gt;0,CHOOSE(MATCH($B$4,'Служебный лист'!$A$4:$A$8,0),I334,J334,K334,L334,M334),"")</f>
        <v/>
      </c>
      <c r="S334" s="61">
        <f>IFERROR($P334*$R334,0)</f>
        <v/>
      </c>
      <c r="T334" s="61">
        <f>$S334*1.22</f>
        <v/>
      </c>
      <c r="U334" s="64">
        <f>IF($P334&gt;0,COUNTIF($P$11:P334,"&gt;0"),"")</f>
        <v/>
      </c>
    </row>
    <row r="335" ht="14.25" customHeight="1" s="49">
      <c r="A335" s="58" t="n"/>
      <c r="B335" s="58" t="n"/>
      <c r="C335" s="59" t="n"/>
      <c r="D335" s="59" t="n"/>
      <c r="E335" s="59" t="n"/>
      <c r="F335" s="58" t="n"/>
      <c r="G335" s="60" t="n"/>
      <c r="H335" s="60" t="n"/>
      <c r="I335" s="61" t="n"/>
      <c r="J335" s="61" t="n"/>
      <c r="K335" s="61" t="n"/>
      <c r="L335" s="61" t="n"/>
      <c r="M335" s="61" t="n"/>
      <c r="N335" s="58" t="n"/>
      <c r="O335" s="59" t="n"/>
      <c r="P335" s="62" t="n"/>
      <c r="Q335" s="63" t="n"/>
      <c r="R335" s="61">
        <f>IF($P335&gt;0,CHOOSE(MATCH($B$4,'Служебный лист'!$A$4:$A$8,0),I335,J335,K335,L335,M335),"")</f>
        <v/>
      </c>
      <c r="S335" s="61">
        <f>IFERROR($P335*$R335,0)</f>
        <v/>
      </c>
      <c r="T335" s="61">
        <f>$S335*1.22</f>
        <v/>
      </c>
      <c r="U335" s="64">
        <f>IF($P335&gt;0,COUNTIF($P$11:P335,"&gt;0"),"")</f>
        <v/>
      </c>
    </row>
    <row r="336" ht="14.25" customHeight="1" s="49">
      <c r="A336" s="58" t="n"/>
      <c r="B336" s="58" t="n"/>
      <c r="C336" s="59" t="n"/>
      <c r="D336" s="59" t="n"/>
      <c r="E336" s="59" t="n"/>
      <c r="F336" s="58" t="n"/>
      <c r="G336" s="60" t="n"/>
      <c r="H336" s="60" t="n"/>
      <c r="I336" s="61" t="n"/>
      <c r="J336" s="61" t="n"/>
      <c r="K336" s="61" t="n"/>
      <c r="L336" s="61" t="n"/>
      <c r="M336" s="61" t="n"/>
      <c r="N336" s="58" t="n"/>
      <c r="O336" s="59" t="n"/>
      <c r="P336" s="62" t="n"/>
      <c r="Q336" s="63" t="n"/>
      <c r="R336" s="61">
        <f>IF($P336&gt;0,CHOOSE(MATCH($B$4,'Служебный лист'!$A$4:$A$8,0),I336,J336,K336,L336,M336),"")</f>
        <v/>
      </c>
      <c r="S336" s="61">
        <f>IFERROR($P336*$R336,0)</f>
        <v/>
      </c>
      <c r="T336" s="61">
        <f>$S336*1.22</f>
        <v/>
      </c>
      <c r="U336" s="64">
        <f>IF($P336&gt;0,COUNTIF($P$11:P336,"&gt;0"),"")</f>
        <v/>
      </c>
    </row>
    <row r="337" ht="14.25" customHeight="1" s="49">
      <c r="A337" s="58" t="n"/>
      <c r="B337" s="58" t="n"/>
      <c r="C337" s="59" t="n"/>
      <c r="D337" s="59" t="n"/>
      <c r="E337" s="59" t="n"/>
      <c r="F337" s="58" t="n"/>
      <c r="G337" s="60" t="n"/>
      <c r="H337" s="60" t="n"/>
      <c r="I337" s="61" t="n"/>
      <c r="J337" s="61" t="n"/>
      <c r="K337" s="61" t="n"/>
      <c r="L337" s="61" t="n"/>
      <c r="M337" s="61" t="n"/>
      <c r="N337" s="58" t="n"/>
      <c r="O337" s="59" t="n"/>
      <c r="P337" s="62" t="n"/>
      <c r="Q337" s="63" t="n"/>
      <c r="R337" s="61">
        <f>IF($P337&gt;0,CHOOSE(MATCH($B$4,'Служебный лист'!$A$4:$A$8,0),I337,J337,K337,L337,M337),"")</f>
        <v/>
      </c>
      <c r="S337" s="61">
        <f>IFERROR($P337*$R337,0)</f>
        <v/>
      </c>
      <c r="T337" s="61">
        <f>$S337*1.22</f>
        <v/>
      </c>
      <c r="U337" s="64">
        <f>IF($P337&gt;0,COUNTIF($P$11:P337,"&gt;0"),"")</f>
        <v/>
      </c>
    </row>
    <row r="338" ht="14.25" customHeight="1" s="49">
      <c r="A338" s="58" t="n"/>
      <c r="B338" s="58" t="n"/>
      <c r="C338" s="59" t="n"/>
      <c r="D338" s="59" t="n"/>
      <c r="E338" s="59" t="n"/>
      <c r="F338" s="58" t="n"/>
      <c r="G338" s="60" t="n"/>
      <c r="H338" s="60" t="n"/>
      <c r="I338" s="61" t="n"/>
      <c r="J338" s="61" t="n"/>
      <c r="K338" s="61" t="n"/>
      <c r="L338" s="61" t="n"/>
      <c r="M338" s="61" t="n"/>
      <c r="N338" s="58" t="n"/>
      <c r="O338" s="59" t="n"/>
      <c r="P338" s="62" t="n"/>
      <c r="Q338" s="63" t="n"/>
      <c r="R338" s="61">
        <f>IF($P338&gt;0,CHOOSE(MATCH($B$4,'Служебный лист'!$A$4:$A$8,0),I338,J338,K338,L338,M338),"")</f>
        <v/>
      </c>
      <c r="S338" s="61">
        <f>IFERROR($P338*$R338,0)</f>
        <v/>
      </c>
      <c r="T338" s="61">
        <f>$S338*1.22</f>
        <v/>
      </c>
      <c r="U338" s="64">
        <f>IF($P338&gt;0,COUNTIF($P$11:P338,"&gt;0"),"")</f>
        <v/>
      </c>
    </row>
    <row r="339" ht="14.25" customHeight="1" s="49">
      <c r="A339" s="58" t="n"/>
      <c r="B339" s="58" t="n"/>
      <c r="C339" s="59" t="n"/>
      <c r="D339" s="59" t="n"/>
      <c r="E339" s="59" t="n"/>
      <c r="F339" s="58" t="n"/>
      <c r="G339" s="60" t="n"/>
      <c r="H339" s="60" t="n"/>
      <c r="I339" s="61" t="n"/>
      <c r="J339" s="61" t="n"/>
      <c r="K339" s="61" t="n"/>
      <c r="L339" s="61" t="n"/>
      <c r="M339" s="61" t="n"/>
      <c r="N339" s="58" t="n"/>
      <c r="O339" s="59" t="n"/>
      <c r="P339" s="62" t="n"/>
      <c r="Q339" s="63" t="n"/>
      <c r="R339" s="61">
        <f>IF($P339&gt;0,CHOOSE(MATCH($B$4,'Служебный лист'!$A$4:$A$8,0),I339,J339,K339,L339,M339),"")</f>
        <v/>
      </c>
      <c r="S339" s="61">
        <f>IFERROR($P339*$R339,0)</f>
        <v/>
      </c>
      <c r="T339" s="61">
        <f>$S339*1.22</f>
        <v/>
      </c>
      <c r="U339" s="64">
        <f>IF($P339&gt;0,COUNTIF($P$11:P339,"&gt;0"),"")</f>
        <v/>
      </c>
    </row>
    <row r="340" ht="14.25" customHeight="1" s="49">
      <c r="A340" s="58" t="n"/>
      <c r="B340" s="58" t="n"/>
      <c r="C340" s="59" t="n"/>
      <c r="D340" s="59" t="n"/>
      <c r="E340" s="59" t="n"/>
      <c r="F340" s="58" t="n"/>
      <c r="G340" s="60" t="n"/>
      <c r="H340" s="60" t="n"/>
      <c r="I340" s="61" t="n"/>
      <c r="J340" s="61" t="n"/>
      <c r="K340" s="61" t="n"/>
      <c r="L340" s="61" t="n"/>
      <c r="M340" s="61" t="n"/>
      <c r="N340" s="58" t="n"/>
      <c r="O340" s="59" t="n"/>
      <c r="P340" s="62" t="n"/>
      <c r="Q340" s="63" t="n"/>
      <c r="R340" s="61">
        <f>IF($P340&gt;0,CHOOSE(MATCH($B$4,'Служебный лист'!$A$4:$A$8,0),I340,J340,K340,L340,M340),"")</f>
        <v/>
      </c>
      <c r="S340" s="61">
        <f>IFERROR($P340*$R340,0)</f>
        <v/>
      </c>
      <c r="T340" s="61">
        <f>$S340*1.22</f>
        <v/>
      </c>
      <c r="U340" s="64">
        <f>IF($P340&gt;0,COUNTIF($P$11:P340,"&gt;0"),"")</f>
        <v/>
      </c>
    </row>
    <row r="341" ht="14.25" customHeight="1" s="49">
      <c r="A341" s="58" t="n"/>
      <c r="B341" s="58" t="n"/>
      <c r="C341" s="59" t="n"/>
      <c r="D341" s="59" t="n"/>
      <c r="E341" s="59" t="n"/>
      <c r="F341" s="58" t="n"/>
      <c r="G341" s="60" t="n"/>
      <c r="H341" s="60" t="n"/>
      <c r="I341" s="61" t="n"/>
      <c r="J341" s="61" t="n"/>
      <c r="K341" s="61" t="n"/>
      <c r="L341" s="61" t="n"/>
      <c r="M341" s="61" t="n"/>
      <c r="N341" s="58" t="n"/>
      <c r="O341" s="59" t="n"/>
      <c r="P341" s="62" t="n"/>
      <c r="Q341" s="63" t="n"/>
      <c r="R341" s="61">
        <f>IF($P341&gt;0,CHOOSE(MATCH($B$4,'Служебный лист'!$A$4:$A$8,0),I341,J341,K341,L341,M341),"")</f>
        <v/>
      </c>
      <c r="S341" s="61">
        <f>IFERROR($P341*$R341,0)</f>
        <v/>
      </c>
      <c r="T341" s="61">
        <f>$S341*1.22</f>
        <v/>
      </c>
      <c r="U341" s="64">
        <f>IF($P341&gt;0,COUNTIF($P$11:P341,"&gt;0"),"")</f>
        <v/>
      </c>
    </row>
    <row r="342" ht="14.25" customHeight="1" s="49">
      <c r="A342" s="58" t="n"/>
      <c r="B342" s="58" t="n"/>
      <c r="C342" s="59" t="n"/>
      <c r="D342" s="59" t="n"/>
      <c r="E342" s="59" t="n"/>
      <c r="F342" s="58" t="n"/>
      <c r="G342" s="60" t="n"/>
      <c r="H342" s="60" t="n"/>
      <c r="I342" s="61" t="n"/>
      <c r="J342" s="61" t="n"/>
      <c r="K342" s="61" t="n"/>
      <c r="L342" s="61" t="n"/>
      <c r="M342" s="61" t="n"/>
      <c r="N342" s="58" t="n"/>
      <c r="O342" s="59" t="n"/>
      <c r="P342" s="62" t="n"/>
      <c r="Q342" s="63" t="n"/>
      <c r="R342" s="61">
        <f>IF($P342&gt;0,CHOOSE(MATCH($B$4,'Служебный лист'!$A$4:$A$8,0),I342,J342,K342,L342,M342),"")</f>
        <v/>
      </c>
      <c r="S342" s="61">
        <f>IFERROR($P342*$R342,0)</f>
        <v/>
      </c>
      <c r="T342" s="61">
        <f>$S342*1.22</f>
        <v/>
      </c>
      <c r="U342" s="64">
        <f>IF($P342&gt;0,COUNTIF($P$11:P342,"&gt;0"),"")</f>
        <v/>
      </c>
    </row>
    <row r="343" ht="14.25" customHeight="1" s="49">
      <c r="A343" s="58" t="n"/>
      <c r="B343" s="58" t="n"/>
      <c r="C343" s="59" t="n"/>
      <c r="D343" s="59" t="n"/>
      <c r="E343" s="59" t="n"/>
      <c r="F343" s="58" t="n"/>
      <c r="G343" s="60" t="n"/>
      <c r="H343" s="60" t="n"/>
      <c r="I343" s="61" t="n"/>
      <c r="J343" s="61" t="n"/>
      <c r="K343" s="61" t="n"/>
      <c r="L343" s="61" t="n"/>
      <c r="M343" s="61" t="n"/>
      <c r="N343" s="58" t="n"/>
      <c r="O343" s="59" t="n"/>
      <c r="P343" s="62" t="n"/>
      <c r="Q343" s="63" t="n"/>
      <c r="R343" s="61">
        <f>IF($P343&gt;0,CHOOSE(MATCH($B$4,'Служебный лист'!$A$4:$A$8,0),I343,J343,K343,L343,M343),"")</f>
        <v/>
      </c>
      <c r="S343" s="61">
        <f>IFERROR($P343*$R343,0)</f>
        <v/>
      </c>
      <c r="T343" s="61">
        <f>$S343*1.22</f>
        <v/>
      </c>
      <c r="U343" s="64">
        <f>IF($P343&gt;0,COUNTIF($P$11:P343,"&gt;0"),"")</f>
        <v/>
      </c>
    </row>
    <row r="344" ht="14.25" customHeight="1" s="49">
      <c r="A344" s="58" t="n"/>
      <c r="B344" s="58" t="n"/>
      <c r="C344" s="59" t="n"/>
      <c r="D344" s="59" t="n"/>
      <c r="E344" s="59" t="n"/>
      <c r="F344" s="58" t="n"/>
      <c r="G344" s="60" t="n"/>
      <c r="H344" s="60" t="n"/>
      <c r="I344" s="61" t="n"/>
      <c r="J344" s="61" t="n"/>
      <c r="K344" s="61" t="n"/>
      <c r="L344" s="61" t="n"/>
      <c r="M344" s="61" t="n"/>
      <c r="N344" s="58" t="n"/>
      <c r="O344" s="59" t="n"/>
      <c r="P344" s="62" t="n"/>
      <c r="Q344" s="63" t="n"/>
      <c r="R344" s="61">
        <f>IF($P344&gt;0,CHOOSE(MATCH($B$4,'Служебный лист'!$A$4:$A$8,0),I344,J344,K344,L344,M344),"")</f>
        <v/>
      </c>
      <c r="S344" s="61">
        <f>IFERROR($P344*$R344,0)</f>
        <v/>
      </c>
      <c r="T344" s="61">
        <f>$S344*1.22</f>
        <v/>
      </c>
      <c r="U344" s="64">
        <f>IF($P344&gt;0,COUNTIF($P$11:P344,"&gt;0"),"")</f>
        <v/>
      </c>
    </row>
    <row r="345" ht="14.25" customHeight="1" s="49">
      <c r="A345" s="58" t="n"/>
      <c r="B345" s="58" t="n"/>
      <c r="C345" s="59" t="n"/>
      <c r="D345" s="59" t="n"/>
      <c r="E345" s="59" t="n"/>
      <c r="F345" s="58" t="n"/>
      <c r="G345" s="60" t="n"/>
      <c r="H345" s="60" t="n"/>
      <c r="I345" s="61" t="n"/>
      <c r="J345" s="61" t="n"/>
      <c r="K345" s="61" t="n"/>
      <c r="L345" s="61" t="n"/>
      <c r="M345" s="61" t="n"/>
      <c r="N345" s="58" t="n"/>
      <c r="O345" s="59" t="n"/>
      <c r="P345" s="62" t="n"/>
      <c r="Q345" s="63" t="n"/>
      <c r="R345" s="61">
        <f>IF($P345&gt;0,CHOOSE(MATCH($B$4,'Служебный лист'!$A$4:$A$8,0),I345,J345,K345,L345,M345),"")</f>
        <v/>
      </c>
      <c r="S345" s="61">
        <f>IFERROR($P345*$R345,0)</f>
        <v/>
      </c>
      <c r="T345" s="61">
        <f>$S345*1.22</f>
        <v/>
      </c>
      <c r="U345" s="64">
        <f>IF($P345&gt;0,COUNTIF($P$11:P345,"&gt;0"),"")</f>
        <v/>
      </c>
    </row>
    <row r="346" ht="14.25" customHeight="1" s="49">
      <c r="A346" s="58" t="n"/>
      <c r="B346" s="58" t="n"/>
      <c r="C346" s="59" t="n"/>
      <c r="D346" s="59" t="n"/>
      <c r="E346" s="59" t="n"/>
      <c r="F346" s="58" t="n"/>
      <c r="G346" s="60" t="n"/>
      <c r="H346" s="60" t="n"/>
      <c r="I346" s="61" t="n"/>
      <c r="J346" s="61" t="n"/>
      <c r="K346" s="61" t="n"/>
      <c r="L346" s="61" t="n"/>
      <c r="M346" s="61" t="n"/>
      <c r="N346" s="58" t="n"/>
      <c r="O346" s="59" t="n"/>
      <c r="P346" s="62" t="n"/>
      <c r="Q346" s="63" t="n"/>
      <c r="R346" s="61">
        <f>IF($P346&gt;0,CHOOSE(MATCH($B$4,'Служебный лист'!$A$4:$A$8,0),I346,J346,K346,L346,M346),"")</f>
        <v/>
      </c>
      <c r="S346" s="61">
        <f>IFERROR($P346*$R346,0)</f>
        <v/>
      </c>
      <c r="T346" s="61">
        <f>$S346*1.22</f>
        <v/>
      </c>
      <c r="U346" s="64">
        <f>IF($P346&gt;0,COUNTIF($P$11:P346,"&gt;0"),"")</f>
        <v/>
      </c>
    </row>
    <row r="347" ht="14.25" customHeight="1" s="49">
      <c r="A347" s="58" t="n"/>
      <c r="B347" s="58" t="n"/>
      <c r="C347" s="59" t="n"/>
      <c r="D347" s="59" t="n"/>
      <c r="E347" s="59" t="n"/>
      <c r="F347" s="58" t="n"/>
      <c r="G347" s="60" t="n"/>
      <c r="H347" s="60" t="n"/>
      <c r="I347" s="61" t="n"/>
      <c r="J347" s="61" t="n"/>
      <c r="K347" s="61" t="n"/>
      <c r="L347" s="61" t="n"/>
      <c r="M347" s="61" t="n"/>
      <c r="N347" s="58" t="n"/>
      <c r="O347" s="59" t="n"/>
      <c r="P347" s="62" t="n"/>
      <c r="Q347" s="63" t="n"/>
      <c r="R347" s="61">
        <f>IF($P347&gt;0,CHOOSE(MATCH($B$4,'Служебный лист'!$A$4:$A$8,0),I347,J347,K347,L347,M347),"")</f>
        <v/>
      </c>
      <c r="S347" s="61">
        <f>IFERROR($P347*$R347,0)</f>
        <v/>
      </c>
      <c r="T347" s="61">
        <f>$S347*1.22</f>
        <v/>
      </c>
      <c r="U347" s="64">
        <f>IF($P347&gt;0,COUNTIF($P$11:P347,"&gt;0"),"")</f>
        <v/>
      </c>
    </row>
    <row r="348" ht="14.25" customHeight="1" s="49">
      <c r="A348" s="58" t="n"/>
      <c r="B348" s="58" t="n"/>
      <c r="C348" s="59" t="n"/>
      <c r="D348" s="59" t="n"/>
      <c r="E348" s="59" t="n"/>
      <c r="F348" s="58" t="n"/>
      <c r="G348" s="60" t="n"/>
      <c r="H348" s="60" t="n"/>
      <c r="I348" s="61" t="n"/>
      <c r="J348" s="61" t="n"/>
      <c r="K348" s="61" t="n"/>
      <c r="L348" s="61" t="n"/>
      <c r="M348" s="61" t="n"/>
      <c r="N348" s="58" t="n"/>
      <c r="O348" s="59" t="n"/>
      <c r="P348" s="62" t="n"/>
      <c r="Q348" s="63" t="n"/>
      <c r="R348" s="61">
        <f>IF($P348&gt;0,CHOOSE(MATCH($B$4,'Служебный лист'!$A$4:$A$8,0),I348,J348,K348,L348,M348),"")</f>
        <v/>
      </c>
      <c r="S348" s="61">
        <f>IFERROR($P348*$R348,0)</f>
        <v/>
      </c>
      <c r="T348" s="61">
        <f>$S348*1.22</f>
        <v/>
      </c>
      <c r="U348" s="64">
        <f>IF($P348&gt;0,COUNTIF($P$11:P348,"&gt;0"),"")</f>
        <v/>
      </c>
    </row>
    <row r="349" ht="14.25" customHeight="1" s="49">
      <c r="A349" s="58" t="n"/>
      <c r="B349" s="58" t="n"/>
      <c r="C349" s="59" t="n"/>
      <c r="D349" s="59" t="n"/>
      <c r="E349" s="59" t="n"/>
      <c r="F349" s="58" t="n"/>
      <c r="G349" s="60" t="n"/>
      <c r="H349" s="60" t="n"/>
      <c r="I349" s="61" t="n"/>
      <c r="J349" s="61" t="n"/>
      <c r="K349" s="61" t="n"/>
      <c r="L349" s="61" t="n"/>
      <c r="M349" s="61" t="n"/>
      <c r="N349" s="58" t="n"/>
      <c r="O349" s="59" t="n"/>
      <c r="P349" s="62" t="n"/>
      <c r="Q349" s="63" t="n"/>
      <c r="R349" s="61">
        <f>IF($P349&gt;0,CHOOSE(MATCH($B$4,'Служебный лист'!$A$4:$A$8,0),I349,J349,K349,L349,M349),"")</f>
        <v/>
      </c>
      <c r="S349" s="61">
        <f>IFERROR($P349*$R349,0)</f>
        <v/>
      </c>
      <c r="T349" s="61">
        <f>$S349*1.22</f>
        <v/>
      </c>
      <c r="U349" s="64">
        <f>IF($P349&gt;0,COUNTIF($P$11:P349,"&gt;0"),"")</f>
        <v/>
      </c>
    </row>
    <row r="350" ht="14.25" customHeight="1" s="49">
      <c r="A350" s="58" t="n"/>
      <c r="B350" s="58" t="n"/>
      <c r="C350" s="59" t="n"/>
      <c r="D350" s="59" t="n"/>
      <c r="E350" s="59" t="n"/>
      <c r="F350" s="58" t="n"/>
      <c r="G350" s="60" t="n"/>
      <c r="H350" s="60" t="n"/>
      <c r="I350" s="61" t="n"/>
      <c r="J350" s="61" t="n"/>
      <c r="K350" s="61" t="n"/>
      <c r="L350" s="61" t="n"/>
      <c r="M350" s="61" t="n"/>
      <c r="N350" s="58" t="n"/>
      <c r="O350" s="59" t="n"/>
      <c r="P350" s="62" t="n"/>
      <c r="Q350" s="63" t="n"/>
      <c r="R350" s="61">
        <f>IF($P350&gt;0,CHOOSE(MATCH($B$4,'Служебный лист'!$A$4:$A$8,0),I350,J350,K350,L350,M350),"")</f>
        <v/>
      </c>
      <c r="S350" s="61">
        <f>IFERROR($P350*$R350,0)</f>
        <v/>
      </c>
      <c r="T350" s="61">
        <f>$S350*1.22</f>
        <v/>
      </c>
      <c r="U350" s="64">
        <f>IF($P350&gt;0,COUNTIF($P$11:P350,"&gt;0"),"")</f>
        <v/>
      </c>
    </row>
    <row r="351" ht="14.25" customHeight="1" s="49">
      <c r="A351" s="58" t="n"/>
      <c r="B351" s="58" t="n"/>
      <c r="C351" s="59" t="n"/>
      <c r="D351" s="59" t="n"/>
      <c r="E351" s="59" t="n"/>
      <c r="F351" s="58" t="n"/>
      <c r="G351" s="60" t="n"/>
      <c r="H351" s="60" t="n"/>
      <c r="I351" s="61" t="n"/>
      <c r="J351" s="61" t="n"/>
      <c r="K351" s="61" t="n"/>
      <c r="L351" s="61" t="n"/>
      <c r="M351" s="61" t="n"/>
      <c r="N351" s="58" t="n"/>
      <c r="O351" s="59" t="n"/>
      <c r="P351" s="62" t="n"/>
      <c r="Q351" s="63" t="n"/>
      <c r="R351" s="61">
        <f>IF($P351&gt;0,CHOOSE(MATCH($B$4,'Служебный лист'!$A$4:$A$8,0),I351,J351,K351,L351,M351),"")</f>
        <v/>
      </c>
      <c r="S351" s="61">
        <f>IFERROR($P351*$R351,0)</f>
        <v/>
      </c>
      <c r="T351" s="61">
        <f>$S351*1.22</f>
        <v/>
      </c>
      <c r="U351" s="64">
        <f>IF($P351&gt;0,COUNTIF($P$11:P351,"&gt;0"),"")</f>
        <v/>
      </c>
    </row>
    <row r="352" ht="14.25" customHeight="1" s="49">
      <c r="A352" s="58" t="n"/>
      <c r="B352" s="58" t="n"/>
      <c r="C352" s="59" t="n"/>
      <c r="D352" s="59" t="n"/>
      <c r="E352" s="59" t="n"/>
      <c r="F352" s="58" t="n"/>
      <c r="G352" s="60" t="n"/>
      <c r="H352" s="60" t="n"/>
      <c r="I352" s="61" t="n"/>
      <c r="J352" s="61" t="n"/>
      <c r="K352" s="61" t="n"/>
      <c r="L352" s="61" t="n"/>
      <c r="M352" s="61" t="n"/>
      <c r="N352" s="58" t="n"/>
      <c r="O352" s="59" t="n"/>
      <c r="P352" s="62" t="n"/>
      <c r="Q352" s="63" t="n"/>
      <c r="R352" s="61">
        <f>IF($P352&gt;0,CHOOSE(MATCH($B$4,'Служебный лист'!$A$4:$A$8,0),I352,J352,K352,L352,M352),"")</f>
        <v/>
      </c>
      <c r="S352" s="61">
        <f>IFERROR($P352*$R352,0)</f>
        <v/>
      </c>
      <c r="T352" s="61">
        <f>$S352*1.22</f>
        <v/>
      </c>
      <c r="U352" s="64">
        <f>IF($P352&gt;0,COUNTIF($P$11:P352,"&gt;0"),"")</f>
        <v/>
      </c>
    </row>
    <row r="353" ht="14.25" customHeight="1" s="49">
      <c r="A353" s="58" t="n"/>
      <c r="B353" s="58" t="n"/>
      <c r="C353" s="59" t="n"/>
      <c r="D353" s="59" t="n"/>
      <c r="E353" s="59" t="n"/>
      <c r="F353" s="58" t="n"/>
      <c r="G353" s="60" t="n"/>
      <c r="H353" s="60" t="n"/>
      <c r="I353" s="61" t="n"/>
      <c r="J353" s="61" t="n"/>
      <c r="K353" s="61" t="n"/>
      <c r="L353" s="61" t="n"/>
      <c r="M353" s="61" t="n"/>
      <c r="N353" s="58" t="n"/>
      <c r="O353" s="59" t="n"/>
      <c r="P353" s="62" t="n"/>
      <c r="Q353" s="63" t="n"/>
      <c r="R353" s="61">
        <f>IF($P353&gt;0,CHOOSE(MATCH($B$4,'Служебный лист'!$A$4:$A$8,0),I353,J353,K353,L353,M353),"")</f>
        <v/>
      </c>
      <c r="S353" s="61">
        <f>IFERROR($P353*$R353,0)</f>
        <v/>
      </c>
      <c r="T353" s="61">
        <f>$S353*1.22</f>
        <v/>
      </c>
      <c r="U353" s="64">
        <f>IF($P353&gt;0,COUNTIF($P$11:P353,"&gt;0"),"")</f>
        <v/>
      </c>
    </row>
    <row r="354" ht="14.25" customHeight="1" s="49">
      <c r="A354" s="58" t="n"/>
      <c r="B354" s="58" t="n"/>
      <c r="C354" s="59" t="n"/>
      <c r="D354" s="59" t="n"/>
      <c r="E354" s="59" t="n"/>
      <c r="F354" s="58" t="n"/>
      <c r="G354" s="60" t="n"/>
      <c r="H354" s="60" t="n"/>
      <c r="I354" s="61" t="n"/>
      <c r="J354" s="61" t="n"/>
      <c r="K354" s="61" t="n"/>
      <c r="L354" s="61" t="n"/>
      <c r="M354" s="61" t="n"/>
      <c r="N354" s="58" t="n"/>
      <c r="O354" s="59" t="n"/>
      <c r="P354" s="62" t="n"/>
      <c r="Q354" s="63" t="n"/>
      <c r="R354" s="61">
        <f>IF($P354&gt;0,CHOOSE(MATCH($B$4,'Служебный лист'!$A$4:$A$8,0),I354,J354,K354,L354,M354),"")</f>
        <v/>
      </c>
      <c r="S354" s="61">
        <f>IFERROR($P354*$R354,0)</f>
        <v/>
      </c>
      <c r="T354" s="61">
        <f>$S354*1.22</f>
        <v/>
      </c>
      <c r="U354" s="64">
        <f>IF($P354&gt;0,COUNTIF($P$11:P354,"&gt;0"),"")</f>
        <v/>
      </c>
    </row>
    <row r="355" ht="14.25" customHeight="1" s="49">
      <c r="A355" s="58" t="n"/>
      <c r="B355" s="58" t="n"/>
      <c r="C355" s="59" t="n"/>
      <c r="D355" s="59" t="n"/>
      <c r="E355" s="59" t="n"/>
      <c r="F355" s="58" t="n"/>
      <c r="G355" s="60" t="n"/>
      <c r="H355" s="60" t="n"/>
      <c r="I355" s="61" t="n"/>
      <c r="J355" s="61" t="n"/>
      <c r="K355" s="61" t="n"/>
      <c r="L355" s="61" t="n"/>
      <c r="M355" s="61" t="n"/>
      <c r="N355" s="58" t="n"/>
      <c r="O355" s="59" t="n"/>
      <c r="P355" s="62" t="n"/>
      <c r="Q355" s="63" t="n"/>
      <c r="R355" s="61">
        <f>IF($P355&gt;0,CHOOSE(MATCH($B$4,'Служебный лист'!$A$4:$A$8,0),I355,J355,K355,L355,M355),"")</f>
        <v/>
      </c>
      <c r="S355" s="61">
        <f>IFERROR($P355*$R355,0)</f>
        <v/>
      </c>
      <c r="T355" s="61">
        <f>$S355*1.22</f>
        <v/>
      </c>
      <c r="U355" s="64">
        <f>IF($P355&gt;0,COUNTIF($P$11:P355,"&gt;0"),"")</f>
        <v/>
      </c>
    </row>
    <row r="356" ht="14.25" customHeight="1" s="49">
      <c r="A356" s="58" t="n"/>
      <c r="B356" s="58" t="n"/>
      <c r="C356" s="59" t="n"/>
      <c r="D356" s="59" t="n"/>
      <c r="E356" s="59" t="n"/>
      <c r="F356" s="58" t="n"/>
      <c r="G356" s="60" t="n"/>
      <c r="H356" s="60" t="n"/>
      <c r="I356" s="61" t="n"/>
      <c r="J356" s="61" t="n"/>
      <c r="K356" s="61" t="n"/>
      <c r="L356" s="61" t="n"/>
      <c r="M356" s="61" t="n"/>
      <c r="N356" s="58" t="n"/>
      <c r="O356" s="59" t="n"/>
      <c r="P356" s="62" t="n"/>
      <c r="Q356" s="63" t="n"/>
      <c r="R356" s="61">
        <f>IF($P356&gt;0,CHOOSE(MATCH($B$4,'Служебный лист'!$A$4:$A$8,0),I356,J356,K356,L356,M356),"")</f>
        <v/>
      </c>
      <c r="S356" s="61">
        <f>IFERROR($P356*$R356,0)</f>
        <v/>
      </c>
      <c r="T356" s="61">
        <f>$S356*1.22</f>
        <v/>
      </c>
      <c r="U356" s="64">
        <f>IF($P356&gt;0,COUNTIF($P$11:P356,"&gt;0"),"")</f>
        <v/>
      </c>
    </row>
    <row r="357" ht="14.25" customHeight="1" s="49">
      <c r="A357" s="58" t="n"/>
      <c r="B357" s="58" t="n"/>
      <c r="C357" s="59" t="n"/>
      <c r="D357" s="59" t="n"/>
      <c r="E357" s="59" t="n"/>
      <c r="F357" s="58" t="n"/>
      <c r="G357" s="60" t="n"/>
      <c r="H357" s="60" t="n"/>
      <c r="I357" s="61" t="n"/>
      <c r="J357" s="61" t="n"/>
      <c r="K357" s="61" t="n"/>
      <c r="L357" s="61" t="n"/>
      <c r="M357" s="61" t="n"/>
      <c r="N357" s="58" t="n"/>
      <c r="O357" s="59" t="n"/>
      <c r="P357" s="62" t="n"/>
      <c r="Q357" s="63" t="n"/>
      <c r="R357" s="61">
        <f>IF($P357&gt;0,CHOOSE(MATCH($B$4,'Служебный лист'!$A$4:$A$8,0),I357,J357,K357,L357,M357),"")</f>
        <v/>
      </c>
      <c r="S357" s="61">
        <f>IFERROR($P357*$R357,0)</f>
        <v/>
      </c>
      <c r="T357" s="61">
        <f>$S357*1.22</f>
        <v/>
      </c>
      <c r="U357" s="64">
        <f>IF($P357&gt;0,COUNTIF($P$11:P357,"&gt;0"),"")</f>
        <v/>
      </c>
    </row>
    <row r="358" ht="14.25" customHeight="1" s="49">
      <c r="A358" s="58" t="n"/>
      <c r="B358" s="58" t="n"/>
      <c r="C358" s="59" t="n"/>
      <c r="D358" s="59" t="n"/>
      <c r="E358" s="59" t="n"/>
      <c r="F358" s="58" t="n"/>
      <c r="G358" s="60" t="n"/>
      <c r="H358" s="60" t="n"/>
      <c r="I358" s="61" t="n"/>
      <c r="J358" s="61" t="n"/>
      <c r="K358" s="61" t="n"/>
      <c r="L358" s="61" t="n"/>
      <c r="M358" s="61" t="n"/>
      <c r="N358" s="58" t="n"/>
      <c r="O358" s="59" t="n"/>
      <c r="P358" s="62" t="n"/>
      <c r="Q358" s="63" t="n"/>
      <c r="R358" s="61">
        <f>IF($P358&gt;0,CHOOSE(MATCH($B$4,'Служебный лист'!$A$4:$A$8,0),I358,J358,K358,L358,M358),"")</f>
        <v/>
      </c>
      <c r="S358" s="61">
        <f>IFERROR($P358*$R358,0)</f>
        <v/>
      </c>
      <c r="T358" s="61">
        <f>$S358*1.22</f>
        <v/>
      </c>
      <c r="U358" s="64">
        <f>IF($P358&gt;0,COUNTIF($P$11:P358,"&gt;0"),"")</f>
        <v/>
      </c>
    </row>
    <row r="359" ht="14.25" customHeight="1" s="49">
      <c r="A359" s="58" t="n"/>
      <c r="B359" s="58" t="n"/>
      <c r="C359" s="59" t="n"/>
      <c r="D359" s="59" t="n"/>
      <c r="E359" s="59" t="n"/>
      <c r="F359" s="58" t="n"/>
      <c r="G359" s="60" t="n"/>
      <c r="H359" s="60" t="n"/>
      <c r="I359" s="61" t="n"/>
      <c r="J359" s="61" t="n"/>
      <c r="K359" s="61" t="n"/>
      <c r="L359" s="61" t="n"/>
      <c r="M359" s="61" t="n"/>
      <c r="N359" s="58" t="n"/>
      <c r="O359" s="59" t="n"/>
      <c r="P359" s="62" t="n"/>
      <c r="Q359" s="63" t="n"/>
      <c r="R359" s="61">
        <f>IF($P359&gt;0,CHOOSE(MATCH($B$4,'Служебный лист'!$A$4:$A$8,0),I359,J359,K359,L359,M359),"")</f>
        <v/>
      </c>
      <c r="S359" s="61">
        <f>IFERROR($P359*$R359,0)</f>
        <v/>
      </c>
      <c r="T359" s="61">
        <f>$S359*1.22</f>
        <v/>
      </c>
      <c r="U359" s="64">
        <f>IF($P359&gt;0,COUNTIF($P$11:P359,"&gt;0"),"")</f>
        <v/>
      </c>
    </row>
    <row r="360" ht="14.25" customHeight="1" s="49">
      <c r="A360" s="58" t="n"/>
      <c r="B360" s="58" t="n"/>
      <c r="C360" s="59" t="n"/>
      <c r="D360" s="59" t="n"/>
      <c r="E360" s="59" t="n"/>
      <c r="F360" s="58" t="n"/>
      <c r="G360" s="60" t="n"/>
      <c r="H360" s="60" t="n"/>
      <c r="I360" s="61" t="n"/>
      <c r="J360" s="61" t="n"/>
      <c r="K360" s="61" t="n"/>
      <c r="L360" s="61" t="n"/>
      <c r="M360" s="61" t="n"/>
      <c r="N360" s="58" t="n"/>
      <c r="O360" s="59" t="n"/>
      <c r="P360" s="62" t="n"/>
      <c r="Q360" s="63" t="n"/>
      <c r="R360" s="61">
        <f>IF($P360&gt;0,CHOOSE(MATCH($B$4,'Служебный лист'!$A$4:$A$8,0),I360,J360,K360,L360,M360),"")</f>
        <v/>
      </c>
      <c r="S360" s="61">
        <f>IFERROR($P360*$R360,0)</f>
        <v/>
      </c>
      <c r="T360" s="61">
        <f>$S360*1.22</f>
        <v/>
      </c>
      <c r="U360" s="64">
        <f>IF($P360&gt;0,COUNTIF($P$11:P360,"&gt;0"),"")</f>
        <v/>
      </c>
    </row>
    <row r="361" ht="14.25" customHeight="1" s="49">
      <c r="A361" s="58" t="n"/>
      <c r="B361" s="58" t="n"/>
      <c r="C361" s="59" t="n"/>
      <c r="D361" s="59" t="n"/>
      <c r="E361" s="59" t="n"/>
      <c r="F361" s="58" t="n"/>
      <c r="G361" s="60" t="n"/>
      <c r="H361" s="60" t="n"/>
      <c r="I361" s="61" t="n"/>
      <c r="J361" s="61" t="n"/>
      <c r="K361" s="61" t="n"/>
      <c r="L361" s="61" t="n"/>
      <c r="M361" s="61" t="n"/>
      <c r="N361" s="58" t="n"/>
      <c r="O361" s="59" t="n"/>
      <c r="P361" s="62" t="n"/>
      <c r="Q361" s="63" t="n"/>
      <c r="R361" s="61">
        <f>IF($P361&gt;0,CHOOSE(MATCH($B$4,'Служебный лист'!$A$4:$A$8,0),I361,J361,K361,L361,M361),"")</f>
        <v/>
      </c>
      <c r="S361" s="61">
        <f>IFERROR($P361*$R361,0)</f>
        <v/>
      </c>
      <c r="T361" s="61">
        <f>$S361*1.22</f>
        <v/>
      </c>
      <c r="U361" s="64">
        <f>IF($P361&gt;0,COUNTIF($P$11:P361,"&gt;0"),"")</f>
        <v/>
      </c>
    </row>
    <row r="362" ht="14.25" customHeight="1" s="49">
      <c r="A362" s="58" t="n"/>
      <c r="B362" s="58" t="n"/>
      <c r="C362" s="59" t="n"/>
      <c r="D362" s="59" t="n"/>
      <c r="E362" s="59" t="n"/>
      <c r="F362" s="58" t="n"/>
      <c r="G362" s="60" t="n"/>
      <c r="H362" s="60" t="n"/>
      <c r="I362" s="61" t="n"/>
      <c r="J362" s="61" t="n"/>
      <c r="K362" s="61" t="n"/>
      <c r="L362" s="61" t="n"/>
      <c r="M362" s="61" t="n"/>
      <c r="N362" s="58" t="n"/>
      <c r="O362" s="59" t="n"/>
      <c r="P362" s="62" t="n"/>
      <c r="Q362" s="63" t="n"/>
      <c r="R362" s="61">
        <f>IF($P362&gt;0,CHOOSE(MATCH($B$4,'Служебный лист'!$A$4:$A$8,0),I362,J362,K362,L362,M362),"")</f>
        <v/>
      </c>
      <c r="S362" s="61">
        <f>IFERROR($P362*$R362,0)</f>
        <v/>
      </c>
      <c r="T362" s="61">
        <f>$S362*1.22</f>
        <v/>
      </c>
      <c r="U362" s="64">
        <f>IF($P362&gt;0,COUNTIF($P$11:P362,"&gt;0"),"")</f>
        <v/>
      </c>
    </row>
    <row r="363" ht="14.25" customHeight="1" s="49">
      <c r="A363" s="58" t="n"/>
      <c r="B363" s="58" t="n"/>
      <c r="C363" s="59" t="n"/>
      <c r="D363" s="59" t="n"/>
      <c r="E363" s="59" t="n"/>
      <c r="F363" s="58" t="n"/>
      <c r="G363" s="60" t="n"/>
      <c r="H363" s="60" t="n"/>
      <c r="I363" s="61" t="n"/>
      <c r="J363" s="61" t="n"/>
      <c r="K363" s="61" t="n"/>
      <c r="L363" s="61" t="n"/>
      <c r="M363" s="61" t="n"/>
      <c r="N363" s="58" t="n"/>
      <c r="O363" s="59" t="n"/>
      <c r="P363" s="62" t="n"/>
      <c r="Q363" s="63" t="n"/>
      <c r="R363" s="61">
        <f>IF($P363&gt;0,CHOOSE(MATCH($B$4,'Служебный лист'!$A$4:$A$8,0),I363,J363,K363,L363,M363),"")</f>
        <v/>
      </c>
      <c r="S363" s="61">
        <f>IFERROR($P363*$R363,0)</f>
        <v/>
      </c>
      <c r="T363" s="61">
        <f>$S363*1.22</f>
        <v/>
      </c>
      <c r="U363" s="64">
        <f>IF($P363&gt;0,COUNTIF($P$11:P363,"&gt;0"),"")</f>
        <v/>
      </c>
    </row>
    <row r="364" ht="14.25" customHeight="1" s="49">
      <c r="A364" s="58" t="n"/>
      <c r="B364" s="58" t="n"/>
      <c r="C364" s="59" t="n"/>
      <c r="D364" s="59" t="n"/>
      <c r="E364" s="59" t="n"/>
      <c r="F364" s="58" t="n"/>
      <c r="G364" s="60" t="n"/>
      <c r="H364" s="60" t="n"/>
      <c r="I364" s="61" t="n"/>
      <c r="J364" s="61" t="n"/>
      <c r="K364" s="61" t="n"/>
      <c r="L364" s="61" t="n"/>
      <c r="M364" s="61" t="n"/>
      <c r="N364" s="58" t="n"/>
      <c r="O364" s="59" t="n"/>
      <c r="P364" s="62" t="n"/>
      <c r="Q364" s="63" t="n"/>
      <c r="R364" s="61">
        <f>IF($P364&gt;0,CHOOSE(MATCH($B$4,'Служебный лист'!$A$4:$A$8,0),I364,J364,K364,L364,M364),"")</f>
        <v/>
      </c>
      <c r="S364" s="61">
        <f>IFERROR($P364*$R364,0)</f>
        <v/>
      </c>
      <c r="T364" s="61">
        <f>$S364*1.22</f>
        <v/>
      </c>
      <c r="U364" s="64">
        <f>IF($P364&gt;0,COUNTIF($P$11:P364,"&gt;0"),"")</f>
        <v/>
      </c>
    </row>
    <row r="365" ht="14.25" customHeight="1" s="49">
      <c r="A365" s="58" t="n"/>
      <c r="B365" s="58" t="n"/>
      <c r="C365" s="59" t="n"/>
      <c r="D365" s="59" t="n"/>
      <c r="E365" s="59" t="n"/>
      <c r="F365" s="58" t="n"/>
      <c r="G365" s="60" t="n"/>
      <c r="H365" s="60" t="n"/>
      <c r="I365" s="61" t="n"/>
      <c r="J365" s="61" t="n"/>
      <c r="K365" s="61" t="n"/>
      <c r="L365" s="61" t="n"/>
      <c r="M365" s="61" t="n"/>
      <c r="N365" s="58" t="n"/>
      <c r="O365" s="59" t="n"/>
      <c r="P365" s="62" t="n"/>
      <c r="Q365" s="63" t="n"/>
      <c r="R365" s="61">
        <f>IF($P365&gt;0,CHOOSE(MATCH($B$4,'Служебный лист'!$A$4:$A$8,0),I365,J365,K365,L365,M365),"")</f>
        <v/>
      </c>
      <c r="S365" s="61">
        <f>IFERROR($P365*$R365,0)</f>
        <v/>
      </c>
      <c r="T365" s="61">
        <f>$S365*1.22</f>
        <v/>
      </c>
      <c r="U365" s="64">
        <f>IF($P365&gt;0,COUNTIF($P$11:P365,"&gt;0"),"")</f>
        <v/>
      </c>
    </row>
    <row r="366" ht="14.25" customHeight="1" s="49">
      <c r="A366" s="58" t="n"/>
      <c r="B366" s="58" t="n"/>
      <c r="C366" s="59" t="n"/>
      <c r="D366" s="59" t="n"/>
      <c r="E366" s="59" t="n"/>
      <c r="F366" s="58" t="n"/>
      <c r="G366" s="60" t="n"/>
      <c r="H366" s="60" t="n"/>
      <c r="I366" s="61" t="n"/>
      <c r="J366" s="61" t="n"/>
      <c r="K366" s="61" t="n"/>
      <c r="L366" s="61" t="n"/>
      <c r="M366" s="61" t="n"/>
      <c r="N366" s="58" t="n"/>
      <c r="O366" s="59" t="n"/>
      <c r="P366" s="62" t="n"/>
      <c r="Q366" s="63" t="n"/>
      <c r="R366" s="61">
        <f>IF($P366&gt;0,CHOOSE(MATCH($B$4,'Служебный лист'!$A$4:$A$8,0),I366,J366,K366,L366,M366),"")</f>
        <v/>
      </c>
      <c r="S366" s="61">
        <f>IFERROR($P366*$R366,0)</f>
        <v/>
      </c>
      <c r="T366" s="61">
        <f>$S366*1.22</f>
        <v/>
      </c>
      <c r="U366" s="64">
        <f>IF($P366&gt;0,COUNTIF($P$11:P366,"&gt;0"),"")</f>
        <v/>
      </c>
    </row>
    <row r="367" ht="14.25" customHeight="1" s="49">
      <c r="A367" s="58" t="n"/>
      <c r="B367" s="58" t="n"/>
      <c r="C367" s="59" t="n"/>
      <c r="D367" s="59" t="n"/>
      <c r="E367" s="59" t="n"/>
      <c r="F367" s="58" t="n"/>
      <c r="G367" s="60" t="n"/>
      <c r="H367" s="60" t="n"/>
      <c r="I367" s="61" t="n"/>
      <c r="J367" s="61" t="n"/>
      <c r="K367" s="61" t="n"/>
      <c r="L367" s="61" t="n"/>
      <c r="M367" s="61" t="n"/>
      <c r="N367" s="58" t="n"/>
      <c r="O367" s="59" t="n"/>
      <c r="P367" s="62" t="n"/>
      <c r="Q367" s="63" t="n"/>
      <c r="R367" s="61">
        <f>IF($P367&gt;0,CHOOSE(MATCH($B$4,'Служебный лист'!$A$4:$A$8,0),I367,J367,K367,L367,M367),"")</f>
        <v/>
      </c>
      <c r="S367" s="61">
        <f>IFERROR($P367*$R367,0)</f>
        <v/>
      </c>
      <c r="T367" s="61">
        <f>$S367*1.22</f>
        <v/>
      </c>
      <c r="U367" s="64">
        <f>IF($P367&gt;0,COUNTIF($P$11:P367,"&gt;0"),"")</f>
        <v/>
      </c>
    </row>
    <row r="368" ht="14.25" customHeight="1" s="49">
      <c r="A368" s="58" t="n"/>
      <c r="B368" s="58" t="n"/>
      <c r="C368" s="59" t="n"/>
      <c r="D368" s="59" t="n"/>
      <c r="E368" s="59" t="n"/>
      <c r="F368" s="58" t="n"/>
      <c r="G368" s="60" t="n"/>
      <c r="H368" s="60" t="n"/>
      <c r="I368" s="61" t="n"/>
      <c r="J368" s="61" t="n"/>
      <c r="K368" s="61" t="n"/>
      <c r="L368" s="61" t="n"/>
      <c r="M368" s="61" t="n"/>
      <c r="N368" s="58" t="n"/>
      <c r="O368" s="59" t="n"/>
      <c r="P368" s="62" t="n"/>
      <c r="Q368" s="63" t="n"/>
      <c r="R368" s="61">
        <f>IF($P368&gt;0,CHOOSE(MATCH($B$4,'Служебный лист'!$A$4:$A$8,0),I368,J368,K368,L368,M368),"")</f>
        <v/>
      </c>
      <c r="S368" s="61">
        <f>IFERROR($P368*$R368,0)</f>
        <v/>
      </c>
      <c r="T368" s="61">
        <f>$S368*1.22</f>
        <v/>
      </c>
      <c r="U368" s="64">
        <f>IF($P368&gt;0,COUNTIF($P$11:P368,"&gt;0"),"")</f>
        <v/>
      </c>
    </row>
    <row r="369" ht="14.25" customHeight="1" s="49">
      <c r="A369" s="58" t="n"/>
      <c r="B369" s="58" t="n"/>
      <c r="C369" s="59" t="n"/>
      <c r="D369" s="59" t="n"/>
      <c r="E369" s="59" t="n"/>
      <c r="F369" s="58" t="n"/>
      <c r="G369" s="60" t="n"/>
      <c r="H369" s="60" t="n"/>
      <c r="I369" s="61" t="n"/>
      <c r="J369" s="61" t="n"/>
      <c r="K369" s="61" t="n"/>
      <c r="L369" s="61" t="n"/>
      <c r="M369" s="61" t="n"/>
      <c r="N369" s="58" t="n"/>
      <c r="O369" s="59" t="n"/>
      <c r="P369" s="62" t="n"/>
      <c r="Q369" s="63" t="n"/>
      <c r="R369" s="61">
        <f>IF($P369&gt;0,CHOOSE(MATCH($B$4,'Служебный лист'!$A$4:$A$8,0),I369,J369,K369,L369,M369),"")</f>
        <v/>
      </c>
      <c r="S369" s="61">
        <f>IFERROR($P369*$R369,0)</f>
        <v/>
      </c>
      <c r="T369" s="61">
        <f>$S369*1.22</f>
        <v/>
      </c>
      <c r="U369" s="64">
        <f>IF($P369&gt;0,COUNTIF($P$11:P369,"&gt;0"),"")</f>
        <v/>
      </c>
    </row>
    <row r="370" ht="14.25" customHeight="1" s="49">
      <c r="A370" s="58" t="n"/>
      <c r="B370" s="58" t="n"/>
      <c r="C370" s="59" t="n"/>
      <c r="D370" s="59" t="n"/>
      <c r="E370" s="59" t="n"/>
      <c r="F370" s="58" t="n"/>
      <c r="G370" s="60" t="n"/>
      <c r="H370" s="60" t="n"/>
      <c r="I370" s="61" t="n"/>
      <c r="J370" s="61" t="n"/>
      <c r="K370" s="61" t="n"/>
      <c r="L370" s="61" t="n"/>
      <c r="M370" s="61" t="n"/>
      <c r="N370" s="58" t="n"/>
      <c r="O370" s="59" t="n"/>
      <c r="P370" s="62" t="n"/>
      <c r="Q370" s="63" t="n"/>
      <c r="R370" s="61">
        <f>IF($P370&gt;0,CHOOSE(MATCH($B$4,'Служебный лист'!$A$4:$A$8,0),I370,J370,K370,L370,M370),"")</f>
        <v/>
      </c>
      <c r="S370" s="61">
        <f>IFERROR($P370*$R370,0)</f>
        <v/>
      </c>
      <c r="T370" s="61">
        <f>$S370*1.22</f>
        <v/>
      </c>
      <c r="U370" s="64">
        <f>IF($P370&gt;0,COUNTIF($P$11:P370,"&gt;0"),"")</f>
        <v/>
      </c>
    </row>
    <row r="371" ht="14.25" customHeight="1" s="49">
      <c r="A371" s="58" t="n"/>
      <c r="B371" s="58" t="n"/>
      <c r="C371" s="59" t="n"/>
      <c r="D371" s="59" t="n"/>
      <c r="E371" s="59" t="n"/>
      <c r="F371" s="58" t="n"/>
      <c r="G371" s="60" t="n"/>
      <c r="H371" s="60" t="n"/>
      <c r="I371" s="61" t="n"/>
      <c r="J371" s="61" t="n"/>
      <c r="K371" s="61" t="n"/>
      <c r="L371" s="61" t="n"/>
      <c r="M371" s="61" t="n"/>
      <c r="N371" s="58" t="n"/>
      <c r="O371" s="59" t="n"/>
      <c r="P371" s="62" t="n"/>
      <c r="Q371" s="63" t="n"/>
      <c r="R371" s="61">
        <f>IF($P371&gt;0,CHOOSE(MATCH($B$4,'Служебный лист'!$A$4:$A$8,0),I371,J371,K371,L371,M371),"")</f>
        <v/>
      </c>
      <c r="S371" s="61">
        <f>IFERROR($P371*$R371,0)</f>
        <v/>
      </c>
      <c r="T371" s="61">
        <f>$S371*1.22</f>
        <v/>
      </c>
      <c r="U371" s="64">
        <f>IF($P371&gt;0,COUNTIF($P$11:P371,"&gt;0"),"")</f>
        <v/>
      </c>
    </row>
    <row r="372" ht="14.25" customHeight="1" s="49">
      <c r="A372" s="58" t="n"/>
      <c r="B372" s="58" t="n"/>
      <c r="C372" s="59" t="n"/>
      <c r="D372" s="59" t="n"/>
      <c r="E372" s="59" t="n"/>
      <c r="F372" s="58" t="n"/>
      <c r="G372" s="60" t="n"/>
      <c r="H372" s="60" t="n"/>
      <c r="I372" s="61" t="n"/>
      <c r="J372" s="61" t="n"/>
      <c r="K372" s="61" t="n"/>
      <c r="L372" s="61" t="n"/>
      <c r="M372" s="61" t="n"/>
      <c r="N372" s="58" t="n"/>
      <c r="O372" s="59" t="n"/>
      <c r="P372" s="62" t="n"/>
      <c r="Q372" s="63" t="n"/>
      <c r="R372" s="61">
        <f>IF($P372&gt;0,CHOOSE(MATCH($B$4,'Служебный лист'!$A$4:$A$8,0),I372,J372,K372,L372,M372),"")</f>
        <v/>
      </c>
      <c r="S372" s="61">
        <f>IFERROR($P372*$R372,0)</f>
        <v/>
      </c>
      <c r="T372" s="61">
        <f>$S372*1.22</f>
        <v/>
      </c>
      <c r="U372" s="64">
        <f>IF($P372&gt;0,COUNTIF($P$11:P372,"&gt;0"),"")</f>
        <v/>
      </c>
    </row>
    <row r="373" ht="14.25" customHeight="1" s="49">
      <c r="A373" s="58" t="n"/>
      <c r="B373" s="58" t="n"/>
      <c r="C373" s="59" t="n"/>
      <c r="D373" s="59" t="n"/>
      <c r="E373" s="59" t="n"/>
      <c r="F373" s="58" t="n"/>
      <c r="G373" s="60" t="n"/>
      <c r="H373" s="60" t="n"/>
      <c r="I373" s="61" t="n"/>
      <c r="J373" s="61" t="n"/>
      <c r="K373" s="61" t="n"/>
      <c r="L373" s="61" t="n"/>
      <c r="M373" s="61" t="n"/>
      <c r="N373" s="58" t="n"/>
      <c r="O373" s="59" t="n"/>
      <c r="P373" s="62" t="n"/>
      <c r="Q373" s="63" t="n"/>
      <c r="R373" s="61">
        <f>IF($P373&gt;0,CHOOSE(MATCH($B$4,'Служебный лист'!$A$4:$A$8,0),I373,J373,K373,L373,M373),"")</f>
        <v/>
      </c>
      <c r="S373" s="61">
        <f>IFERROR($P373*$R373,0)</f>
        <v/>
      </c>
      <c r="T373" s="61">
        <f>$S373*1.22</f>
        <v/>
      </c>
      <c r="U373" s="64">
        <f>IF($P373&gt;0,COUNTIF($P$11:P373,"&gt;0"),"")</f>
        <v/>
      </c>
    </row>
    <row r="374" ht="14.25" customHeight="1" s="49">
      <c r="A374" s="58" t="n"/>
      <c r="B374" s="58" t="n"/>
      <c r="C374" s="59" t="n"/>
      <c r="D374" s="59" t="n"/>
      <c r="E374" s="59" t="n"/>
      <c r="F374" s="58" t="n"/>
      <c r="G374" s="60" t="n"/>
      <c r="H374" s="60" t="n"/>
      <c r="I374" s="61" t="n"/>
      <c r="J374" s="61" t="n"/>
      <c r="K374" s="61" t="n"/>
      <c r="L374" s="61" t="n"/>
      <c r="M374" s="61" t="n"/>
      <c r="N374" s="58" t="n"/>
      <c r="O374" s="59" t="n"/>
      <c r="P374" s="62" t="n"/>
      <c r="Q374" s="63" t="n"/>
      <c r="R374" s="61">
        <f>IF($P374&gt;0,CHOOSE(MATCH($B$4,'Служебный лист'!$A$4:$A$8,0),I374,J374,K374,L374,M374),"")</f>
        <v/>
      </c>
      <c r="S374" s="61">
        <f>IFERROR($P374*$R374,0)</f>
        <v/>
      </c>
      <c r="T374" s="61">
        <f>$S374*1.22</f>
        <v/>
      </c>
      <c r="U374" s="64">
        <f>IF($P374&gt;0,COUNTIF($P$11:P374,"&gt;0"),"")</f>
        <v/>
      </c>
    </row>
    <row r="375" ht="14.25" customHeight="1" s="49">
      <c r="A375" s="58" t="n"/>
      <c r="B375" s="58" t="n"/>
      <c r="C375" s="59" t="n"/>
      <c r="D375" s="59" t="n"/>
      <c r="E375" s="59" t="n"/>
      <c r="F375" s="58" t="n"/>
      <c r="G375" s="60" t="n"/>
      <c r="H375" s="60" t="n"/>
      <c r="I375" s="61" t="n"/>
      <c r="J375" s="61" t="n"/>
      <c r="K375" s="61" t="n"/>
      <c r="L375" s="61" t="n"/>
      <c r="M375" s="61" t="n"/>
      <c r="N375" s="58" t="n"/>
      <c r="O375" s="59" t="n"/>
      <c r="P375" s="62" t="n"/>
      <c r="Q375" s="63" t="n"/>
      <c r="R375" s="61">
        <f>IF($P375&gt;0,CHOOSE(MATCH($B$4,'Служебный лист'!$A$4:$A$8,0),I375,J375,K375,L375,M375),"")</f>
        <v/>
      </c>
      <c r="S375" s="61">
        <f>IFERROR($P375*$R375,0)</f>
        <v/>
      </c>
      <c r="T375" s="61">
        <f>$S375*1.22</f>
        <v/>
      </c>
      <c r="U375" s="64">
        <f>IF($P375&gt;0,COUNTIF($P$11:P375,"&gt;0"),"")</f>
        <v/>
      </c>
    </row>
    <row r="376" ht="14.25" customHeight="1" s="49">
      <c r="A376" s="58" t="n"/>
      <c r="B376" s="58" t="n"/>
      <c r="C376" s="59" t="n"/>
      <c r="D376" s="59" t="n"/>
      <c r="E376" s="59" t="n"/>
      <c r="F376" s="58" t="n"/>
      <c r="G376" s="60" t="n"/>
      <c r="H376" s="60" t="n"/>
      <c r="I376" s="61" t="n"/>
      <c r="J376" s="61" t="n"/>
      <c r="K376" s="61" t="n"/>
      <c r="L376" s="61" t="n"/>
      <c r="M376" s="61" t="n"/>
      <c r="N376" s="58" t="n"/>
      <c r="O376" s="59" t="n"/>
      <c r="P376" s="62" t="n"/>
      <c r="Q376" s="63" t="n"/>
      <c r="R376" s="61">
        <f>IF($P376&gt;0,CHOOSE(MATCH($B$4,'Служебный лист'!$A$4:$A$8,0),I376,J376,K376,L376,M376),"")</f>
        <v/>
      </c>
      <c r="S376" s="61">
        <f>IFERROR($P376*$R376,0)</f>
        <v/>
      </c>
      <c r="T376" s="61">
        <f>$S376*1.22</f>
        <v/>
      </c>
      <c r="U376" s="64">
        <f>IF($P376&gt;0,COUNTIF($P$11:P376,"&gt;0"),"")</f>
        <v/>
      </c>
    </row>
    <row r="377" ht="14.25" customHeight="1" s="49">
      <c r="A377" s="58" t="n"/>
      <c r="B377" s="58" t="n"/>
      <c r="C377" s="59" t="n"/>
      <c r="D377" s="59" t="n"/>
      <c r="E377" s="59" t="n"/>
      <c r="F377" s="58" t="n"/>
      <c r="G377" s="60" t="n"/>
      <c r="H377" s="60" t="n"/>
      <c r="I377" s="61" t="n"/>
      <c r="J377" s="61" t="n"/>
      <c r="K377" s="61" t="n"/>
      <c r="L377" s="61" t="n"/>
      <c r="M377" s="61" t="n"/>
      <c r="N377" s="58" t="n"/>
      <c r="O377" s="59" t="n"/>
      <c r="P377" s="62" t="n"/>
      <c r="Q377" s="63" t="n"/>
      <c r="R377" s="61">
        <f>IF($P377&gt;0,CHOOSE(MATCH($B$4,'Служебный лист'!$A$4:$A$8,0),I377,J377,K377,L377,M377),"")</f>
        <v/>
      </c>
      <c r="S377" s="61">
        <f>IFERROR($P377*$R377,0)</f>
        <v/>
      </c>
      <c r="T377" s="61">
        <f>$S377*1.22</f>
        <v/>
      </c>
      <c r="U377" s="64">
        <f>IF($P377&gt;0,COUNTIF($P$11:P377,"&gt;0"),"")</f>
        <v/>
      </c>
    </row>
    <row r="378" ht="14.25" customHeight="1" s="49">
      <c r="A378" s="58" t="n"/>
      <c r="B378" s="58" t="n"/>
      <c r="C378" s="59" t="n"/>
      <c r="D378" s="59" t="n"/>
      <c r="E378" s="59" t="n"/>
      <c r="F378" s="58" t="n"/>
      <c r="G378" s="60" t="n"/>
      <c r="H378" s="60" t="n"/>
      <c r="I378" s="61" t="n"/>
      <c r="J378" s="61" t="n"/>
      <c r="K378" s="61" t="n"/>
      <c r="L378" s="61" t="n"/>
      <c r="M378" s="61" t="n"/>
      <c r="N378" s="58" t="n"/>
      <c r="O378" s="59" t="n"/>
      <c r="P378" s="62" t="n"/>
      <c r="Q378" s="63" t="n"/>
      <c r="R378" s="61">
        <f>IF($P378&gt;0,CHOOSE(MATCH($B$4,'Служебный лист'!$A$4:$A$8,0),I378,J378,K378,L378,M378),"")</f>
        <v/>
      </c>
      <c r="S378" s="61">
        <f>IFERROR($P378*$R378,0)</f>
        <v/>
      </c>
      <c r="T378" s="61">
        <f>$S378*1.22</f>
        <v/>
      </c>
      <c r="U378" s="64">
        <f>IF($P378&gt;0,COUNTIF($P$11:P378,"&gt;0"),"")</f>
        <v/>
      </c>
    </row>
    <row r="379" ht="14.25" customHeight="1" s="49">
      <c r="A379" s="58" t="n"/>
      <c r="B379" s="58" t="n"/>
      <c r="C379" s="59" t="n"/>
      <c r="D379" s="59" t="n"/>
      <c r="E379" s="59" t="n"/>
      <c r="F379" s="58" t="n"/>
      <c r="G379" s="60" t="n"/>
      <c r="H379" s="60" t="n"/>
      <c r="I379" s="61" t="n"/>
      <c r="J379" s="61" t="n"/>
      <c r="K379" s="61" t="n"/>
      <c r="L379" s="61" t="n"/>
      <c r="M379" s="61" t="n"/>
      <c r="N379" s="58" t="n"/>
      <c r="O379" s="59" t="n"/>
      <c r="P379" s="62" t="n"/>
      <c r="Q379" s="63" t="n"/>
      <c r="R379" s="61">
        <f>IF($P379&gt;0,CHOOSE(MATCH($B$4,'Служебный лист'!$A$4:$A$8,0),I379,J379,K379,L379,M379),"")</f>
        <v/>
      </c>
      <c r="S379" s="61">
        <f>IFERROR($P379*$R379,0)</f>
        <v/>
      </c>
      <c r="T379" s="61">
        <f>$S379*1.22</f>
        <v/>
      </c>
      <c r="U379" s="64">
        <f>IF($P379&gt;0,COUNTIF($P$11:P379,"&gt;0"),"")</f>
        <v/>
      </c>
    </row>
    <row r="380" ht="14.25" customHeight="1" s="49">
      <c r="A380" s="58" t="n"/>
      <c r="B380" s="58" t="n"/>
      <c r="C380" s="59" t="n"/>
      <c r="D380" s="59" t="n"/>
      <c r="E380" s="59" t="n"/>
      <c r="F380" s="58" t="n"/>
      <c r="G380" s="60" t="n"/>
      <c r="H380" s="60" t="n"/>
      <c r="I380" s="61" t="n"/>
      <c r="J380" s="61" t="n"/>
      <c r="K380" s="61" t="n"/>
      <c r="L380" s="61" t="n"/>
      <c r="M380" s="61" t="n"/>
      <c r="N380" s="58" t="n"/>
      <c r="O380" s="59" t="n"/>
      <c r="P380" s="62" t="n"/>
      <c r="Q380" s="63" t="n"/>
      <c r="R380" s="61">
        <f>IF($P380&gt;0,CHOOSE(MATCH($B$4,'Служебный лист'!$A$4:$A$8,0),I380,J380,K380,L380,M380),"")</f>
        <v/>
      </c>
      <c r="S380" s="61">
        <f>IFERROR($P380*$R380,0)</f>
        <v/>
      </c>
      <c r="T380" s="61">
        <f>$S380*1.22</f>
        <v/>
      </c>
      <c r="U380" s="64">
        <f>IF($P380&gt;0,COUNTIF($P$11:P380,"&gt;0"),"")</f>
        <v/>
      </c>
    </row>
    <row r="381" ht="14.25" customHeight="1" s="49">
      <c r="A381" s="58" t="n"/>
      <c r="B381" s="58" t="n"/>
      <c r="C381" s="59" t="n"/>
      <c r="D381" s="59" t="n"/>
      <c r="E381" s="59" t="n"/>
      <c r="F381" s="58" t="n"/>
      <c r="G381" s="60" t="n"/>
      <c r="H381" s="60" t="n"/>
      <c r="I381" s="61" t="n"/>
      <c r="J381" s="61" t="n"/>
      <c r="K381" s="61" t="n"/>
      <c r="L381" s="61" t="n"/>
      <c r="M381" s="61" t="n"/>
      <c r="N381" s="58" t="n"/>
      <c r="O381" s="59" t="n"/>
      <c r="P381" s="62" t="n"/>
      <c r="Q381" s="63" t="n"/>
      <c r="R381" s="61">
        <f>IF($P381&gt;0,CHOOSE(MATCH($B$4,'Служебный лист'!$A$4:$A$8,0),I381,J381,K381,L381,M381),"")</f>
        <v/>
      </c>
      <c r="S381" s="61">
        <f>IFERROR($P381*$R381,0)</f>
        <v/>
      </c>
      <c r="T381" s="61">
        <f>$S381*1.22</f>
        <v/>
      </c>
      <c r="U381" s="64">
        <f>IF($P381&gt;0,COUNTIF($P$11:P381,"&gt;0"),"")</f>
        <v/>
      </c>
    </row>
    <row r="382" ht="14.25" customHeight="1" s="49">
      <c r="A382" s="58" t="n"/>
      <c r="B382" s="58" t="n"/>
      <c r="C382" s="59" t="n"/>
      <c r="D382" s="59" t="n"/>
      <c r="E382" s="59" t="n"/>
      <c r="F382" s="58" t="n"/>
      <c r="G382" s="60" t="n"/>
      <c r="H382" s="60" t="n"/>
      <c r="I382" s="61" t="n"/>
      <c r="J382" s="61" t="n"/>
      <c r="K382" s="61" t="n"/>
      <c r="L382" s="61" t="n"/>
      <c r="M382" s="61" t="n"/>
      <c r="N382" s="58" t="n"/>
      <c r="O382" s="59" t="n"/>
      <c r="P382" s="62" t="n"/>
      <c r="Q382" s="63" t="n"/>
      <c r="R382" s="61">
        <f>IF($P382&gt;0,CHOOSE(MATCH($B$4,'Служебный лист'!$A$4:$A$8,0),I382,J382,K382,L382,M382),"")</f>
        <v/>
      </c>
      <c r="S382" s="61">
        <f>IFERROR($P382*$R382,0)</f>
        <v/>
      </c>
      <c r="T382" s="61">
        <f>$S382*1.22</f>
        <v/>
      </c>
      <c r="U382" s="64">
        <f>IF($P382&gt;0,COUNTIF($P$11:P382,"&gt;0"),"")</f>
        <v/>
      </c>
    </row>
    <row r="383" ht="14.25" customHeight="1" s="49">
      <c r="A383" s="58" t="n"/>
      <c r="B383" s="58" t="n"/>
      <c r="C383" s="59" t="n"/>
      <c r="D383" s="59" t="n"/>
      <c r="E383" s="59" t="n"/>
      <c r="F383" s="58" t="n"/>
      <c r="G383" s="60" t="n"/>
      <c r="H383" s="60" t="n"/>
      <c r="I383" s="61" t="n"/>
      <c r="J383" s="61" t="n"/>
      <c r="K383" s="61" t="n"/>
      <c r="L383" s="61" t="n"/>
      <c r="M383" s="61" t="n"/>
      <c r="N383" s="58" t="n"/>
      <c r="O383" s="59" t="n"/>
      <c r="P383" s="62" t="n"/>
      <c r="Q383" s="63" t="n"/>
      <c r="R383" s="61">
        <f>IF($P383&gt;0,CHOOSE(MATCH($B$4,'Служебный лист'!$A$4:$A$8,0),I383,J383,K383,L383,M383),"")</f>
        <v/>
      </c>
      <c r="S383" s="61">
        <f>IFERROR($P383*$R383,0)</f>
        <v/>
      </c>
      <c r="T383" s="61">
        <f>$S383*1.22</f>
        <v/>
      </c>
      <c r="U383" s="64">
        <f>IF($P383&gt;0,COUNTIF($P$11:P383,"&gt;0"),"")</f>
        <v/>
      </c>
    </row>
    <row r="384" ht="14.25" customHeight="1" s="49">
      <c r="A384" s="58" t="n"/>
      <c r="B384" s="58" t="n"/>
      <c r="C384" s="59" t="n"/>
      <c r="D384" s="59" t="n"/>
      <c r="E384" s="59" t="n"/>
      <c r="F384" s="58" t="n"/>
      <c r="G384" s="60" t="n"/>
      <c r="H384" s="60" t="n"/>
      <c r="I384" s="61" t="n"/>
      <c r="J384" s="61" t="n"/>
      <c r="K384" s="61" t="n"/>
      <c r="L384" s="61" t="n"/>
      <c r="M384" s="61" t="n"/>
      <c r="N384" s="58" t="n"/>
      <c r="O384" s="59" t="n"/>
      <c r="P384" s="62" t="n"/>
      <c r="Q384" s="63" t="n"/>
      <c r="R384" s="61">
        <f>IF($P384&gt;0,CHOOSE(MATCH($B$4,'Служебный лист'!$A$4:$A$8,0),I384,J384,K384,L384,M384),"")</f>
        <v/>
      </c>
      <c r="S384" s="61">
        <f>IFERROR($P384*$R384,0)</f>
        <v/>
      </c>
      <c r="T384" s="61">
        <f>$S384*1.22</f>
        <v/>
      </c>
      <c r="U384" s="64">
        <f>IF($P384&gt;0,COUNTIF($P$11:P384,"&gt;0"),"")</f>
        <v/>
      </c>
    </row>
    <row r="385" ht="14.25" customHeight="1" s="49">
      <c r="A385" s="58" t="n"/>
      <c r="B385" s="58" t="n"/>
      <c r="C385" s="59" t="n"/>
      <c r="D385" s="59" t="n"/>
      <c r="E385" s="59" t="n"/>
      <c r="F385" s="58" t="n"/>
      <c r="G385" s="60" t="n"/>
      <c r="H385" s="60" t="n"/>
      <c r="I385" s="61" t="n"/>
      <c r="J385" s="61" t="n"/>
      <c r="K385" s="61" t="n"/>
      <c r="L385" s="61" t="n"/>
      <c r="M385" s="61" t="n"/>
      <c r="N385" s="58" t="n"/>
      <c r="O385" s="59" t="n"/>
      <c r="P385" s="62" t="n"/>
      <c r="Q385" s="63" t="n"/>
      <c r="R385" s="61">
        <f>IF($P385&gt;0,CHOOSE(MATCH($B$4,'Служебный лист'!$A$4:$A$8,0),I385,J385,K385,L385,M385),"")</f>
        <v/>
      </c>
      <c r="S385" s="61">
        <f>IFERROR($P385*$R385,0)</f>
        <v/>
      </c>
      <c r="T385" s="61">
        <f>$S385*1.22</f>
        <v/>
      </c>
      <c r="U385" s="64">
        <f>IF($P385&gt;0,COUNTIF($P$11:P385,"&gt;0"),"")</f>
        <v/>
      </c>
    </row>
    <row r="386" ht="14.25" customHeight="1" s="49">
      <c r="A386" s="58" t="n"/>
      <c r="B386" s="58" t="n"/>
      <c r="C386" s="59" t="n"/>
      <c r="D386" s="59" t="n"/>
      <c r="E386" s="59" t="n"/>
      <c r="F386" s="58" t="n"/>
      <c r="G386" s="60" t="n"/>
      <c r="H386" s="60" t="n"/>
      <c r="I386" s="61" t="n"/>
      <c r="J386" s="61" t="n"/>
      <c r="K386" s="61" t="n"/>
      <c r="L386" s="61" t="n"/>
      <c r="M386" s="61" t="n"/>
      <c r="N386" s="58" t="n"/>
      <c r="O386" s="59" t="n"/>
      <c r="P386" s="62" t="n"/>
      <c r="Q386" s="63" t="n"/>
      <c r="R386" s="61">
        <f>IF($P386&gt;0,CHOOSE(MATCH($B$4,'Служебный лист'!$A$4:$A$8,0),I386,J386,K386,L386,M386),"")</f>
        <v/>
      </c>
      <c r="S386" s="61">
        <f>IFERROR($P386*$R386,0)</f>
        <v/>
      </c>
      <c r="T386" s="61">
        <f>$S386*1.22</f>
        <v/>
      </c>
      <c r="U386" s="64">
        <f>IF($P386&gt;0,COUNTIF($P$11:P386,"&gt;0"),"")</f>
        <v/>
      </c>
    </row>
    <row r="387" ht="14.25" customHeight="1" s="49">
      <c r="A387" s="58" t="n"/>
      <c r="B387" s="58" t="n"/>
      <c r="C387" s="59" t="n"/>
      <c r="D387" s="59" t="n"/>
      <c r="E387" s="59" t="n"/>
      <c r="F387" s="58" t="n"/>
      <c r="G387" s="60" t="n"/>
      <c r="H387" s="60" t="n"/>
      <c r="I387" s="61" t="n"/>
      <c r="J387" s="61" t="n"/>
      <c r="K387" s="61" t="n"/>
      <c r="L387" s="61" t="n"/>
      <c r="M387" s="61" t="n"/>
      <c r="N387" s="58" t="n"/>
      <c r="O387" s="59" t="n"/>
      <c r="P387" s="62" t="n"/>
      <c r="Q387" s="63" t="n"/>
      <c r="R387" s="61">
        <f>IF($P387&gt;0,CHOOSE(MATCH($B$4,'Служебный лист'!$A$4:$A$8,0),I387,J387,K387,L387,M387),"")</f>
        <v/>
      </c>
      <c r="S387" s="61">
        <f>IFERROR($P387*$R387,0)</f>
        <v/>
      </c>
      <c r="T387" s="61">
        <f>$S387*1.22</f>
        <v/>
      </c>
      <c r="U387" s="64">
        <f>IF($P387&gt;0,COUNTIF($P$11:P387,"&gt;0"),"")</f>
        <v/>
      </c>
    </row>
    <row r="388" ht="14.25" customHeight="1" s="49">
      <c r="A388" s="58" t="n"/>
      <c r="B388" s="58" t="n"/>
      <c r="C388" s="59" t="n"/>
      <c r="D388" s="59" t="n"/>
      <c r="E388" s="59" t="n"/>
      <c r="F388" s="58" t="n"/>
      <c r="G388" s="60" t="n"/>
      <c r="H388" s="60" t="n"/>
      <c r="I388" s="61" t="n"/>
      <c r="J388" s="61" t="n"/>
      <c r="K388" s="61" t="n"/>
      <c r="L388" s="61" t="n"/>
      <c r="M388" s="61" t="n"/>
      <c r="N388" s="58" t="n"/>
      <c r="O388" s="59" t="n"/>
      <c r="P388" s="62" t="n"/>
      <c r="Q388" s="63" t="n"/>
      <c r="R388" s="61">
        <f>IF($P388&gt;0,CHOOSE(MATCH($B$4,'Служебный лист'!$A$4:$A$8,0),I388,J388,K388,L388,M388),"")</f>
        <v/>
      </c>
      <c r="S388" s="61">
        <f>IFERROR($P388*$R388,0)</f>
        <v/>
      </c>
      <c r="T388" s="61">
        <f>$S388*1.22</f>
        <v/>
      </c>
      <c r="U388" s="64">
        <f>IF($P388&gt;0,COUNTIF($P$11:P388,"&gt;0"),"")</f>
        <v/>
      </c>
    </row>
    <row r="389" ht="14.25" customHeight="1" s="49">
      <c r="A389" s="58" t="n"/>
      <c r="B389" s="58" t="n"/>
      <c r="C389" s="59" t="n"/>
      <c r="D389" s="59" t="n"/>
      <c r="E389" s="59" t="n"/>
      <c r="F389" s="58" t="n"/>
      <c r="G389" s="60" t="n"/>
      <c r="H389" s="60" t="n"/>
      <c r="I389" s="61" t="n"/>
      <c r="J389" s="61" t="n"/>
      <c r="K389" s="61" t="n"/>
      <c r="L389" s="61" t="n"/>
      <c r="M389" s="61" t="n"/>
      <c r="N389" s="58" t="n"/>
      <c r="O389" s="59" t="n"/>
      <c r="P389" s="62" t="n"/>
      <c r="Q389" s="63" t="n"/>
      <c r="R389" s="61">
        <f>IF($P389&gt;0,CHOOSE(MATCH($B$4,'Служебный лист'!$A$4:$A$8,0),I389,J389,K389,L389,M389),"")</f>
        <v/>
      </c>
      <c r="S389" s="61">
        <f>IFERROR($P389*$R389,0)</f>
        <v/>
      </c>
      <c r="T389" s="61">
        <f>$S389*1.22</f>
        <v/>
      </c>
      <c r="U389" s="64">
        <f>IF($P389&gt;0,COUNTIF($P$11:P389,"&gt;0"),"")</f>
        <v/>
      </c>
    </row>
    <row r="390" ht="14.25" customHeight="1" s="49">
      <c r="A390" s="58" t="n"/>
      <c r="B390" s="58" t="n"/>
      <c r="C390" s="59" t="n"/>
      <c r="D390" s="59" t="n"/>
      <c r="E390" s="59" t="n"/>
      <c r="F390" s="58" t="n"/>
      <c r="G390" s="60" t="n"/>
      <c r="H390" s="60" t="n"/>
      <c r="I390" s="61" t="n"/>
      <c r="J390" s="61" t="n"/>
      <c r="K390" s="61" t="n"/>
      <c r="L390" s="61" t="n"/>
      <c r="M390" s="61" t="n"/>
      <c r="N390" s="58" t="n"/>
      <c r="O390" s="59" t="n"/>
      <c r="P390" s="62" t="n"/>
      <c r="Q390" s="63" t="n"/>
      <c r="R390" s="61">
        <f>IF($P390&gt;0,CHOOSE(MATCH($B$4,'Служебный лист'!$A$4:$A$8,0),I390,J390,K390,L390,M390),"")</f>
        <v/>
      </c>
      <c r="S390" s="61">
        <f>IFERROR($P390*$R390,0)</f>
        <v/>
      </c>
      <c r="T390" s="61">
        <f>$S390*1.22</f>
        <v/>
      </c>
      <c r="U390" s="64">
        <f>IF($P390&gt;0,COUNTIF($P$11:P390,"&gt;0"),"")</f>
        <v/>
      </c>
    </row>
    <row r="391" ht="14.25" customHeight="1" s="49">
      <c r="A391" s="58" t="n"/>
      <c r="B391" s="58" t="n"/>
      <c r="C391" s="59" t="n"/>
      <c r="D391" s="59" t="n"/>
      <c r="E391" s="59" t="n"/>
      <c r="F391" s="58" t="n"/>
      <c r="G391" s="60" t="n"/>
      <c r="H391" s="60" t="n"/>
      <c r="I391" s="61" t="n"/>
      <c r="J391" s="61" t="n"/>
      <c r="K391" s="61" t="n"/>
      <c r="L391" s="61" t="n"/>
      <c r="M391" s="61" t="n"/>
      <c r="N391" s="58" t="n"/>
      <c r="O391" s="59" t="n"/>
      <c r="P391" s="62" t="n"/>
      <c r="Q391" s="63" t="n"/>
      <c r="R391" s="61">
        <f>IF($P391&gt;0,CHOOSE(MATCH($B$4,'Служебный лист'!$A$4:$A$8,0),I391,J391,K391,L391,M391),"")</f>
        <v/>
      </c>
      <c r="S391" s="61">
        <f>IFERROR($P391*$R391,0)</f>
        <v/>
      </c>
      <c r="T391" s="61">
        <f>$S391*1.22</f>
        <v/>
      </c>
      <c r="U391" s="64">
        <f>IF($P391&gt;0,COUNTIF($P$11:P391,"&gt;0"),"")</f>
        <v/>
      </c>
    </row>
    <row r="392" ht="14.25" customHeight="1" s="49">
      <c r="A392" s="58" t="n"/>
      <c r="B392" s="58" t="n"/>
      <c r="C392" s="59" t="n"/>
      <c r="D392" s="59" t="n"/>
      <c r="E392" s="59" t="n"/>
      <c r="F392" s="58" t="n"/>
      <c r="G392" s="60" t="n"/>
      <c r="H392" s="60" t="n"/>
      <c r="I392" s="61" t="n"/>
      <c r="J392" s="61" t="n"/>
      <c r="K392" s="61" t="n"/>
      <c r="L392" s="61" t="n"/>
      <c r="M392" s="61" t="n"/>
      <c r="N392" s="58" t="n"/>
      <c r="O392" s="59" t="n"/>
      <c r="P392" s="62" t="n"/>
      <c r="Q392" s="63" t="n"/>
      <c r="R392" s="61">
        <f>IF($P392&gt;0,CHOOSE(MATCH($B$4,'Служебный лист'!$A$4:$A$8,0),I392,J392,K392,L392,M392),"")</f>
        <v/>
      </c>
      <c r="S392" s="61">
        <f>IFERROR($P392*$R392,0)</f>
        <v/>
      </c>
      <c r="T392" s="61">
        <f>$S392*1.22</f>
        <v/>
      </c>
      <c r="U392" s="64">
        <f>IF($P392&gt;0,COUNTIF($P$11:P392,"&gt;0"),"")</f>
        <v/>
      </c>
    </row>
    <row r="393" ht="14.25" customHeight="1" s="49">
      <c r="A393" s="58" t="n"/>
      <c r="B393" s="58" t="n"/>
      <c r="C393" s="59" t="n"/>
      <c r="D393" s="59" t="n"/>
      <c r="E393" s="59" t="n"/>
      <c r="F393" s="58" t="n"/>
      <c r="G393" s="60" t="n"/>
      <c r="H393" s="60" t="n"/>
      <c r="I393" s="61" t="n"/>
      <c r="J393" s="61" t="n"/>
      <c r="K393" s="61" t="n"/>
      <c r="L393" s="61" t="n"/>
      <c r="M393" s="61" t="n"/>
      <c r="N393" s="58" t="n"/>
      <c r="O393" s="59" t="n"/>
      <c r="P393" s="62" t="n"/>
      <c r="Q393" s="63" t="n"/>
      <c r="R393" s="61">
        <f>IF($P393&gt;0,CHOOSE(MATCH($B$4,'Служебный лист'!$A$4:$A$8,0),I393,J393,K393,L393,M393),"")</f>
        <v/>
      </c>
      <c r="S393" s="61">
        <f>IFERROR($P393*$R393,0)</f>
        <v/>
      </c>
      <c r="T393" s="61">
        <f>$S393*1.22</f>
        <v/>
      </c>
      <c r="U393" s="64">
        <f>IF($P393&gt;0,COUNTIF($P$11:P393,"&gt;0"),"")</f>
        <v/>
      </c>
    </row>
    <row r="394" ht="14.25" customHeight="1" s="49">
      <c r="A394" s="58" t="n"/>
      <c r="B394" s="58" t="n"/>
      <c r="C394" s="59" t="n"/>
      <c r="D394" s="59" t="n"/>
      <c r="E394" s="59" t="n"/>
      <c r="F394" s="58" t="n"/>
      <c r="G394" s="60" t="n"/>
      <c r="H394" s="60" t="n"/>
      <c r="I394" s="61" t="n"/>
      <c r="J394" s="61" t="n"/>
      <c r="K394" s="61" t="n"/>
      <c r="L394" s="61" t="n"/>
      <c r="M394" s="61" t="n"/>
      <c r="N394" s="58" t="n"/>
      <c r="O394" s="59" t="n"/>
      <c r="P394" s="62" t="n"/>
      <c r="Q394" s="63" t="n"/>
      <c r="R394" s="61">
        <f>IF($P394&gt;0,CHOOSE(MATCH($B$4,'Служебный лист'!$A$4:$A$8,0),I394,J394,K394,L394,M394),"")</f>
        <v/>
      </c>
      <c r="S394" s="61">
        <f>IFERROR($P394*$R394,0)</f>
        <v/>
      </c>
      <c r="T394" s="61">
        <f>$S394*1.22</f>
        <v/>
      </c>
      <c r="U394" s="64">
        <f>IF($P394&gt;0,COUNTIF($P$11:P394,"&gt;0"),"")</f>
        <v/>
      </c>
    </row>
    <row r="395" ht="14.25" customHeight="1" s="49">
      <c r="A395" s="58" t="n"/>
      <c r="B395" s="58" t="n"/>
      <c r="C395" s="59" t="n"/>
      <c r="D395" s="59" t="n"/>
      <c r="E395" s="59" t="n"/>
      <c r="F395" s="58" t="n"/>
      <c r="G395" s="60" t="n"/>
      <c r="H395" s="60" t="n"/>
      <c r="I395" s="61" t="n"/>
      <c r="J395" s="61" t="n"/>
      <c r="K395" s="61" t="n"/>
      <c r="L395" s="61" t="n"/>
      <c r="M395" s="61" t="n"/>
      <c r="N395" s="58" t="n"/>
      <c r="O395" s="59" t="n"/>
      <c r="P395" s="62" t="n"/>
      <c r="Q395" s="63" t="n"/>
      <c r="R395" s="61">
        <f>IF($P395&gt;0,CHOOSE(MATCH($B$4,'Служебный лист'!$A$4:$A$8,0),I395,J395,K395,L395,M395),"")</f>
        <v/>
      </c>
      <c r="S395" s="61">
        <f>IFERROR($P395*$R395,0)</f>
        <v/>
      </c>
      <c r="T395" s="61">
        <f>$S395*1.22</f>
        <v/>
      </c>
      <c r="U395" s="64">
        <f>IF($P395&gt;0,COUNTIF($P$11:P395,"&gt;0"),"")</f>
        <v/>
      </c>
    </row>
    <row r="396" ht="14.25" customHeight="1" s="49">
      <c r="A396" s="58" t="n"/>
      <c r="B396" s="58" t="n"/>
      <c r="C396" s="59" t="n"/>
      <c r="D396" s="59" t="n"/>
      <c r="E396" s="59" t="n"/>
      <c r="F396" s="58" t="n"/>
      <c r="G396" s="60" t="n"/>
      <c r="H396" s="60" t="n"/>
      <c r="I396" s="61" t="n"/>
      <c r="J396" s="61" t="n"/>
      <c r="K396" s="61" t="n"/>
      <c r="L396" s="61" t="n"/>
      <c r="M396" s="61" t="n"/>
      <c r="N396" s="58" t="n"/>
      <c r="O396" s="59" t="n"/>
      <c r="P396" s="62" t="n"/>
      <c r="Q396" s="63" t="n"/>
      <c r="R396" s="61">
        <f>IF($P396&gt;0,CHOOSE(MATCH($B$4,'Служебный лист'!$A$4:$A$8,0),I396,J396,K396,L396,M396),"")</f>
        <v/>
      </c>
      <c r="S396" s="61">
        <f>IFERROR($P396*$R396,0)</f>
        <v/>
      </c>
      <c r="T396" s="61">
        <f>$S396*1.22</f>
        <v/>
      </c>
      <c r="U396" s="64">
        <f>IF($P396&gt;0,COUNTIF($P$11:P396,"&gt;0"),"")</f>
        <v/>
      </c>
    </row>
    <row r="397" ht="14.25" customHeight="1" s="49">
      <c r="A397" s="58" t="n"/>
      <c r="B397" s="58" t="n"/>
      <c r="C397" s="59" t="n"/>
      <c r="D397" s="59" t="n"/>
      <c r="E397" s="59" t="n"/>
      <c r="F397" s="58" t="n"/>
      <c r="G397" s="60" t="n"/>
      <c r="H397" s="60" t="n"/>
      <c r="I397" s="61" t="n"/>
      <c r="J397" s="61" t="n"/>
      <c r="K397" s="61" t="n"/>
      <c r="L397" s="61" t="n"/>
      <c r="M397" s="61" t="n"/>
      <c r="N397" s="58" t="n"/>
      <c r="O397" s="59" t="n"/>
      <c r="P397" s="62" t="n"/>
      <c r="Q397" s="63" t="n"/>
      <c r="R397" s="61">
        <f>IF($P397&gt;0,CHOOSE(MATCH($B$4,'Служебный лист'!$A$4:$A$8,0),I397,J397,K397,L397,M397),"")</f>
        <v/>
      </c>
      <c r="S397" s="61">
        <f>IFERROR($P397*$R397,0)</f>
        <v/>
      </c>
      <c r="T397" s="61">
        <f>$S397*1.22</f>
        <v/>
      </c>
      <c r="U397" s="64">
        <f>IF($P397&gt;0,COUNTIF($P$11:P397,"&gt;0"),"")</f>
        <v/>
      </c>
    </row>
    <row r="398" ht="14.25" customHeight="1" s="49">
      <c r="A398" s="58" t="n"/>
      <c r="B398" s="58" t="n"/>
      <c r="C398" s="59" t="n"/>
      <c r="D398" s="59" t="n"/>
      <c r="E398" s="59" t="n"/>
      <c r="F398" s="58" t="n"/>
      <c r="G398" s="60" t="n"/>
      <c r="H398" s="60" t="n"/>
      <c r="I398" s="61" t="n"/>
      <c r="J398" s="61" t="n"/>
      <c r="K398" s="61" t="n"/>
      <c r="L398" s="61" t="n"/>
      <c r="M398" s="61" t="n"/>
      <c r="N398" s="58" t="n"/>
      <c r="O398" s="59" t="n"/>
      <c r="P398" s="62" t="n"/>
      <c r="Q398" s="63" t="n"/>
      <c r="R398" s="61">
        <f>IF($P398&gt;0,CHOOSE(MATCH($B$4,'Служебный лист'!$A$4:$A$8,0),I398,J398,K398,L398,M398),"")</f>
        <v/>
      </c>
      <c r="S398" s="61">
        <f>IFERROR($P398*$R398,0)</f>
        <v/>
      </c>
      <c r="T398" s="61">
        <f>$S398*1.22</f>
        <v/>
      </c>
      <c r="U398" s="64">
        <f>IF($P398&gt;0,COUNTIF($P$11:P398,"&gt;0"),"")</f>
        <v/>
      </c>
    </row>
    <row r="399" ht="14.25" customHeight="1" s="49">
      <c r="A399" s="58" t="n"/>
      <c r="B399" s="58" t="n"/>
      <c r="C399" s="59" t="n"/>
      <c r="D399" s="59" t="n"/>
      <c r="E399" s="59" t="n"/>
      <c r="F399" s="58" t="n"/>
      <c r="G399" s="60" t="n"/>
      <c r="H399" s="60" t="n"/>
      <c r="I399" s="61" t="n"/>
      <c r="J399" s="61" t="n"/>
      <c r="K399" s="61" t="n"/>
      <c r="L399" s="61" t="n"/>
      <c r="M399" s="61" t="n"/>
      <c r="N399" s="58" t="n"/>
      <c r="O399" s="59" t="n"/>
      <c r="P399" s="62" t="n"/>
      <c r="Q399" s="63" t="n"/>
      <c r="R399" s="61">
        <f>IF($P399&gt;0,CHOOSE(MATCH($B$4,'Служебный лист'!$A$4:$A$8,0),I399,J399,K399,L399,M399),"")</f>
        <v/>
      </c>
      <c r="S399" s="61">
        <f>IFERROR($P399*$R399,0)</f>
        <v/>
      </c>
      <c r="T399" s="61">
        <f>$S399*1.22</f>
        <v/>
      </c>
      <c r="U399" s="64">
        <f>IF($P399&gt;0,COUNTIF($P$11:P399,"&gt;0"),"")</f>
        <v/>
      </c>
    </row>
    <row r="400" ht="14.25" customHeight="1" s="49">
      <c r="A400" s="58" t="n"/>
      <c r="B400" s="58" t="n"/>
      <c r="C400" s="59" t="n"/>
      <c r="D400" s="59" t="n"/>
      <c r="E400" s="59" t="n"/>
      <c r="F400" s="58" t="n"/>
      <c r="G400" s="60" t="n"/>
      <c r="H400" s="60" t="n"/>
      <c r="I400" s="61" t="n"/>
      <c r="J400" s="61" t="n"/>
      <c r="K400" s="61" t="n"/>
      <c r="L400" s="61" t="n"/>
      <c r="M400" s="61" t="n"/>
      <c r="N400" s="58" t="n"/>
      <c r="O400" s="59" t="n"/>
      <c r="P400" s="62" t="n"/>
      <c r="Q400" s="63" t="n"/>
      <c r="R400" s="61">
        <f>IF($P400&gt;0,CHOOSE(MATCH($B$4,'Служебный лист'!$A$4:$A$8,0),I400,J400,K400,L400,M400),"")</f>
        <v/>
      </c>
      <c r="S400" s="61">
        <f>IFERROR($P400*$R400,0)</f>
        <v/>
      </c>
      <c r="T400" s="61">
        <f>$S400*1.22</f>
        <v/>
      </c>
      <c r="U400" s="64">
        <f>IF($P400&gt;0,COUNTIF($P$11:P400,"&gt;0"),"")</f>
        <v/>
      </c>
    </row>
    <row r="401" ht="14.25" customHeight="1" s="49">
      <c r="A401" s="58" t="n"/>
      <c r="B401" s="58" t="n"/>
      <c r="C401" s="59" t="n"/>
      <c r="D401" s="59" t="n"/>
      <c r="E401" s="59" t="n"/>
      <c r="F401" s="58" t="n"/>
      <c r="G401" s="60" t="n"/>
      <c r="H401" s="60" t="n"/>
      <c r="I401" s="61" t="n"/>
      <c r="J401" s="61" t="n"/>
      <c r="K401" s="61" t="n"/>
      <c r="L401" s="61" t="n"/>
      <c r="M401" s="61" t="n"/>
      <c r="N401" s="58" t="n"/>
      <c r="O401" s="59" t="n"/>
      <c r="P401" s="62" t="n"/>
      <c r="Q401" s="63" t="n"/>
      <c r="R401" s="61">
        <f>IF($P401&gt;0,CHOOSE(MATCH($B$4,'Служебный лист'!$A$4:$A$8,0),I401,J401,K401,L401,M401),"")</f>
        <v/>
      </c>
      <c r="S401" s="61">
        <f>IFERROR($P401*$R401,0)</f>
        <v/>
      </c>
      <c r="T401" s="61">
        <f>$S401*1.22</f>
        <v/>
      </c>
      <c r="U401" s="64">
        <f>IF($P401&gt;0,COUNTIF($P$11:P401,"&gt;0"),"")</f>
        <v/>
      </c>
    </row>
    <row r="402" ht="14.25" customHeight="1" s="49">
      <c r="A402" s="58" t="n"/>
      <c r="B402" s="58" t="n"/>
      <c r="C402" s="59" t="n"/>
      <c r="D402" s="59" t="n"/>
      <c r="E402" s="59" t="n"/>
      <c r="F402" s="58" t="n"/>
      <c r="G402" s="60" t="n"/>
      <c r="H402" s="60" t="n"/>
      <c r="I402" s="61" t="n"/>
      <c r="J402" s="61" t="n"/>
      <c r="K402" s="61" t="n"/>
      <c r="L402" s="61" t="n"/>
      <c r="M402" s="61" t="n"/>
      <c r="N402" s="58" t="n"/>
      <c r="O402" s="59" t="n"/>
      <c r="P402" s="62" t="n"/>
      <c r="Q402" s="63" t="n"/>
      <c r="R402" s="61">
        <f>IF($P402&gt;0,CHOOSE(MATCH($B$4,'Служебный лист'!$A$4:$A$8,0),I402,J402,K402,L402,M402),"")</f>
        <v/>
      </c>
      <c r="S402" s="61">
        <f>IFERROR($P402*$R402,0)</f>
        <v/>
      </c>
      <c r="T402" s="61">
        <f>$S402*1.22</f>
        <v/>
      </c>
      <c r="U402" s="64">
        <f>IF($P402&gt;0,COUNTIF($P$11:P402,"&gt;0"),"")</f>
        <v/>
      </c>
    </row>
    <row r="403" ht="14.25" customHeight="1" s="49">
      <c r="A403" s="58" t="n"/>
      <c r="B403" s="58" t="n"/>
      <c r="C403" s="59" t="n"/>
      <c r="D403" s="59" t="n"/>
      <c r="E403" s="59" t="n"/>
      <c r="F403" s="58" t="n"/>
      <c r="G403" s="60" t="n"/>
      <c r="H403" s="60" t="n"/>
      <c r="I403" s="61" t="n"/>
      <c r="J403" s="61" t="n"/>
      <c r="K403" s="61" t="n"/>
      <c r="L403" s="61" t="n"/>
      <c r="M403" s="61" t="n"/>
      <c r="N403" s="58" t="n"/>
      <c r="O403" s="59" t="n"/>
      <c r="P403" s="62" t="n"/>
      <c r="Q403" s="63" t="n"/>
      <c r="R403" s="61">
        <f>IF($P403&gt;0,CHOOSE(MATCH($B$4,'Служебный лист'!$A$4:$A$8,0),I403,J403,K403,L403,M403),"")</f>
        <v/>
      </c>
      <c r="S403" s="61">
        <f>IFERROR($P403*$R403,0)</f>
        <v/>
      </c>
      <c r="T403" s="61">
        <f>$S403*1.22</f>
        <v/>
      </c>
      <c r="U403" s="64">
        <f>IF($P403&gt;0,COUNTIF($P$11:P403,"&gt;0"),"")</f>
        <v/>
      </c>
    </row>
    <row r="404" ht="14.25" customHeight="1" s="49">
      <c r="A404" s="58" t="n"/>
      <c r="B404" s="58" t="n"/>
      <c r="C404" s="59" t="n"/>
      <c r="D404" s="59" t="n"/>
      <c r="E404" s="59" t="n"/>
      <c r="F404" s="58" t="n"/>
      <c r="G404" s="60" t="n"/>
      <c r="H404" s="60" t="n"/>
      <c r="I404" s="61" t="n"/>
      <c r="J404" s="61" t="n"/>
      <c r="K404" s="61" t="n"/>
      <c r="L404" s="61" t="n"/>
      <c r="M404" s="61" t="n"/>
      <c r="N404" s="58" t="n"/>
      <c r="O404" s="59" t="n"/>
      <c r="P404" s="62" t="n"/>
      <c r="Q404" s="63" t="n"/>
      <c r="R404" s="61">
        <f>IF($P404&gt;0,CHOOSE(MATCH($B$4,'Служебный лист'!$A$4:$A$8,0),I404,J404,K404,L404,M404),"")</f>
        <v/>
      </c>
      <c r="S404" s="61">
        <f>IFERROR($P404*$R404,0)</f>
        <v/>
      </c>
      <c r="T404" s="61">
        <f>$S404*1.22</f>
        <v/>
      </c>
      <c r="U404" s="64">
        <f>IF($P404&gt;0,COUNTIF($P$11:P404,"&gt;0"),"")</f>
        <v/>
      </c>
    </row>
    <row r="405" ht="14.25" customHeight="1" s="49">
      <c r="A405" s="58" t="n"/>
      <c r="B405" s="58" t="n"/>
      <c r="C405" s="59" t="n"/>
      <c r="D405" s="59" t="n"/>
      <c r="E405" s="59" t="n"/>
      <c r="F405" s="58" t="n"/>
      <c r="G405" s="60" t="n"/>
      <c r="H405" s="60" t="n"/>
      <c r="I405" s="61" t="n"/>
      <c r="J405" s="61" t="n"/>
      <c r="K405" s="61" t="n"/>
      <c r="L405" s="61" t="n"/>
      <c r="M405" s="61" t="n"/>
      <c r="N405" s="58" t="n"/>
      <c r="O405" s="59" t="n"/>
      <c r="P405" s="62" t="n"/>
      <c r="Q405" s="63" t="n"/>
      <c r="R405" s="61">
        <f>IF($P405&gt;0,CHOOSE(MATCH($B$4,'Служебный лист'!$A$4:$A$8,0),I405,J405,K405,L405,M405),"")</f>
        <v/>
      </c>
      <c r="S405" s="61">
        <f>IFERROR($P405*$R405,0)</f>
        <v/>
      </c>
      <c r="T405" s="61">
        <f>$S405*1.22</f>
        <v/>
      </c>
      <c r="U405" s="64">
        <f>IF($P405&gt;0,COUNTIF($P$11:P405,"&gt;0"),"")</f>
        <v/>
      </c>
    </row>
    <row r="406" ht="14.25" customHeight="1" s="49">
      <c r="A406" s="58" t="n"/>
      <c r="B406" s="58" t="n"/>
      <c r="C406" s="59" t="n"/>
      <c r="D406" s="59" t="n"/>
      <c r="E406" s="59" t="n"/>
      <c r="F406" s="58" t="n"/>
      <c r="G406" s="60" t="n"/>
      <c r="H406" s="60" t="n"/>
      <c r="I406" s="61" t="n"/>
      <c r="J406" s="61" t="n"/>
      <c r="K406" s="61" t="n"/>
      <c r="L406" s="61" t="n"/>
      <c r="M406" s="61" t="n"/>
      <c r="N406" s="58" t="n"/>
      <c r="O406" s="59" t="n"/>
      <c r="P406" s="62" t="n"/>
      <c r="Q406" s="63" t="n"/>
      <c r="R406" s="61">
        <f>IF($P406&gt;0,CHOOSE(MATCH($B$4,'Служебный лист'!$A$4:$A$8,0),I406,J406,K406,L406,M406),"")</f>
        <v/>
      </c>
      <c r="S406" s="61">
        <f>IFERROR($P406*$R406,0)</f>
        <v/>
      </c>
      <c r="T406" s="61">
        <f>$S406*1.22</f>
        <v/>
      </c>
      <c r="U406" s="64">
        <f>IF($P406&gt;0,COUNTIF($P$11:P406,"&gt;0"),"")</f>
        <v/>
      </c>
    </row>
    <row r="407" ht="14.25" customHeight="1" s="49">
      <c r="A407" s="58" t="n"/>
      <c r="B407" s="58" t="n"/>
      <c r="C407" s="59" t="n"/>
      <c r="D407" s="59" t="n"/>
      <c r="E407" s="59" t="n"/>
      <c r="F407" s="58" t="n"/>
      <c r="G407" s="60" t="n"/>
      <c r="H407" s="60" t="n"/>
      <c r="I407" s="61" t="n"/>
      <c r="J407" s="61" t="n"/>
      <c r="K407" s="61" t="n"/>
      <c r="L407" s="61" t="n"/>
      <c r="M407" s="61" t="n"/>
      <c r="N407" s="58" t="n"/>
      <c r="O407" s="59" t="n"/>
      <c r="P407" s="62" t="n"/>
      <c r="Q407" s="63" t="n"/>
      <c r="R407" s="61">
        <f>IF($P407&gt;0,CHOOSE(MATCH($B$4,'Служебный лист'!$A$4:$A$8,0),I407,J407,K407,L407,M407),"")</f>
        <v/>
      </c>
      <c r="S407" s="61">
        <f>IFERROR($P407*$R407,0)</f>
        <v/>
      </c>
      <c r="T407" s="61">
        <f>$S407*1.22</f>
        <v/>
      </c>
      <c r="U407" s="64">
        <f>IF($P407&gt;0,COUNTIF($P$11:P407,"&gt;0"),"")</f>
        <v/>
      </c>
    </row>
    <row r="408" ht="14.25" customHeight="1" s="49">
      <c r="A408" s="58" t="n"/>
      <c r="B408" s="58" t="n"/>
      <c r="C408" s="59" t="n"/>
      <c r="D408" s="59" t="n"/>
      <c r="E408" s="59" t="n"/>
      <c r="F408" s="58" t="n"/>
      <c r="G408" s="60" t="n"/>
      <c r="H408" s="60" t="n"/>
      <c r="I408" s="61" t="n"/>
      <c r="J408" s="61" t="n"/>
      <c r="K408" s="61" t="n"/>
      <c r="L408" s="61" t="n"/>
      <c r="M408" s="61" t="n"/>
      <c r="N408" s="58" t="n"/>
      <c r="O408" s="59" t="n"/>
      <c r="P408" s="62" t="n"/>
      <c r="Q408" s="63" t="n"/>
      <c r="R408" s="61">
        <f>IF($P408&gt;0,CHOOSE(MATCH($B$4,'Служебный лист'!$A$4:$A$8,0),I408,J408,K408,L408,M408),"")</f>
        <v/>
      </c>
      <c r="S408" s="61">
        <f>IFERROR($P408*$R408,0)</f>
        <v/>
      </c>
      <c r="T408" s="61">
        <f>$S408*1.22</f>
        <v/>
      </c>
      <c r="U408" s="64">
        <f>IF($P408&gt;0,COUNTIF($P$11:P408,"&gt;0"),"")</f>
        <v/>
      </c>
    </row>
    <row r="409" ht="14.25" customHeight="1" s="49">
      <c r="A409" s="58" t="n"/>
      <c r="B409" s="58" t="n"/>
      <c r="C409" s="59" t="n"/>
      <c r="D409" s="59" t="n"/>
      <c r="E409" s="59" t="n"/>
      <c r="F409" s="58" t="n"/>
      <c r="G409" s="60" t="n"/>
      <c r="H409" s="60" t="n"/>
      <c r="I409" s="61" t="n"/>
      <c r="J409" s="61" t="n"/>
      <c r="K409" s="61" t="n"/>
      <c r="L409" s="61" t="n"/>
      <c r="M409" s="61" t="n"/>
      <c r="N409" s="58" t="n"/>
      <c r="O409" s="59" t="n"/>
      <c r="P409" s="62" t="n"/>
      <c r="Q409" s="63" t="n"/>
      <c r="R409" s="61">
        <f>IF($P409&gt;0,CHOOSE(MATCH($B$4,'Служебный лист'!$A$4:$A$8,0),I409,J409,K409,L409,M409),"")</f>
        <v/>
      </c>
      <c r="S409" s="61">
        <f>IFERROR($P409*$R409,0)</f>
        <v/>
      </c>
      <c r="T409" s="61">
        <f>$S409*1.22</f>
        <v/>
      </c>
      <c r="U409" s="64">
        <f>IF($P409&gt;0,COUNTIF($P$11:P409,"&gt;0"),"")</f>
        <v/>
      </c>
    </row>
    <row r="410" ht="14.25" customHeight="1" s="49">
      <c r="A410" s="58" t="n"/>
      <c r="B410" s="58" t="n"/>
      <c r="C410" s="59" t="n"/>
      <c r="D410" s="59" t="n"/>
      <c r="E410" s="59" t="n"/>
      <c r="F410" s="58" t="n"/>
      <c r="G410" s="60" t="n"/>
      <c r="H410" s="60" t="n"/>
      <c r="I410" s="61" t="n"/>
      <c r="J410" s="61" t="n"/>
      <c r="K410" s="61" t="n"/>
      <c r="L410" s="61" t="n"/>
      <c r="M410" s="61" t="n"/>
      <c r="N410" s="58" t="n"/>
      <c r="O410" s="59" t="n"/>
      <c r="P410" s="62" t="n"/>
      <c r="Q410" s="63" t="n"/>
      <c r="R410" s="61">
        <f>IF($P410&gt;0,CHOOSE(MATCH($B$4,'Служебный лист'!$A$4:$A$8,0),I410,J410,K410,L410,M410),"")</f>
        <v/>
      </c>
      <c r="S410" s="61">
        <f>IFERROR($P410*$R410,0)</f>
        <v/>
      </c>
      <c r="T410" s="61">
        <f>$S410*1.22</f>
        <v/>
      </c>
      <c r="U410" s="64">
        <f>IF($P410&gt;0,COUNTIF($P$11:P410,"&gt;0"),"")</f>
        <v/>
      </c>
    </row>
    <row r="411" ht="14.25" customHeight="1" s="49">
      <c r="A411" s="58" t="n"/>
      <c r="B411" s="58" t="n"/>
      <c r="C411" s="59" t="n"/>
      <c r="D411" s="59" t="n"/>
      <c r="E411" s="59" t="n"/>
      <c r="F411" s="58" t="n"/>
      <c r="G411" s="60" t="n"/>
      <c r="H411" s="60" t="n"/>
      <c r="I411" s="61" t="n"/>
      <c r="J411" s="61" t="n"/>
      <c r="K411" s="61" t="n"/>
      <c r="L411" s="61" t="n"/>
      <c r="M411" s="61" t="n"/>
      <c r="N411" s="58" t="n"/>
      <c r="O411" s="59" t="n"/>
      <c r="P411" s="62" t="n"/>
      <c r="Q411" s="63" t="n"/>
      <c r="R411" s="61">
        <f>IF($P411&gt;0,CHOOSE(MATCH($B$4,'Служебный лист'!$A$4:$A$8,0),I411,J411,K411,L411,M411),"")</f>
        <v/>
      </c>
      <c r="S411" s="61">
        <f>IFERROR($P411*$R411,0)</f>
        <v/>
      </c>
      <c r="T411" s="61">
        <f>$S411*1.22</f>
        <v/>
      </c>
      <c r="U411" s="64">
        <f>IF($P411&gt;0,COUNTIF($P$11:P411,"&gt;0"),"")</f>
        <v/>
      </c>
    </row>
    <row r="412" ht="14.25" customHeight="1" s="49">
      <c r="A412" s="58" t="n"/>
      <c r="B412" s="58" t="n"/>
      <c r="C412" s="59" t="n"/>
      <c r="D412" s="59" t="n"/>
      <c r="E412" s="59" t="n"/>
      <c r="F412" s="58" t="n"/>
      <c r="G412" s="60" t="n"/>
      <c r="H412" s="60" t="n"/>
      <c r="I412" s="61" t="n"/>
      <c r="J412" s="61" t="n"/>
      <c r="K412" s="61" t="n"/>
      <c r="L412" s="61" t="n"/>
      <c r="M412" s="61" t="n"/>
      <c r="N412" s="58" t="n"/>
      <c r="O412" s="59" t="n"/>
      <c r="P412" s="62" t="n"/>
      <c r="Q412" s="63" t="n"/>
      <c r="R412" s="61">
        <f>IF($P412&gt;0,CHOOSE(MATCH($B$4,'Служебный лист'!$A$4:$A$8,0),I412,J412,K412,L412,M412),"")</f>
        <v/>
      </c>
      <c r="S412" s="61">
        <f>IFERROR($P412*$R412,0)</f>
        <v/>
      </c>
      <c r="T412" s="61">
        <f>$S412*1.22</f>
        <v/>
      </c>
      <c r="U412" s="64">
        <f>IF($P412&gt;0,COUNTIF($P$11:P412,"&gt;0"),"")</f>
        <v/>
      </c>
    </row>
    <row r="413" ht="14.25" customHeight="1" s="49">
      <c r="A413" s="58" t="n"/>
      <c r="B413" s="58" t="n"/>
      <c r="C413" s="59" t="n"/>
      <c r="D413" s="59" t="n"/>
      <c r="E413" s="59" t="n"/>
      <c r="F413" s="58" t="n"/>
      <c r="G413" s="60" t="n"/>
      <c r="H413" s="60" t="n"/>
      <c r="I413" s="61" t="n"/>
      <c r="J413" s="61" t="n"/>
      <c r="K413" s="61" t="n"/>
      <c r="L413" s="61" t="n"/>
      <c r="M413" s="61" t="n"/>
      <c r="N413" s="58" t="n"/>
      <c r="O413" s="59" t="n"/>
      <c r="P413" s="62" t="n"/>
      <c r="Q413" s="63" t="n"/>
      <c r="R413" s="61">
        <f>IF($P413&gt;0,CHOOSE(MATCH($B$4,'Служебный лист'!$A$4:$A$8,0),I413,J413,K413,L413,M413),"")</f>
        <v/>
      </c>
      <c r="S413" s="61">
        <f>IFERROR($P413*$R413,0)</f>
        <v/>
      </c>
      <c r="T413" s="61">
        <f>$S413*1.22</f>
        <v/>
      </c>
      <c r="U413" s="64">
        <f>IF($P413&gt;0,COUNTIF($P$11:P413,"&gt;0"),"")</f>
        <v/>
      </c>
    </row>
    <row r="414" ht="14.25" customHeight="1" s="49">
      <c r="A414" s="58" t="n"/>
      <c r="B414" s="58" t="n"/>
      <c r="C414" s="59" t="n"/>
      <c r="D414" s="59" t="n"/>
      <c r="E414" s="59" t="n"/>
      <c r="F414" s="58" t="n"/>
      <c r="G414" s="60" t="n"/>
      <c r="H414" s="60" t="n"/>
      <c r="I414" s="61" t="n"/>
      <c r="J414" s="61" t="n"/>
      <c r="K414" s="61" t="n"/>
      <c r="L414" s="61" t="n"/>
      <c r="M414" s="61" t="n"/>
      <c r="N414" s="58" t="n"/>
      <c r="O414" s="59" t="n"/>
      <c r="P414" s="62" t="n"/>
      <c r="Q414" s="63" t="n"/>
      <c r="R414" s="61">
        <f>IF($P414&gt;0,CHOOSE(MATCH($B$4,'Служебный лист'!$A$4:$A$8,0),I414,J414,K414,L414,M414),"")</f>
        <v/>
      </c>
      <c r="S414" s="61">
        <f>IFERROR($P414*$R414,0)</f>
        <v/>
      </c>
      <c r="T414" s="61">
        <f>$S414*1.22</f>
        <v/>
      </c>
      <c r="U414" s="64">
        <f>IF($P414&gt;0,COUNTIF($P$11:P414,"&gt;0"),"")</f>
        <v/>
      </c>
    </row>
    <row r="415" ht="14.25" customHeight="1" s="49">
      <c r="A415" s="58" t="n"/>
      <c r="B415" s="58" t="n"/>
      <c r="C415" s="59" t="n"/>
      <c r="D415" s="59" t="n"/>
      <c r="E415" s="59" t="n"/>
      <c r="F415" s="58" t="n"/>
      <c r="G415" s="60" t="n"/>
      <c r="H415" s="60" t="n"/>
      <c r="I415" s="61" t="n"/>
      <c r="J415" s="61" t="n"/>
      <c r="K415" s="61" t="n"/>
      <c r="L415" s="61" t="n"/>
      <c r="M415" s="61" t="n"/>
      <c r="N415" s="58" t="n"/>
      <c r="O415" s="59" t="n"/>
      <c r="P415" s="62" t="n"/>
      <c r="Q415" s="63" t="n"/>
      <c r="R415" s="61">
        <f>IF($P415&gt;0,CHOOSE(MATCH($B$4,'Служебный лист'!$A$4:$A$8,0),I415,J415,K415,L415,M415),"")</f>
        <v/>
      </c>
      <c r="S415" s="61">
        <f>IFERROR($P415*$R415,0)</f>
        <v/>
      </c>
      <c r="T415" s="61">
        <f>$S415*1.22</f>
        <v/>
      </c>
      <c r="U415" s="64">
        <f>IF($P415&gt;0,COUNTIF($P$11:P415,"&gt;0"),"")</f>
        <v/>
      </c>
    </row>
    <row r="416" ht="14.25" customHeight="1" s="49">
      <c r="A416" s="58" t="n"/>
      <c r="B416" s="58" t="n"/>
      <c r="C416" s="59" t="n"/>
      <c r="D416" s="59" t="n"/>
      <c r="E416" s="59" t="n"/>
      <c r="F416" s="58" t="n"/>
      <c r="G416" s="60" t="n"/>
      <c r="H416" s="60" t="n"/>
      <c r="I416" s="61" t="n"/>
      <c r="J416" s="61" t="n"/>
      <c r="K416" s="61" t="n"/>
      <c r="L416" s="61" t="n"/>
      <c r="M416" s="61" t="n"/>
      <c r="N416" s="58" t="n"/>
      <c r="O416" s="59" t="n"/>
      <c r="P416" s="62" t="n"/>
      <c r="Q416" s="63" t="n"/>
      <c r="R416" s="61">
        <f>IF($P416&gt;0,CHOOSE(MATCH($B$4,'Служебный лист'!$A$4:$A$8,0),I416,J416,K416,L416,M416),"")</f>
        <v/>
      </c>
      <c r="S416" s="61">
        <f>IFERROR($P416*$R416,0)</f>
        <v/>
      </c>
      <c r="T416" s="61">
        <f>$S416*1.22</f>
        <v/>
      </c>
      <c r="U416" s="64">
        <f>IF($P416&gt;0,COUNTIF($P$11:P416,"&gt;0"),"")</f>
        <v/>
      </c>
    </row>
    <row r="417" ht="14.25" customHeight="1" s="49">
      <c r="A417" s="58" t="n"/>
      <c r="B417" s="58" t="n"/>
      <c r="C417" s="59" t="n"/>
      <c r="D417" s="59" t="n"/>
      <c r="E417" s="59" t="n"/>
      <c r="F417" s="58" t="n"/>
      <c r="G417" s="60" t="n"/>
      <c r="H417" s="60" t="n"/>
      <c r="I417" s="61" t="n"/>
      <c r="J417" s="61" t="n"/>
      <c r="K417" s="61" t="n"/>
      <c r="L417" s="61" t="n"/>
      <c r="M417" s="61" t="n"/>
      <c r="N417" s="58" t="n"/>
      <c r="O417" s="59" t="n"/>
      <c r="P417" s="62" t="n"/>
      <c r="Q417" s="63" t="n"/>
      <c r="R417" s="61">
        <f>IF($P417&gt;0,CHOOSE(MATCH($B$4,'Служебный лист'!$A$4:$A$8,0),I417,J417,K417,L417,M417),"")</f>
        <v/>
      </c>
      <c r="S417" s="61">
        <f>IFERROR($P417*$R417,0)</f>
        <v/>
      </c>
      <c r="T417" s="61">
        <f>$S417*1.22</f>
        <v/>
      </c>
      <c r="U417" s="64">
        <f>IF($P417&gt;0,COUNTIF($P$11:P417,"&gt;0"),"")</f>
        <v/>
      </c>
    </row>
    <row r="418" ht="14.25" customHeight="1" s="49">
      <c r="A418" s="58" t="n"/>
      <c r="B418" s="58" t="n"/>
      <c r="C418" s="59" t="n"/>
      <c r="D418" s="59" t="n"/>
      <c r="E418" s="59" t="n"/>
      <c r="F418" s="58" t="n"/>
      <c r="G418" s="60" t="n"/>
      <c r="H418" s="60" t="n"/>
      <c r="I418" s="61" t="n"/>
      <c r="J418" s="61" t="n"/>
      <c r="K418" s="61" t="n"/>
      <c r="L418" s="61" t="n"/>
      <c r="M418" s="61" t="n"/>
      <c r="N418" s="58" t="n"/>
      <c r="O418" s="59" t="n"/>
      <c r="P418" s="62" t="n"/>
      <c r="Q418" s="63" t="n"/>
      <c r="R418" s="61">
        <f>IF($P418&gt;0,CHOOSE(MATCH($B$4,'Служебный лист'!$A$4:$A$8,0),I418,J418,K418,L418,M418),"")</f>
        <v/>
      </c>
      <c r="S418" s="61">
        <f>IFERROR($P418*$R418,0)</f>
        <v/>
      </c>
      <c r="T418" s="61">
        <f>$S418*1.22</f>
        <v/>
      </c>
      <c r="U418" s="64">
        <f>IF($P418&gt;0,COUNTIF($P$11:P418,"&gt;0"),"")</f>
        <v/>
      </c>
    </row>
    <row r="419" ht="14.25" customHeight="1" s="49">
      <c r="A419" s="58" t="n"/>
      <c r="B419" s="58" t="n"/>
      <c r="C419" s="59" t="n"/>
      <c r="D419" s="59" t="n"/>
      <c r="E419" s="59" t="n"/>
      <c r="F419" s="58" t="n"/>
      <c r="G419" s="60" t="n"/>
      <c r="H419" s="60" t="n"/>
      <c r="I419" s="61" t="n"/>
      <c r="J419" s="61" t="n"/>
      <c r="K419" s="61" t="n"/>
      <c r="L419" s="61" t="n"/>
      <c r="M419" s="61" t="n"/>
      <c r="N419" s="58" t="n"/>
      <c r="O419" s="59" t="n"/>
      <c r="P419" s="62" t="n"/>
      <c r="Q419" s="63" t="n"/>
      <c r="R419" s="61">
        <f>IF($P419&gt;0,CHOOSE(MATCH($B$4,'Служебный лист'!$A$4:$A$8,0),I419,J419,K419,L419,M419),"")</f>
        <v/>
      </c>
      <c r="S419" s="61">
        <f>IFERROR($P419*$R419,0)</f>
        <v/>
      </c>
      <c r="T419" s="61">
        <f>$S419*1.22</f>
        <v/>
      </c>
      <c r="U419" s="64">
        <f>IF($P419&gt;0,COUNTIF($P$11:P419,"&gt;0"),"")</f>
        <v/>
      </c>
    </row>
    <row r="420" ht="14.25" customHeight="1" s="49">
      <c r="A420" s="58" t="n"/>
      <c r="B420" s="58" t="n"/>
      <c r="C420" s="59" t="n"/>
      <c r="D420" s="59" t="n"/>
      <c r="E420" s="59" t="n"/>
      <c r="F420" s="58" t="n"/>
      <c r="G420" s="60" t="n"/>
      <c r="H420" s="60" t="n"/>
      <c r="I420" s="61" t="n"/>
      <c r="J420" s="61" t="n"/>
      <c r="K420" s="61" t="n"/>
      <c r="L420" s="61" t="n"/>
      <c r="M420" s="61" t="n"/>
      <c r="N420" s="58" t="n"/>
      <c r="O420" s="59" t="n"/>
      <c r="P420" s="62" t="n"/>
      <c r="Q420" s="63" t="n"/>
      <c r="R420" s="61">
        <f>IF($P420&gt;0,CHOOSE(MATCH($B$4,'Служебный лист'!$A$4:$A$8,0),I420,J420,K420,L420,M420),"")</f>
        <v/>
      </c>
      <c r="S420" s="61">
        <f>IFERROR($P420*$R420,0)</f>
        <v/>
      </c>
      <c r="T420" s="61">
        <f>$S420*1.22</f>
        <v/>
      </c>
      <c r="U420" s="64">
        <f>IF($P420&gt;0,COUNTIF($P$11:P420,"&gt;0"),"")</f>
        <v/>
      </c>
    </row>
    <row r="421" ht="14.25" customHeight="1" s="49">
      <c r="A421" s="58" t="n"/>
      <c r="B421" s="58" t="n"/>
      <c r="C421" s="59" t="n"/>
      <c r="D421" s="59" t="n"/>
      <c r="E421" s="59" t="n"/>
      <c r="F421" s="58" t="n"/>
      <c r="G421" s="60" t="n"/>
      <c r="H421" s="60" t="n"/>
      <c r="I421" s="61" t="n"/>
      <c r="J421" s="61" t="n"/>
      <c r="K421" s="61" t="n"/>
      <c r="L421" s="61" t="n"/>
      <c r="M421" s="61" t="n"/>
      <c r="N421" s="58" t="n"/>
      <c r="O421" s="59" t="n"/>
      <c r="P421" s="62" t="n"/>
      <c r="Q421" s="63" t="n"/>
      <c r="R421" s="61">
        <f>IF($P421&gt;0,CHOOSE(MATCH($B$4,'Служебный лист'!$A$4:$A$8,0),I421,J421,K421,L421,M421),"")</f>
        <v/>
      </c>
      <c r="S421" s="61">
        <f>IFERROR($P421*$R421,0)</f>
        <v/>
      </c>
      <c r="T421" s="61">
        <f>$S421*1.22</f>
        <v/>
      </c>
      <c r="U421" s="64">
        <f>IF($P421&gt;0,COUNTIF($P$11:P421,"&gt;0"),"")</f>
        <v/>
      </c>
    </row>
    <row r="422" ht="14.25" customHeight="1" s="49">
      <c r="A422" s="58" t="n"/>
      <c r="B422" s="58" t="n"/>
      <c r="C422" s="59" t="n"/>
      <c r="D422" s="59" t="n"/>
      <c r="E422" s="59" t="n"/>
      <c r="F422" s="58" t="n"/>
      <c r="G422" s="60" t="n"/>
      <c r="H422" s="60" t="n"/>
      <c r="I422" s="61" t="n"/>
      <c r="J422" s="61" t="n"/>
      <c r="K422" s="61" t="n"/>
      <c r="L422" s="61" t="n"/>
      <c r="M422" s="61" t="n"/>
      <c r="N422" s="58" t="n"/>
      <c r="O422" s="59" t="n"/>
      <c r="P422" s="62" t="n"/>
      <c r="Q422" s="63" t="n"/>
      <c r="R422" s="61">
        <f>IF($P422&gt;0,CHOOSE(MATCH($B$4,'Служебный лист'!$A$4:$A$8,0),I422,J422,K422,L422,M422),"")</f>
        <v/>
      </c>
      <c r="S422" s="61">
        <f>IFERROR($P422*$R422,0)</f>
        <v/>
      </c>
      <c r="T422" s="61">
        <f>$S422*1.22</f>
        <v/>
      </c>
      <c r="U422" s="64">
        <f>IF($P422&gt;0,COUNTIF($P$11:P422,"&gt;0"),"")</f>
        <v/>
      </c>
    </row>
    <row r="423" ht="14.25" customHeight="1" s="49">
      <c r="A423" s="58" t="n"/>
      <c r="B423" s="58" t="n"/>
      <c r="C423" s="59" t="n"/>
      <c r="D423" s="59" t="n"/>
      <c r="E423" s="59" t="n"/>
      <c r="F423" s="58" t="n"/>
      <c r="G423" s="60" t="n"/>
      <c r="H423" s="60" t="n"/>
      <c r="I423" s="61" t="n"/>
      <c r="J423" s="61" t="n"/>
      <c r="K423" s="61" t="n"/>
      <c r="L423" s="61" t="n"/>
      <c r="M423" s="61" t="n"/>
      <c r="N423" s="58" t="n"/>
      <c r="O423" s="59" t="n"/>
      <c r="P423" s="62" t="n"/>
      <c r="Q423" s="63" t="n"/>
      <c r="R423" s="61">
        <f>IF($P423&gt;0,CHOOSE(MATCH($B$4,'Служебный лист'!$A$4:$A$8,0),I423,J423,K423,L423,M423),"")</f>
        <v/>
      </c>
      <c r="S423" s="61">
        <f>IFERROR($P423*$R423,0)</f>
        <v/>
      </c>
      <c r="T423" s="61">
        <f>$S423*1.22</f>
        <v/>
      </c>
      <c r="U423" s="64">
        <f>IF($P423&gt;0,COUNTIF($P$11:P423,"&gt;0"),"")</f>
        <v/>
      </c>
    </row>
    <row r="424" ht="14.25" customHeight="1" s="49">
      <c r="A424" s="58" t="n"/>
      <c r="B424" s="58" t="n"/>
      <c r="C424" s="59" t="n"/>
      <c r="D424" s="59" t="n"/>
      <c r="E424" s="59" t="n"/>
      <c r="F424" s="58" t="n"/>
      <c r="G424" s="60" t="n"/>
      <c r="H424" s="60" t="n"/>
      <c r="I424" s="61" t="n"/>
      <c r="J424" s="61" t="n"/>
      <c r="K424" s="61" t="n"/>
      <c r="L424" s="61" t="n"/>
      <c r="M424" s="61" t="n"/>
      <c r="N424" s="58" t="n"/>
      <c r="O424" s="59" t="n"/>
      <c r="P424" s="62" t="n"/>
      <c r="Q424" s="63" t="n"/>
      <c r="R424" s="61">
        <f>IF($P424&gt;0,CHOOSE(MATCH($B$4,'Служебный лист'!$A$4:$A$8,0),I424,J424,K424,L424,M424),"")</f>
        <v/>
      </c>
      <c r="S424" s="61">
        <f>IFERROR($P424*$R424,0)</f>
        <v/>
      </c>
      <c r="T424" s="61">
        <f>$S424*1.22</f>
        <v/>
      </c>
      <c r="U424" s="64">
        <f>IF($P424&gt;0,COUNTIF($P$11:P424,"&gt;0"),"")</f>
        <v/>
      </c>
    </row>
    <row r="425" ht="14.25" customHeight="1" s="49">
      <c r="A425" s="58" t="n"/>
      <c r="B425" s="58" t="n"/>
      <c r="C425" s="59" t="n"/>
      <c r="D425" s="59" t="n"/>
      <c r="E425" s="59" t="n"/>
      <c r="F425" s="58" t="n"/>
      <c r="G425" s="60" t="n"/>
      <c r="H425" s="60" t="n"/>
      <c r="I425" s="61" t="n"/>
      <c r="J425" s="61" t="n"/>
      <c r="K425" s="61" t="n"/>
      <c r="L425" s="61" t="n"/>
      <c r="M425" s="61" t="n"/>
      <c r="N425" s="58" t="n"/>
      <c r="O425" s="59" t="n"/>
      <c r="P425" s="62" t="n"/>
      <c r="Q425" s="63" t="n"/>
      <c r="R425" s="61">
        <f>IF($P425&gt;0,CHOOSE(MATCH($B$4,'Служебный лист'!$A$4:$A$8,0),I425,J425,K425,L425,M425),"")</f>
        <v/>
      </c>
      <c r="S425" s="61">
        <f>IFERROR($P425*$R425,0)</f>
        <v/>
      </c>
      <c r="T425" s="61">
        <f>$S425*1.22</f>
        <v/>
      </c>
      <c r="U425" s="64">
        <f>IF($P425&gt;0,COUNTIF($P$11:P425,"&gt;0"),"")</f>
        <v/>
      </c>
    </row>
    <row r="426" ht="14.25" customHeight="1" s="49">
      <c r="A426" s="58" t="n"/>
      <c r="B426" s="58" t="n"/>
      <c r="C426" s="59" t="n"/>
      <c r="D426" s="59" t="n"/>
      <c r="E426" s="59" t="n"/>
      <c r="F426" s="58" t="n"/>
      <c r="G426" s="60" t="n"/>
      <c r="H426" s="60" t="n"/>
      <c r="I426" s="61" t="n"/>
      <c r="J426" s="61" t="n"/>
      <c r="K426" s="61" t="n"/>
      <c r="L426" s="61" t="n"/>
      <c r="M426" s="61" t="n"/>
      <c r="N426" s="58" t="n"/>
      <c r="O426" s="59" t="n"/>
      <c r="P426" s="62" t="n"/>
      <c r="Q426" s="63" t="n"/>
      <c r="R426" s="61">
        <f>IF($P426&gt;0,CHOOSE(MATCH($B$4,'Служебный лист'!$A$4:$A$8,0),I426,J426,K426,L426,M426),"")</f>
        <v/>
      </c>
      <c r="S426" s="61">
        <f>IFERROR($P426*$R426,0)</f>
        <v/>
      </c>
      <c r="T426" s="61">
        <f>$S426*1.22</f>
        <v/>
      </c>
      <c r="U426" s="64">
        <f>IF($P426&gt;0,COUNTIF($P$11:P426,"&gt;0"),"")</f>
        <v/>
      </c>
    </row>
    <row r="427" ht="14.25" customHeight="1" s="49">
      <c r="A427" s="58" t="n"/>
      <c r="B427" s="58" t="n"/>
      <c r="C427" s="59" t="n"/>
      <c r="D427" s="59" t="n"/>
      <c r="E427" s="59" t="n"/>
      <c r="F427" s="58" t="n"/>
      <c r="G427" s="60" t="n"/>
      <c r="H427" s="60" t="n"/>
      <c r="I427" s="61" t="n"/>
      <c r="J427" s="61" t="n"/>
      <c r="K427" s="61" t="n"/>
      <c r="L427" s="61" t="n"/>
      <c r="M427" s="61" t="n"/>
      <c r="N427" s="58" t="n"/>
      <c r="O427" s="59" t="n"/>
      <c r="P427" s="62" t="n"/>
      <c r="Q427" s="63" t="n"/>
      <c r="R427" s="61">
        <f>IF($P427&gt;0,CHOOSE(MATCH($B$4,'Служебный лист'!$A$4:$A$8,0),I427,J427,K427,L427,M427),"")</f>
        <v/>
      </c>
      <c r="S427" s="61">
        <f>IFERROR($P427*$R427,0)</f>
        <v/>
      </c>
      <c r="T427" s="61">
        <f>$S427*1.22</f>
        <v/>
      </c>
      <c r="U427" s="64">
        <f>IF($P427&gt;0,COUNTIF($P$11:P427,"&gt;0"),"")</f>
        <v/>
      </c>
    </row>
    <row r="428" ht="14.25" customHeight="1" s="49">
      <c r="A428" s="58" t="n"/>
      <c r="B428" s="58" t="n"/>
      <c r="C428" s="59" t="n"/>
      <c r="D428" s="59" t="n"/>
      <c r="E428" s="59" t="n"/>
      <c r="F428" s="58" t="n"/>
      <c r="G428" s="60" t="n"/>
      <c r="H428" s="60" t="n"/>
      <c r="I428" s="61" t="n"/>
      <c r="J428" s="61" t="n"/>
      <c r="K428" s="61" t="n"/>
      <c r="L428" s="61" t="n"/>
      <c r="M428" s="61" t="n"/>
      <c r="N428" s="58" t="n"/>
      <c r="O428" s="59" t="n"/>
      <c r="P428" s="62" t="n"/>
      <c r="Q428" s="63" t="n"/>
      <c r="R428" s="61">
        <f>IF($P428&gt;0,CHOOSE(MATCH($B$4,'Служебный лист'!$A$4:$A$8,0),I428,J428,K428,L428,M428),"")</f>
        <v/>
      </c>
      <c r="S428" s="61">
        <f>IFERROR($P428*$R428,0)</f>
        <v/>
      </c>
      <c r="T428" s="61">
        <f>$S428*1.22</f>
        <v/>
      </c>
      <c r="U428" s="64">
        <f>IF($P428&gt;0,COUNTIF($P$11:P428,"&gt;0"),"")</f>
        <v/>
      </c>
    </row>
    <row r="429" ht="14.25" customHeight="1" s="49">
      <c r="A429" s="58" t="n"/>
      <c r="B429" s="58" t="n"/>
      <c r="C429" s="59" t="n"/>
      <c r="D429" s="59" t="n"/>
      <c r="E429" s="59" t="n"/>
      <c r="F429" s="58" t="n"/>
      <c r="G429" s="60" t="n"/>
      <c r="H429" s="60" t="n"/>
      <c r="I429" s="61" t="n"/>
      <c r="J429" s="61" t="n"/>
      <c r="K429" s="61" t="n"/>
      <c r="L429" s="61" t="n"/>
      <c r="M429" s="61" t="n"/>
      <c r="N429" s="58" t="n"/>
      <c r="O429" s="59" t="n"/>
      <c r="P429" s="62" t="n"/>
      <c r="Q429" s="63" t="n"/>
      <c r="R429" s="61">
        <f>IF($P429&gt;0,CHOOSE(MATCH($B$4,'Служебный лист'!$A$4:$A$8,0),I429,J429,K429,L429,M429),"")</f>
        <v/>
      </c>
      <c r="S429" s="61">
        <f>IFERROR($P429*$R429,0)</f>
        <v/>
      </c>
      <c r="T429" s="61">
        <f>$S429*1.22</f>
        <v/>
      </c>
      <c r="U429" s="64">
        <f>IF($P429&gt;0,COUNTIF($P$11:P429,"&gt;0"),"")</f>
        <v/>
      </c>
    </row>
    <row r="430" ht="14.25" customHeight="1" s="49">
      <c r="A430" s="58" t="n"/>
      <c r="B430" s="58" t="n"/>
      <c r="C430" s="59" t="n"/>
      <c r="D430" s="59" t="n"/>
      <c r="E430" s="59" t="n"/>
      <c r="F430" s="58" t="n"/>
      <c r="G430" s="60" t="n"/>
      <c r="H430" s="60" t="n"/>
      <c r="I430" s="61" t="n"/>
      <c r="J430" s="61" t="n"/>
      <c r="K430" s="61" t="n"/>
      <c r="L430" s="61" t="n"/>
      <c r="M430" s="61" t="n"/>
      <c r="N430" s="58" t="n"/>
      <c r="O430" s="59" t="n"/>
      <c r="P430" s="62" t="n"/>
      <c r="Q430" s="63" t="n"/>
      <c r="R430" s="61">
        <f>IF($P430&gt;0,CHOOSE(MATCH($B$4,'Служебный лист'!$A$4:$A$8,0),I430,J430,K430,L430,M430),"")</f>
        <v/>
      </c>
      <c r="S430" s="61">
        <f>IFERROR($P430*$R430,0)</f>
        <v/>
      </c>
      <c r="T430" s="61">
        <f>$S430*1.22</f>
        <v/>
      </c>
      <c r="U430" s="64">
        <f>IF($P430&gt;0,COUNTIF($P$11:P430,"&gt;0"),"")</f>
        <v/>
      </c>
    </row>
    <row r="431" ht="14.25" customHeight="1" s="49">
      <c r="A431" s="58" t="n"/>
      <c r="B431" s="58" t="n"/>
      <c r="C431" s="59" t="n"/>
      <c r="D431" s="59" t="n"/>
      <c r="E431" s="59" t="n"/>
      <c r="F431" s="58" t="n"/>
      <c r="G431" s="60" t="n"/>
      <c r="H431" s="60" t="n"/>
      <c r="I431" s="61" t="n"/>
      <c r="J431" s="61" t="n"/>
      <c r="K431" s="61" t="n"/>
      <c r="L431" s="61" t="n"/>
      <c r="M431" s="61" t="n"/>
      <c r="N431" s="58" t="n"/>
      <c r="O431" s="59" t="n"/>
      <c r="P431" s="62" t="n"/>
      <c r="Q431" s="63" t="n"/>
      <c r="R431" s="61">
        <f>IF($P431&gt;0,CHOOSE(MATCH($B$4,'Служебный лист'!$A$4:$A$8,0),I431,J431,K431,L431,M431),"")</f>
        <v/>
      </c>
      <c r="S431" s="61">
        <f>IFERROR($P431*$R431,0)</f>
        <v/>
      </c>
      <c r="T431" s="61">
        <f>$S431*1.22</f>
        <v/>
      </c>
      <c r="U431" s="64">
        <f>IF($P431&gt;0,COUNTIF($P$11:P431,"&gt;0"),"")</f>
        <v/>
      </c>
    </row>
    <row r="432" ht="14.25" customHeight="1" s="49">
      <c r="A432" s="58" t="n"/>
      <c r="B432" s="58" t="n"/>
      <c r="C432" s="59" t="n"/>
      <c r="D432" s="59" t="n"/>
      <c r="E432" s="59" t="n"/>
      <c r="F432" s="58" t="n"/>
      <c r="G432" s="60" t="n"/>
      <c r="H432" s="60" t="n"/>
      <c r="I432" s="61" t="n"/>
      <c r="J432" s="61" t="n"/>
      <c r="K432" s="61" t="n"/>
      <c r="L432" s="61" t="n"/>
      <c r="M432" s="61" t="n"/>
      <c r="N432" s="58" t="n"/>
      <c r="O432" s="59" t="n"/>
      <c r="P432" s="62" t="n"/>
      <c r="Q432" s="63" t="n"/>
      <c r="R432" s="61">
        <f>IF($P432&gt;0,CHOOSE(MATCH($B$4,'Служебный лист'!$A$4:$A$8,0),I432,J432,K432,L432,M432),"")</f>
        <v/>
      </c>
      <c r="S432" s="61">
        <f>IFERROR($P432*$R432,0)</f>
        <v/>
      </c>
      <c r="T432" s="61">
        <f>$S432*1.22</f>
        <v/>
      </c>
      <c r="U432" s="64">
        <f>IF($P432&gt;0,COUNTIF($P$11:P432,"&gt;0"),"")</f>
        <v/>
      </c>
    </row>
    <row r="433" ht="14.25" customHeight="1" s="49">
      <c r="A433" s="58" t="n"/>
      <c r="B433" s="58" t="n"/>
      <c r="C433" s="59" t="n"/>
      <c r="D433" s="59" t="n"/>
      <c r="E433" s="59" t="n"/>
      <c r="F433" s="58" t="n"/>
      <c r="G433" s="60" t="n"/>
      <c r="H433" s="60" t="n"/>
      <c r="I433" s="61" t="n"/>
      <c r="J433" s="61" t="n"/>
      <c r="K433" s="61" t="n"/>
      <c r="L433" s="61" t="n"/>
      <c r="M433" s="61" t="n"/>
      <c r="N433" s="58" t="n"/>
      <c r="O433" s="59" t="n"/>
      <c r="P433" s="62" t="n"/>
      <c r="Q433" s="63" t="n"/>
      <c r="R433" s="61">
        <f>IF($P433&gt;0,CHOOSE(MATCH($B$4,'Служебный лист'!$A$4:$A$8,0),I433,J433,K433,L433,M433),"")</f>
        <v/>
      </c>
      <c r="S433" s="61">
        <f>IFERROR($P433*$R433,0)</f>
        <v/>
      </c>
      <c r="T433" s="61">
        <f>$S433*1.22</f>
        <v/>
      </c>
      <c r="U433" s="64">
        <f>IF($P433&gt;0,COUNTIF($P$11:P433,"&gt;0"),"")</f>
        <v/>
      </c>
    </row>
    <row r="434" ht="14.25" customHeight="1" s="49">
      <c r="A434" s="58" t="n"/>
      <c r="B434" s="58" t="n"/>
      <c r="C434" s="59" t="n"/>
      <c r="D434" s="59" t="n"/>
      <c r="E434" s="59" t="n"/>
      <c r="F434" s="58" t="n"/>
      <c r="G434" s="60" t="n"/>
      <c r="H434" s="60" t="n"/>
      <c r="I434" s="61" t="n"/>
      <c r="J434" s="61" t="n"/>
      <c r="K434" s="61" t="n"/>
      <c r="L434" s="61" t="n"/>
      <c r="M434" s="61" t="n"/>
      <c r="N434" s="58" t="n"/>
      <c r="O434" s="59" t="n"/>
      <c r="P434" s="62" t="n"/>
      <c r="Q434" s="63" t="n"/>
      <c r="R434" s="61">
        <f>IF($P434&gt;0,CHOOSE(MATCH($B$4,'Служебный лист'!$A$4:$A$8,0),I434,J434,K434,L434,M434),"")</f>
        <v/>
      </c>
      <c r="S434" s="61">
        <f>IFERROR($P434*$R434,0)</f>
        <v/>
      </c>
      <c r="T434" s="61">
        <f>$S434*1.22</f>
        <v/>
      </c>
      <c r="U434" s="64">
        <f>IF($P434&gt;0,COUNTIF($P$11:P434,"&gt;0"),"")</f>
        <v/>
      </c>
    </row>
    <row r="435" ht="14.25" customHeight="1" s="49">
      <c r="A435" s="58" t="n"/>
      <c r="B435" s="58" t="n"/>
      <c r="C435" s="59" t="n"/>
      <c r="D435" s="59" t="n"/>
      <c r="E435" s="59" t="n"/>
      <c r="F435" s="58" t="n"/>
      <c r="G435" s="60" t="n"/>
      <c r="H435" s="60" t="n"/>
      <c r="I435" s="61" t="n"/>
      <c r="J435" s="61" t="n"/>
      <c r="K435" s="61" t="n"/>
      <c r="L435" s="61" t="n"/>
      <c r="M435" s="61" t="n"/>
      <c r="N435" s="58" t="n"/>
      <c r="O435" s="59" t="n"/>
      <c r="P435" s="62" t="n"/>
      <c r="Q435" s="63" t="n"/>
      <c r="R435" s="61">
        <f>IF($P435&gt;0,CHOOSE(MATCH($B$4,'Служебный лист'!$A$4:$A$8,0),I435,J435,K435,L435,M435),"")</f>
        <v/>
      </c>
      <c r="S435" s="61">
        <f>IFERROR($P435*$R435,0)</f>
        <v/>
      </c>
      <c r="T435" s="61">
        <f>$S435*1.22</f>
        <v/>
      </c>
      <c r="U435" s="64">
        <f>IF($P435&gt;0,COUNTIF($P$11:P435,"&gt;0"),"")</f>
        <v/>
      </c>
    </row>
    <row r="436" ht="14.25" customHeight="1" s="49">
      <c r="A436" s="58" t="n"/>
      <c r="B436" s="58" t="n"/>
      <c r="C436" s="59" t="n"/>
      <c r="D436" s="59" t="n"/>
      <c r="E436" s="59" t="n"/>
      <c r="F436" s="58" t="n"/>
      <c r="G436" s="60" t="n"/>
      <c r="H436" s="60" t="n"/>
      <c r="I436" s="61" t="n"/>
      <c r="J436" s="61" t="n"/>
      <c r="K436" s="61" t="n"/>
      <c r="L436" s="61" t="n"/>
      <c r="M436" s="61" t="n"/>
      <c r="N436" s="58" t="n"/>
      <c r="O436" s="59" t="n"/>
      <c r="P436" s="62" t="n"/>
      <c r="Q436" s="63" t="n"/>
      <c r="R436" s="61">
        <f>IF($P436&gt;0,CHOOSE(MATCH($B$4,'Служебный лист'!$A$4:$A$8,0),I436,J436,K436,L436,M436),"")</f>
        <v/>
      </c>
      <c r="S436" s="61">
        <f>IFERROR($P436*$R436,0)</f>
        <v/>
      </c>
      <c r="T436" s="61">
        <f>$S436*1.22</f>
        <v/>
      </c>
      <c r="U436" s="64">
        <f>IF($P436&gt;0,COUNTIF($P$11:P436,"&gt;0"),"")</f>
        <v/>
      </c>
    </row>
    <row r="437" ht="14.25" customHeight="1" s="49">
      <c r="A437" s="58" t="n"/>
      <c r="B437" s="58" t="n"/>
      <c r="C437" s="59" t="n"/>
      <c r="D437" s="59" t="n"/>
      <c r="E437" s="59" t="n"/>
      <c r="F437" s="58" t="n"/>
      <c r="G437" s="60" t="n"/>
      <c r="H437" s="60" t="n"/>
      <c r="I437" s="61" t="n"/>
      <c r="J437" s="61" t="n"/>
      <c r="K437" s="61" t="n"/>
      <c r="L437" s="61" t="n"/>
      <c r="M437" s="61" t="n"/>
      <c r="N437" s="58" t="n"/>
      <c r="O437" s="59" t="n"/>
      <c r="P437" s="62" t="n"/>
      <c r="Q437" s="63" t="n"/>
      <c r="R437" s="61">
        <f>IF($P437&gt;0,CHOOSE(MATCH($B$4,'Служебный лист'!$A$4:$A$8,0),I437,J437,K437,L437,M437),"")</f>
        <v/>
      </c>
      <c r="S437" s="61">
        <f>IFERROR($P437*$R437,0)</f>
        <v/>
      </c>
      <c r="T437" s="61">
        <f>$S437*1.22</f>
        <v/>
      </c>
      <c r="U437" s="64">
        <f>IF($P437&gt;0,COUNTIF($P$11:P437,"&gt;0"),"")</f>
        <v/>
      </c>
    </row>
    <row r="438" ht="14.25" customHeight="1" s="49">
      <c r="A438" s="58" t="n"/>
      <c r="B438" s="58" t="n"/>
      <c r="C438" s="59" t="n"/>
      <c r="D438" s="59" t="n"/>
      <c r="E438" s="59" t="n"/>
      <c r="F438" s="58" t="n"/>
      <c r="G438" s="60" t="n"/>
      <c r="H438" s="60" t="n"/>
      <c r="I438" s="61" t="n"/>
      <c r="J438" s="61" t="n"/>
      <c r="K438" s="61" t="n"/>
      <c r="L438" s="61" t="n"/>
      <c r="M438" s="61" t="n"/>
      <c r="N438" s="58" t="n"/>
      <c r="O438" s="59" t="n"/>
      <c r="P438" s="62" t="n"/>
      <c r="Q438" s="63" t="n"/>
      <c r="R438" s="61">
        <f>IF($P438&gt;0,CHOOSE(MATCH($B$4,'Служебный лист'!$A$4:$A$8,0),I438,J438,K438,L438,M438),"")</f>
        <v/>
      </c>
      <c r="S438" s="61">
        <f>IFERROR($P438*$R438,0)</f>
        <v/>
      </c>
      <c r="T438" s="61">
        <f>$S438*1.22</f>
        <v/>
      </c>
      <c r="U438" s="64">
        <f>IF($P438&gt;0,COUNTIF($P$11:P438,"&gt;0"),"")</f>
        <v/>
      </c>
    </row>
    <row r="439" ht="14.25" customHeight="1" s="49">
      <c r="A439" s="58" t="n"/>
      <c r="B439" s="58" t="n"/>
      <c r="C439" s="59" t="n"/>
      <c r="D439" s="59" t="n"/>
      <c r="E439" s="59" t="n"/>
      <c r="F439" s="58" t="n"/>
      <c r="G439" s="60" t="n"/>
      <c r="H439" s="60" t="n"/>
      <c r="I439" s="61" t="n"/>
      <c r="J439" s="61" t="n"/>
      <c r="K439" s="61" t="n"/>
      <c r="L439" s="61" t="n"/>
      <c r="M439" s="61" t="n"/>
      <c r="N439" s="58" t="n"/>
      <c r="O439" s="59" t="n"/>
      <c r="P439" s="62" t="n"/>
      <c r="Q439" s="63" t="n"/>
      <c r="R439" s="61">
        <f>IF($P439&gt;0,CHOOSE(MATCH($B$4,'Служебный лист'!$A$4:$A$8,0),I439,J439,K439,L439,M439),"")</f>
        <v/>
      </c>
      <c r="S439" s="61">
        <f>IFERROR($P439*$R439,0)</f>
        <v/>
      </c>
      <c r="T439" s="61">
        <f>$S439*1.22</f>
        <v/>
      </c>
      <c r="U439" s="64">
        <f>IF($P439&gt;0,COUNTIF($P$11:P439,"&gt;0"),"")</f>
        <v/>
      </c>
    </row>
    <row r="440" ht="14.25" customHeight="1" s="49">
      <c r="A440" s="58" t="n"/>
      <c r="B440" s="58" t="n"/>
      <c r="C440" s="59" t="n"/>
      <c r="D440" s="59" t="n"/>
      <c r="E440" s="59" t="n"/>
      <c r="F440" s="58" t="n"/>
      <c r="G440" s="60" t="n"/>
      <c r="H440" s="60" t="n"/>
      <c r="I440" s="61" t="n"/>
      <c r="J440" s="61" t="n"/>
      <c r="K440" s="61" t="n"/>
      <c r="L440" s="61" t="n"/>
      <c r="M440" s="61" t="n"/>
      <c r="N440" s="58" t="n"/>
      <c r="O440" s="59" t="n"/>
      <c r="P440" s="62" t="n"/>
      <c r="Q440" s="63" t="n"/>
      <c r="R440" s="61">
        <f>IF($P440&gt;0,CHOOSE(MATCH($B$4,'Служебный лист'!$A$4:$A$8,0),I440,J440,K440,L440,M440),"")</f>
        <v/>
      </c>
      <c r="S440" s="61">
        <f>IFERROR($P440*$R440,0)</f>
        <v/>
      </c>
      <c r="T440" s="61">
        <f>$S440*1.22</f>
        <v/>
      </c>
      <c r="U440" s="64">
        <f>IF($P440&gt;0,COUNTIF($P$11:P440,"&gt;0"),"")</f>
        <v/>
      </c>
    </row>
    <row r="441" ht="14.25" customHeight="1" s="49">
      <c r="A441" s="58" t="n"/>
      <c r="B441" s="58" t="n"/>
      <c r="C441" s="59" t="n"/>
      <c r="D441" s="59" t="n"/>
      <c r="E441" s="59" t="n"/>
      <c r="F441" s="58" t="n"/>
      <c r="G441" s="60" t="n"/>
      <c r="H441" s="60" t="n"/>
      <c r="I441" s="61" t="n"/>
      <c r="J441" s="61" t="n"/>
      <c r="K441" s="61" t="n"/>
      <c r="L441" s="61" t="n"/>
      <c r="M441" s="61" t="n"/>
      <c r="N441" s="58" t="n"/>
      <c r="O441" s="59" t="n"/>
      <c r="P441" s="62" t="n"/>
      <c r="Q441" s="63" t="n"/>
      <c r="R441" s="61">
        <f>IF($P441&gt;0,CHOOSE(MATCH($B$4,'Служебный лист'!$A$4:$A$8,0),I441,J441,K441,L441,M441),"")</f>
        <v/>
      </c>
      <c r="S441" s="61">
        <f>IFERROR($P441*$R441,0)</f>
        <v/>
      </c>
      <c r="T441" s="61">
        <f>$S441*1.22</f>
        <v/>
      </c>
      <c r="U441" s="64">
        <f>IF($P441&gt;0,COUNTIF($P$11:P441,"&gt;0"),"")</f>
        <v/>
      </c>
    </row>
    <row r="442" ht="14.25" customHeight="1" s="49">
      <c r="A442" s="58" t="n"/>
      <c r="B442" s="58" t="n"/>
      <c r="C442" s="59" t="n"/>
      <c r="D442" s="59" t="n"/>
      <c r="E442" s="59" t="n"/>
      <c r="F442" s="58" t="n"/>
      <c r="G442" s="60" t="n"/>
      <c r="H442" s="60" t="n"/>
      <c r="I442" s="61" t="n"/>
      <c r="J442" s="61" t="n"/>
      <c r="K442" s="61" t="n"/>
      <c r="L442" s="61" t="n"/>
      <c r="M442" s="61" t="n"/>
      <c r="N442" s="58" t="n"/>
      <c r="O442" s="59" t="n"/>
      <c r="P442" s="62" t="n"/>
      <c r="Q442" s="63" t="n"/>
      <c r="R442" s="61">
        <f>IF($P442&gt;0,CHOOSE(MATCH($B$4,'Служебный лист'!$A$4:$A$8,0),I442,J442,K442,L442,M442),"")</f>
        <v/>
      </c>
      <c r="S442" s="61">
        <f>IFERROR($P442*$R442,0)</f>
        <v/>
      </c>
      <c r="T442" s="61">
        <f>$S442*1.22</f>
        <v/>
      </c>
      <c r="U442" s="64">
        <f>IF($P442&gt;0,COUNTIF($P$11:P442,"&gt;0"),"")</f>
        <v/>
      </c>
    </row>
    <row r="443" ht="14.25" customHeight="1" s="49">
      <c r="A443" s="58" t="n"/>
      <c r="B443" s="58" t="n"/>
      <c r="C443" s="59" t="n"/>
      <c r="D443" s="59" t="n"/>
      <c r="E443" s="59" t="n"/>
      <c r="F443" s="58" t="n"/>
      <c r="G443" s="60" t="n"/>
      <c r="H443" s="60" t="n"/>
      <c r="I443" s="61" t="n"/>
      <c r="J443" s="61" t="n"/>
      <c r="K443" s="61" t="n"/>
      <c r="L443" s="61" t="n"/>
      <c r="M443" s="61" t="n"/>
      <c r="N443" s="58" t="n"/>
      <c r="O443" s="59" t="n"/>
      <c r="P443" s="62" t="n"/>
      <c r="Q443" s="63" t="n"/>
      <c r="R443" s="61">
        <f>IF($P443&gt;0,CHOOSE(MATCH($B$4,'Служебный лист'!$A$4:$A$8,0),I443,J443,K443,L443,M443),"")</f>
        <v/>
      </c>
      <c r="S443" s="61">
        <f>IFERROR($P443*$R443,0)</f>
        <v/>
      </c>
      <c r="T443" s="61">
        <f>$S443*1.22</f>
        <v/>
      </c>
      <c r="U443" s="64">
        <f>IF($P443&gt;0,COUNTIF($P$11:P443,"&gt;0"),"")</f>
        <v/>
      </c>
    </row>
    <row r="444" ht="14.25" customHeight="1" s="49">
      <c r="A444" s="58" t="n"/>
      <c r="B444" s="58" t="n"/>
      <c r="C444" s="59" t="n"/>
      <c r="D444" s="59" t="n"/>
      <c r="E444" s="59" t="n"/>
      <c r="F444" s="58" t="n"/>
      <c r="G444" s="60" t="n"/>
      <c r="H444" s="60" t="n"/>
      <c r="I444" s="61" t="n"/>
      <c r="J444" s="61" t="n"/>
      <c r="K444" s="61" t="n"/>
      <c r="L444" s="61" t="n"/>
      <c r="M444" s="61" t="n"/>
      <c r="N444" s="58" t="n"/>
      <c r="O444" s="59" t="n"/>
      <c r="P444" s="62" t="n"/>
      <c r="Q444" s="63" t="n"/>
      <c r="R444" s="61">
        <f>IF($P444&gt;0,CHOOSE(MATCH($B$4,'Служебный лист'!$A$4:$A$8,0),I444,J444,K444,L444,M444),"")</f>
        <v/>
      </c>
      <c r="S444" s="61">
        <f>IFERROR($P444*$R444,0)</f>
        <v/>
      </c>
      <c r="T444" s="61">
        <f>$S444*1.22</f>
        <v/>
      </c>
      <c r="U444" s="64">
        <f>IF($P444&gt;0,COUNTIF($P$11:P444,"&gt;0"),"")</f>
        <v/>
      </c>
    </row>
    <row r="445" ht="14.25" customHeight="1" s="49">
      <c r="A445" s="58" t="n"/>
      <c r="B445" s="58" t="n"/>
      <c r="C445" s="59" t="n"/>
      <c r="D445" s="59" t="n"/>
      <c r="E445" s="59" t="n"/>
      <c r="F445" s="58" t="n"/>
      <c r="G445" s="60" t="n"/>
      <c r="H445" s="60" t="n"/>
      <c r="I445" s="61" t="n"/>
      <c r="J445" s="61" t="n"/>
      <c r="K445" s="61" t="n"/>
      <c r="L445" s="61" t="n"/>
      <c r="M445" s="61" t="n"/>
      <c r="N445" s="58" t="n"/>
      <c r="O445" s="59" t="n"/>
      <c r="P445" s="62" t="n"/>
      <c r="Q445" s="63" t="n"/>
      <c r="R445" s="61">
        <f>IF($P445&gt;0,CHOOSE(MATCH($B$4,'Служебный лист'!$A$4:$A$8,0),I445,J445,K445,L445,M445),"")</f>
        <v/>
      </c>
      <c r="S445" s="61">
        <f>IFERROR($P445*$R445,0)</f>
        <v/>
      </c>
      <c r="T445" s="61">
        <f>$S445*1.22</f>
        <v/>
      </c>
      <c r="U445" s="64">
        <f>IF($P445&gt;0,COUNTIF($P$11:P445,"&gt;0"),"")</f>
        <v/>
      </c>
    </row>
    <row r="446" ht="14.25" customHeight="1" s="49">
      <c r="A446" s="58" t="n"/>
      <c r="B446" s="58" t="n"/>
      <c r="C446" s="59" t="n"/>
      <c r="D446" s="59" t="n"/>
      <c r="E446" s="59" t="n"/>
      <c r="F446" s="58" t="n"/>
      <c r="G446" s="60" t="n"/>
      <c r="H446" s="60" t="n"/>
      <c r="I446" s="61" t="n"/>
      <c r="J446" s="61" t="n"/>
      <c r="K446" s="61" t="n"/>
      <c r="L446" s="61" t="n"/>
      <c r="M446" s="61" t="n"/>
      <c r="N446" s="58" t="n"/>
      <c r="O446" s="59" t="n"/>
      <c r="P446" s="62" t="n"/>
      <c r="Q446" s="63" t="n"/>
      <c r="R446" s="61">
        <f>IF($P446&gt;0,CHOOSE(MATCH($B$4,'Служебный лист'!$A$4:$A$8,0),I446,J446,K446,L446,M446),"")</f>
        <v/>
      </c>
      <c r="S446" s="61">
        <f>IFERROR($P446*$R446,0)</f>
        <v/>
      </c>
      <c r="T446" s="61">
        <f>$S446*1.22</f>
        <v/>
      </c>
      <c r="U446" s="64">
        <f>IF($P446&gt;0,COUNTIF($P$11:P446,"&gt;0"),"")</f>
        <v/>
      </c>
    </row>
    <row r="447" ht="14.25" customHeight="1" s="49">
      <c r="A447" s="58" t="n"/>
      <c r="B447" s="58" t="n"/>
      <c r="C447" s="59" t="n"/>
      <c r="D447" s="59" t="n"/>
      <c r="E447" s="59" t="n"/>
      <c r="F447" s="58" t="n"/>
      <c r="G447" s="60" t="n"/>
      <c r="H447" s="60" t="n"/>
      <c r="I447" s="61" t="n"/>
      <c r="J447" s="61" t="n"/>
      <c r="K447" s="61" t="n"/>
      <c r="L447" s="61" t="n"/>
      <c r="M447" s="61" t="n"/>
      <c r="N447" s="58" t="n"/>
      <c r="O447" s="59" t="n"/>
      <c r="P447" s="62" t="n"/>
      <c r="Q447" s="63" t="n"/>
      <c r="R447" s="61">
        <f>IF($P447&gt;0,CHOOSE(MATCH($B$4,'Служебный лист'!$A$4:$A$8,0),I447,J447,K447,L447,M447),"")</f>
        <v/>
      </c>
      <c r="S447" s="61">
        <f>IFERROR($P447*$R447,0)</f>
        <v/>
      </c>
      <c r="T447" s="61">
        <f>$S447*1.22</f>
        <v/>
      </c>
      <c r="U447" s="64">
        <f>IF($P447&gt;0,COUNTIF($P$11:P447,"&gt;0"),"")</f>
        <v/>
      </c>
    </row>
    <row r="448" ht="14.25" customHeight="1" s="49">
      <c r="A448" s="58" t="n"/>
      <c r="B448" s="58" t="n"/>
      <c r="C448" s="59" t="n"/>
      <c r="D448" s="59" t="n"/>
      <c r="E448" s="59" t="n"/>
      <c r="F448" s="58" t="n"/>
      <c r="G448" s="60" t="n"/>
      <c r="H448" s="60" t="n"/>
      <c r="I448" s="61" t="n"/>
      <c r="J448" s="61" t="n"/>
      <c r="K448" s="61" t="n"/>
      <c r="L448" s="61" t="n"/>
      <c r="M448" s="61" t="n"/>
      <c r="N448" s="58" t="n"/>
      <c r="O448" s="59" t="n"/>
      <c r="P448" s="62" t="n"/>
      <c r="Q448" s="63" t="n"/>
      <c r="R448" s="61">
        <f>IF($P448&gt;0,CHOOSE(MATCH($B$4,'Служебный лист'!$A$4:$A$8,0),I448,J448,K448,L448,M448),"")</f>
        <v/>
      </c>
      <c r="S448" s="61">
        <f>IFERROR($P448*$R448,0)</f>
        <v/>
      </c>
      <c r="T448" s="61">
        <f>$S448*1.22</f>
        <v/>
      </c>
      <c r="U448" s="64">
        <f>IF($P448&gt;0,COUNTIF($P$11:P448,"&gt;0"),"")</f>
        <v/>
      </c>
    </row>
    <row r="449" ht="14.25" customHeight="1" s="49">
      <c r="A449" s="58" t="n"/>
      <c r="B449" s="58" t="n"/>
      <c r="C449" s="59" t="n"/>
      <c r="D449" s="59" t="n"/>
      <c r="E449" s="59" t="n"/>
      <c r="F449" s="58" t="n"/>
      <c r="G449" s="60" t="n"/>
      <c r="H449" s="60" t="n"/>
      <c r="I449" s="61" t="n"/>
      <c r="J449" s="61" t="n"/>
      <c r="K449" s="61" t="n"/>
      <c r="L449" s="61" t="n"/>
      <c r="M449" s="61" t="n"/>
      <c r="N449" s="58" t="n"/>
      <c r="O449" s="59" t="n"/>
      <c r="P449" s="62" t="n"/>
      <c r="Q449" s="63" t="n"/>
      <c r="R449" s="61">
        <f>IF($P449&gt;0,CHOOSE(MATCH($B$4,'Служебный лист'!$A$4:$A$8,0),I449,J449,K449,L449,M449),"")</f>
        <v/>
      </c>
      <c r="S449" s="61">
        <f>IFERROR($P449*$R449,0)</f>
        <v/>
      </c>
      <c r="T449" s="61">
        <f>$S449*1.22</f>
        <v/>
      </c>
      <c r="U449" s="64">
        <f>IF($P449&gt;0,COUNTIF($P$11:P449,"&gt;0"),"")</f>
        <v/>
      </c>
    </row>
    <row r="450" ht="14.25" customHeight="1" s="49">
      <c r="A450" s="58" t="n"/>
      <c r="B450" s="58" t="n"/>
      <c r="C450" s="59" t="n"/>
      <c r="D450" s="59" t="n"/>
      <c r="E450" s="59" t="n"/>
      <c r="F450" s="58" t="n"/>
      <c r="G450" s="60" t="n"/>
      <c r="H450" s="60" t="n"/>
      <c r="I450" s="61" t="n"/>
      <c r="J450" s="61" t="n"/>
      <c r="K450" s="61" t="n"/>
      <c r="L450" s="61" t="n"/>
      <c r="M450" s="61" t="n"/>
      <c r="N450" s="58" t="n"/>
      <c r="O450" s="59" t="n"/>
      <c r="P450" s="62" t="n"/>
      <c r="Q450" s="63" t="n"/>
      <c r="R450" s="61">
        <f>IF($P450&gt;0,CHOOSE(MATCH($B$4,'Служебный лист'!$A$4:$A$8,0),I450,J450,K450,L450,M450),"")</f>
        <v/>
      </c>
      <c r="S450" s="61">
        <f>IFERROR($P450*$R450,0)</f>
        <v/>
      </c>
      <c r="T450" s="61">
        <f>$S450*1.22</f>
        <v/>
      </c>
      <c r="U450" s="64">
        <f>IF($P450&gt;0,COUNTIF($P$11:P450,"&gt;0"),"")</f>
        <v/>
      </c>
    </row>
    <row r="451" ht="14.25" customHeight="1" s="49">
      <c r="A451" s="58" t="n"/>
      <c r="B451" s="58" t="n"/>
      <c r="C451" s="59" t="n"/>
      <c r="D451" s="59" t="n"/>
      <c r="E451" s="59" t="n"/>
      <c r="F451" s="58" t="n"/>
      <c r="G451" s="60" t="n"/>
      <c r="H451" s="60" t="n"/>
      <c r="I451" s="61" t="n"/>
      <c r="J451" s="61" t="n"/>
      <c r="K451" s="61" t="n"/>
      <c r="L451" s="61" t="n"/>
      <c r="M451" s="61" t="n"/>
      <c r="N451" s="58" t="n"/>
      <c r="O451" s="59" t="n"/>
      <c r="P451" s="62" t="n"/>
      <c r="Q451" s="63" t="n"/>
      <c r="R451" s="61">
        <f>IF($P451&gt;0,CHOOSE(MATCH($B$4,'Служебный лист'!$A$4:$A$8,0),I451,J451,K451,L451,M451),"")</f>
        <v/>
      </c>
      <c r="S451" s="61">
        <f>IFERROR($P451*$R451,0)</f>
        <v/>
      </c>
      <c r="T451" s="61">
        <f>$S451*1.22</f>
        <v/>
      </c>
      <c r="U451" s="64">
        <f>IF($P451&gt;0,COUNTIF($P$11:P451,"&gt;0"),"")</f>
        <v/>
      </c>
    </row>
    <row r="452" ht="14.25" customHeight="1" s="49">
      <c r="A452" s="58" t="n"/>
      <c r="B452" s="58" t="n"/>
      <c r="C452" s="59" t="n"/>
      <c r="D452" s="59" t="n"/>
      <c r="E452" s="59" t="n"/>
      <c r="F452" s="58" t="n"/>
      <c r="G452" s="60" t="n"/>
      <c r="H452" s="60" t="n"/>
      <c r="I452" s="61" t="n"/>
      <c r="J452" s="61" t="n"/>
      <c r="K452" s="61" t="n"/>
      <c r="L452" s="61" t="n"/>
      <c r="M452" s="61" t="n"/>
      <c r="N452" s="58" t="n"/>
      <c r="O452" s="59" t="n"/>
      <c r="P452" s="62" t="n"/>
      <c r="Q452" s="63" t="n"/>
      <c r="R452" s="61">
        <f>IF($P452&gt;0,CHOOSE(MATCH($B$4,'Служебный лист'!$A$4:$A$8,0),I452,J452,K452,L452,M452),"")</f>
        <v/>
      </c>
      <c r="S452" s="61">
        <f>IFERROR($P452*$R452,0)</f>
        <v/>
      </c>
      <c r="T452" s="61">
        <f>$S452*1.22</f>
        <v/>
      </c>
      <c r="U452" s="64">
        <f>IF($P452&gt;0,COUNTIF($P$11:P452,"&gt;0"),"")</f>
        <v/>
      </c>
    </row>
    <row r="453" ht="14.25" customHeight="1" s="49">
      <c r="A453" s="58" t="n"/>
      <c r="B453" s="58" t="n"/>
      <c r="C453" s="59" t="n"/>
      <c r="D453" s="59" t="n"/>
      <c r="E453" s="59" t="n"/>
      <c r="F453" s="58" t="n"/>
      <c r="G453" s="60" t="n"/>
      <c r="H453" s="60" t="n"/>
      <c r="I453" s="61" t="n"/>
      <c r="J453" s="61" t="n"/>
      <c r="K453" s="61" t="n"/>
      <c r="L453" s="61" t="n"/>
      <c r="M453" s="61" t="n"/>
      <c r="N453" s="58" t="n"/>
      <c r="O453" s="59" t="n"/>
      <c r="P453" s="62" t="n"/>
      <c r="Q453" s="63" t="n"/>
      <c r="R453" s="61">
        <f>IF($P453&gt;0,CHOOSE(MATCH($B$4,'Служебный лист'!$A$4:$A$8,0),I453,J453,K453,L453,M453),"")</f>
        <v/>
      </c>
      <c r="S453" s="61">
        <f>IFERROR($P453*$R453,0)</f>
        <v/>
      </c>
      <c r="T453" s="61">
        <f>$S453*1.22</f>
        <v/>
      </c>
      <c r="U453" s="64">
        <f>IF($P453&gt;0,COUNTIF($P$11:P453,"&gt;0"),"")</f>
        <v/>
      </c>
    </row>
    <row r="454" ht="14.25" customHeight="1" s="49">
      <c r="A454" s="58" t="n"/>
      <c r="B454" s="58" t="n"/>
      <c r="C454" s="59" t="n"/>
      <c r="D454" s="59" t="n"/>
      <c r="E454" s="59" t="n"/>
      <c r="F454" s="58" t="n"/>
      <c r="G454" s="60" t="n"/>
      <c r="H454" s="60" t="n"/>
      <c r="I454" s="61" t="n"/>
      <c r="J454" s="61" t="n"/>
      <c r="K454" s="61" t="n"/>
      <c r="L454" s="61" t="n"/>
      <c r="M454" s="61" t="n"/>
      <c r="N454" s="58" t="n"/>
      <c r="O454" s="59" t="n"/>
      <c r="P454" s="62" t="n"/>
      <c r="Q454" s="63" t="n"/>
      <c r="R454" s="61">
        <f>IF($P454&gt;0,CHOOSE(MATCH($B$4,'Служебный лист'!$A$4:$A$8,0),I454,J454,K454,L454,M454),"")</f>
        <v/>
      </c>
      <c r="S454" s="61">
        <f>IFERROR($P454*$R454,0)</f>
        <v/>
      </c>
      <c r="T454" s="61">
        <f>$S454*1.22</f>
        <v/>
      </c>
      <c r="U454" s="64">
        <f>IF($P454&gt;0,COUNTIF($P$11:P454,"&gt;0"),"")</f>
        <v/>
      </c>
    </row>
    <row r="455" ht="14.25" customHeight="1" s="49">
      <c r="A455" s="58" t="n"/>
      <c r="B455" s="58" t="n"/>
      <c r="C455" s="59" t="n"/>
      <c r="D455" s="59" t="n"/>
      <c r="E455" s="59" t="n"/>
      <c r="F455" s="58" t="n"/>
      <c r="G455" s="60" t="n"/>
      <c r="H455" s="60" t="n"/>
      <c r="I455" s="61" t="n"/>
      <c r="J455" s="61" t="n"/>
      <c r="K455" s="61" t="n"/>
      <c r="L455" s="61" t="n"/>
      <c r="M455" s="61" t="n"/>
      <c r="N455" s="58" t="n"/>
      <c r="O455" s="59" t="n"/>
      <c r="P455" s="62" t="n"/>
      <c r="Q455" s="63" t="n"/>
      <c r="R455" s="61">
        <f>IF($P455&gt;0,CHOOSE(MATCH($B$4,'Служебный лист'!$A$4:$A$8,0),I455,J455,K455,L455,M455),"")</f>
        <v/>
      </c>
      <c r="S455" s="61">
        <f>IFERROR($P455*$R455,0)</f>
        <v/>
      </c>
      <c r="T455" s="61">
        <f>$S455*1.22</f>
        <v/>
      </c>
      <c r="U455" s="64">
        <f>IF($P455&gt;0,COUNTIF($P$11:P455,"&gt;0"),"")</f>
        <v/>
      </c>
    </row>
    <row r="456" ht="14.25" customHeight="1" s="49">
      <c r="A456" s="58" t="n"/>
      <c r="B456" s="58" t="n"/>
      <c r="C456" s="59" t="n"/>
      <c r="D456" s="59" t="n"/>
      <c r="E456" s="59" t="n"/>
      <c r="F456" s="58" t="n"/>
      <c r="G456" s="60" t="n"/>
      <c r="H456" s="60" t="n"/>
      <c r="I456" s="61" t="n"/>
      <c r="J456" s="61" t="n"/>
      <c r="K456" s="61" t="n"/>
      <c r="L456" s="61" t="n"/>
      <c r="M456" s="61" t="n"/>
      <c r="N456" s="58" t="n"/>
      <c r="O456" s="59" t="n"/>
      <c r="P456" s="62" t="n"/>
      <c r="Q456" s="63" t="n"/>
      <c r="R456" s="61">
        <f>IF($P456&gt;0,CHOOSE(MATCH($B$4,'Служебный лист'!$A$4:$A$8,0),I456,J456,K456,L456,M456),"")</f>
        <v/>
      </c>
      <c r="S456" s="61">
        <f>IFERROR($P456*$R456,0)</f>
        <v/>
      </c>
      <c r="T456" s="61">
        <f>$S456*1.22</f>
        <v/>
      </c>
      <c r="U456" s="64">
        <f>IF($P456&gt;0,COUNTIF($P$11:P456,"&gt;0"),"")</f>
        <v/>
      </c>
    </row>
    <row r="457" ht="14.25" customHeight="1" s="49">
      <c r="A457" s="58" t="n"/>
      <c r="B457" s="58" t="n"/>
      <c r="C457" s="59" t="n"/>
      <c r="D457" s="59" t="n"/>
      <c r="E457" s="59" t="n"/>
      <c r="F457" s="58" t="n"/>
      <c r="G457" s="60" t="n"/>
      <c r="H457" s="60" t="n"/>
      <c r="I457" s="61" t="n"/>
      <c r="J457" s="61" t="n"/>
      <c r="K457" s="61" t="n"/>
      <c r="L457" s="61" t="n"/>
      <c r="M457" s="61" t="n"/>
      <c r="N457" s="58" t="n"/>
      <c r="O457" s="59" t="n"/>
      <c r="P457" s="62" t="n"/>
      <c r="Q457" s="63" t="n"/>
      <c r="R457" s="61">
        <f>IF($P457&gt;0,CHOOSE(MATCH($B$4,'Служебный лист'!$A$4:$A$8,0),I457,J457,K457,L457,M457),"")</f>
        <v/>
      </c>
      <c r="S457" s="61">
        <f>IFERROR($P457*$R457,0)</f>
        <v/>
      </c>
      <c r="T457" s="61">
        <f>$S457*1.22</f>
        <v/>
      </c>
      <c r="U457" s="64">
        <f>IF($P457&gt;0,COUNTIF($P$11:P457,"&gt;0"),"")</f>
        <v/>
      </c>
    </row>
    <row r="458" ht="14.25" customHeight="1" s="49">
      <c r="A458" s="58" t="n"/>
      <c r="B458" s="58" t="n"/>
      <c r="C458" s="59" t="n"/>
      <c r="D458" s="59" t="n"/>
      <c r="E458" s="59" t="n"/>
      <c r="F458" s="58" t="n"/>
      <c r="G458" s="60" t="n"/>
      <c r="H458" s="60" t="n"/>
      <c r="I458" s="61" t="n"/>
      <c r="J458" s="61" t="n"/>
      <c r="K458" s="61" t="n"/>
      <c r="L458" s="61" t="n"/>
      <c r="M458" s="61" t="n"/>
      <c r="N458" s="58" t="n"/>
      <c r="O458" s="59" t="n"/>
      <c r="P458" s="62" t="n"/>
      <c r="Q458" s="63" t="n"/>
      <c r="R458" s="61">
        <f>IF($P458&gt;0,CHOOSE(MATCH($B$4,'Служебный лист'!$A$4:$A$8,0),I458,J458,K458,L458,M458),"")</f>
        <v/>
      </c>
      <c r="S458" s="61">
        <f>IFERROR($P458*$R458,0)</f>
        <v/>
      </c>
      <c r="T458" s="61">
        <f>$S458*1.22</f>
        <v/>
      </c>
      <c r="U458" s="64">
        <f>IF($P458&gt;0,COUNTIF($P$11:P458,"&gt;0"),"")</f>
        <v/>
      </c>
    </row>
    <row r="459" ht="14.25" customHeight="1" s="49">
      <c r="A459" s="58" t="n"/>
      <c r="B459" s="58" t="n"/>
      <c r="C459" s="59" t="n"/>
      <c r="D459" s="59" t="n"/>
      <c r="E459" s="59" t="n"/>
      <c r="F459" s="58" t="n"/>
      <c r="G459" s="60" t="n"/>
      <c r="H459" s="60" t="n"/>
      <c r="I459" s="61" t="n"/>
      <c r="J459" s="61" t="n"/>
      <c r="K459" s="61" t="n"/>
      <c r="L459" s="61" t="n"/>
      <c r="M459" s="61" t="n"/>
      <c r="N459" s="58" t="n"/>
      <c r="O459" s="59" t="n"/>
      <c r="P459" s="62" t="n"/>
      <c r="Q459" s="63" t="n"/>
      <c r="R459" s="61">
        <f>IF($P459&gt;0,CHOOSE(MATCH($B$4,'Служебный лист'!$A$4:$A$8,0),I459,J459,K459,L459,M459),"")</f>
        <v/>
      </c>
      <c r="S459" s="61">
        <f>IFERROR($P459*$R459,0)</f>
        <v/>
      </c>
      <c r="T459" s="61">
        <f>$S459*1.22</f>
        <v/>
      </c>
      <c r="U459" s="64">
        <f>IF($P459&gt;0,COUNTIF($P$11:P459,"&gt;0"),"")</f>
        <v/>
      </c>
    </row>
    <row r="460" ht="14.25" customHeight="1" s="49">
      <c r="A460" s="58" t="n"/>
      <c r="B460" s="58" t="n"/>
      <c r="C460" s="59" t="n"/>
      <c r="D460" s="59" t="n"/>
      <c r="E460" s="59" t="n"/>
      <c r="F460" s="58" t="n"/>
      <c r="G460" s="60" t="n"/>
      <c r="H460" s="60" t="n"/>
      <c r="I460" s="61" t="n"/>
      <c r="J460" s="61" t="n"/>
      <c r="K460" s="61" t="n"/>
      <c r="L460" s="61" t="n"/>
      <c r="M460" s="61" t="n"/>
      <c r="N460" s="58" t="n"/>
      <c r="O460" s="59" t="n"/>
      <c r="P460" s="62" t="n"/>
      <c r="Q460" s="63" t="n"/>
      <c r="R460" s="61">
        <f>IF($P460&gt;0,CHOOSE(MATCH($B$4,'Служебный лист'!$A$4:$A$8,0),I460,J460,K460,L460,M460),"")</f>
        <v/>
      </c>
      <c r="S460" s="61">
        <f>IFERROR($P460*$R460,0)</f>
        <v/>
      </c>
      <c r="T460" s="61">
        <f>$S460*1.22</f>
        <v/>
      </c>
      <c r="U460" s="64">
        <f>IF($P460&gt;0,COUNTIF($P$11:P460,"&gt;0"),"")</f>
        <v/>
      </c>
    </row>
    <row r="461" ht="14.25" customHeight="1" s="49">
      <c r="A461" s="58" t="n"/>
      <c r="B461" s="58" t="n"/>
      <c r="C461" s="59" t="n"/>
      <c r="D461" s="59" t="n"/>
      <c r="E461" s="59" t="n"/>
      <c r="F461" s="58" t="n"/>
      <c r="G461" s="60" t="n"/>
      <c r="H461" s="60" t="n"/>
      <c r="I461" s="61" t="n"/>
      <c r="J461" s="61" t="n"/>
      <c r="K461" s="61" t="n"/>
      <c r="L461" s="61" t="n"/>
      <c r="M461" s="61" t="n"/>
      <c r="N461" s="58" t="n"/>
      <c r="O461" s="59" t="n"/>
      <c r="P461" s="62" t="n"/>
      <c r="Q461" s="63" t="n"/>
      <c r="R461" s="61">
        <f>IF($P461&gt;0,CHOOSE(MATCH($B$4,'Служебный лист'!$A$4:$A$8,0),I461,J461,K461,L461,M461),"")</f>
        <v/>
      </c>
      <c r="S461" s="61">
        <f>IFERROR($P461*$R461,0)</f>
        <v/>
      </c>
      <c r="T461" s="61">
        <f>$S461*1.22</f>
        <v/>
      </c>
      <c r="U461" s="64">
        <f>IF($P461&gt;0,COUNTIF($P$11:P461,"&gt;0"),"")</f>
        <v/>
      </c>
    </row>
    <row r="462" ht="14.25" customHeight="1" s="49">
      <c r="A462" s="58" t="n"/>
      <c r="B462" s="58" t="n"/>
      <c r="C462" s="59" t="n"/>
      <c r="D462" s="59" t="n"/>
      <c r="E462" s="59" t="n"/>
      <c r="F462" s="58" t="n"/>
      <c r="G462" s="60" t="n"/>
      <c r="H462" s="60" t="n"/>
      <c r="I462" s="61" t="n"/>
      <c r="J462" s="61" t="n"/>
      <c r="K462" s="61" t="n"/>
      <c r="L462" s="61" t="n"/>
      <c r="M462" s="61" t="n"/>
      <c r="N462" s="58" t="n"/>
      <c r="O462" s="59" t="n"/>
      <c r="P462" s="62" t="n"/>
      <c r="Q462" s="63" t="n"/>
      <c r="R462" s="61">
        <f>IF($P462&gt;0,CHOOSE(MATCH($B$4,'Служебный лист'!$A$4:$A$8,0),I462,J462,K462,L462,M462),"")</f>
        <v/>
      </c>
      <c r="S462" s="61">
        <f>IFERROR($P462*$R462,0)</f>
        <v/>
      </c>
      <c r="T462" s="61">
        <f>$S462*1.22</f>
        <v/>
      </c>
      <c r="U462" s="64">
        <f>IF($P462&gt;0,COUNTIF($P$11:P462,"&gt;0"),"")</f>
        <v/>
      </c>
    </row>
    <row r="463" ht="14.25" customHeight="1" s="49">
      <c r="A463" s="58" t="n"/>
      <c r="B463" s="58" t="n"/>
      <c r="C463" s="59" t="n"/>
      <c r="D463" s="59" t="n"/>
      <c r="E463" s="59" t="n"/>
      <c r="F463" s="58" t="n"/>
      <c r="G463" s="60" t="n"/>
      <c r="H463" s="60" t="n"/>
      <c r="I463" s="61" t="n"/>
      <c r="J463" s="61" t="n"/>
      <c r="K463" s="61" t="n"/>
      <c r="L463" s="61" t="n"/>
      <c r="M463" s="61" t="n"/>
      <c r="N463" s="58" t="n"/>
      <c r="O463" s="59" t="n"/>
      <c r="P463" s="62" t="n"/>
      <c r="Q463" s="63" t="n"/>
      <c r="R463" s="61">
        <f>IF($P463&gt;0,CHOOSE(MATCH($B$4,'Служебный лист'!$A$4:$A$8,0),I463,J463,K463,L463,M463),"")</f>
        <v/>
      </c>
      <c r="S463" s="61">
        <f>IFERROR($P463*$R463,0)</f>
        <v/>
      </c>
      <c r="T463" s="61">
        <f>$S463*1.22</f>
        <v/>
      </c>
      <c r="U463" s="64">
        <f>IF($P463&gt;0,COUNTIF($P$11:P463,"&gt;0"),"")</f>
        <v/>
      </c>
    </row>
    <row r="464" ht="14.25" customHeight="1" s="49">
      <c r="A464" s="58" t="n"/>
      <c r="B464" s="58" t="n"/>
      <c r="C464" s="59" t="n"/>
      <c r="D464" s="59" t="n"/>
      <c r="E464" s="59" t="n"/>
      <c r="F464" s="58" t="n"/>
      <c r="G464" s="60" t="n"/>
      <c r="H464" s="60" t="n"/>
      <c r="I464" s="61" t="n"/>
      <c r="J464" s="61" t="n"/>
      <c r="K464" s="61" t="n"/>
      <c r="L464" s="61" t="n"/>
      <c r="M464" s="61" t="n"/>
      <c r="N464" s="58" t="n"/>
      <c r="O464" s="59" t="n"/>
      <c r="P464" s="62" t="n"/>
      <c r="Q464" s="63" t="n"/>
      <c r="R464" s="61">
        <f>IF($P464&gt;0,CHOOSE(MATCH($B$4,'Служебный лист'!$A$4:$A$8,0),I464,J464,K464,L464,M464),"")</f>
        <v/>
      </c>
      <c r="S464" s="61">
        <f>IFERROR($P464*$R464,0)</f>
        <v/>
      </c>
      <c r="T464" s="61">
        <f>$S464*1.22</f>
        <v/>
      </c>
      <c r="U464" s="64">
        <f>IF($P464&gt;0,COUNTIF($P$11:P464,"&gt;0"),"")</f>
        <v/>
      </c>
    </row>
    <row r="465" ht="14.25" customHeight="1" s="49">
      <c r="A465" s="58" t="n"/>
      <c r="B465" s="58" t="n"/>
      <c r="C465" s="59" t="n"/>
      <c r="D465" s="59" t="n"/>
      <c r="E465" s="59" t="n"/>
      <c r="F465" s="58" t="n"/>
      <c r="G465" s="60" t="n"/>
      <c r="H465" s="60" t="n"/>
      <c r="I465" s="61" t="n"/>
      <c r="J465" s="61" t="n"/>
      <c r="K465" s="61" t="n"/>
      <c r="L465" s="61" t="n"/>
      <c r="M465" s="61" t="n"/>
      <c r="N465" s="58" t="n"/>
      <c r="O465" s="59" t="n"/>
      <c r="P465" s="62" t="n"/>
      <c r="Q465" s="63" t="n"/>
      <c r="R465" s="61">
        <f>IF($P465&gt;0,CHOOSE(MATCH($B$4,'Служебный лист'!$A$4:$A$8,0),I465,J465,K465,L465,M465),"")</f>
        <v/>
      </c>
      <c r="S465" s="61">
        <f>IFERROR($P465*$R465,0)</f>
        <v/>
      </c>
      <c r="T465" s="61">
        <f>$S465*1.22</f>
        <v/>
      </c>
      <c r="U465" s="64">
        <f>IF($P465&gt;0,COUNTIF($P$11:P465,"&gt;0"),"")</f>
        <v/>
      </c>
    </row>
    <row r="466" ht="14.25" customHeight="1" s="49">
      <c r="A466" s="58" t="n"/>
      <c r="B466" s="58" t="n"/>
      <c r="C466" s="59" t="n"/>
      <c r="D466" s="59" t="n"/>
      <c r="E466" s="59" t="n"/>
      <c r="F466" s="58" t="n"/>
      <c r="G466" s="60" t="n"/>
      <c r="H466" s="60" t="n"/>
      <c r="I466" s="61" t="n"/>
      <c r="J466" s="61" t="n"/>
      <c r="K466" s="61" t="n"/>
      <c r="L466" s="61" t="n"/>
      <c r="M466" s="61" t="n"/>
      <c r="N466" s="58" t="n"/>
      <c r="O466" s="59" t="n"/>
      <c r="P466" s="62" t="n"/>
      <c r="Q466" s="63" t="n"/>
      <c r="R466" s="61">
        <f>IF($P466&gt;0,CHOOSE(MATCH($B$4,'Служебный лист'!$A$4:$A$8,0),I466,J466,K466,L466,M466),"")</f>
        <v/>
      </c>
      <c r="S466" s="61">
        <f>IFERROR($P466*$R466,0)</f>
        <v/>
      </c>
      <c r="T466" s="61">
        <f>$S466*1.22</f>
        <v/>
      </c>
      <c r="U466" s="64">
        <f>IF($P466&gt;0,COUNTIF($P$11:P466,"&gt;0"),"")</f>
        <v/>
      </c>
    </row>
    <row r="467" ht="14.25" customHeight="1" s="49">
      <c r="A467" s="58" t="n"/>
      <c r="B467" s="58" t="n"/>
      <c r="C467" s="59" t="n"/>
      <c r="D467" s="59" t="n"/>
      <c r="E467" s="59" t="n"/>
      <c r="F467" s="58" t="n"/>
      <c r="G467" s="60" t="n"/>
      <c r="H467" s="60" t="n"/>
      <c r="I467" s="61" t="n"/>
      <c r="J467" s="61" t="n"/>
      <c r="K467" s="61" t="n"/>
      <c r="L467" s="61" t="n"/>
      <c r="M467" s="61" t="n"/>
      <c r="N467" s="58" t="n"/>
      <c r="O467" s="59" t="n"/>
      <c r="P467" s="62" t="n"/>
      <c r="Q467" s="63" t="n"/>
      <c r="R467" s="61">
        <f>IF($P467&gt;0,CHOOSE(MATCH($B$4,'Служебный лист'!$A$4:$A$8,0),I467,J467,K467,L467,M467),"")</f>
        <v/>
      </c>
      <c r="S467" s="61">
        <f>IFERROR($P467*$R467,0)</f>
        <v/>
      </c>
      <c r="T467" s="61">
        <f>$S467*1.22</f>
        <v/>
      </c>
      <c r="U467" s="64">
        <f>IF($P467&gt;0,COUNTIF($P$11:P467,"&gt;0"),"")</f>
        <v/>
      </c>
    </row>
    <row r="468" ht="14.25" customHeight="1" s="49">
      <c r="A468" s="58" t="n"/>
      <c r="B468" s="58" t="n"/>
      <c r="C468" s="59" t="n"/>
      <c r="D468" s="59" t="n"/>
      <c r="E468" s="59" t="n"/>
      <c r="F468" s="58" t="n"/>
      <c r="G468" s="60" t="n"/>
      <c r="H468" s="60" t="n"/>
      <c r="I468" s="61" t="n"/>
      <c r="J468" s="61" t="n"/>
      <c r="K468" s="61" t="n"/>
      <c r="L468" s="61" t="n"/>
      <c r="M468" s="61" t="n"/>
      <c r="N468" s="58" t="n"/>
      <c r="O468" s="59" t="n"/>
      <c r="P468" s="62" t="n"/>
      <c r="Q468" s="63" t="n"/>
      <c r="R468" s="61">
        <f>IF($P468&gt;0,CHOOSE(MATCH($B$4,'Служебный лист'!$A$4:$A$8,0),I468,J468,K468,L468,M468),"")</f>
        <v/>
      </c>
      <c r="S468" s="61">
        <f>IFERROR($P468*$R468,0)</f>
        <v/>
      </c>
      <c r="T468" s="61">
        <f>$S468*1.22</f>
        <v/>
      </c>
      <c r="U468" s="64">
        <f>IF($P468&gt;0,COUNTIF($P$11:P468,"&gt;0"),"")</f>
        <v/>
      </c>
    </row>
    <row r="469" ht="14.25" customHeight="1" s="49">
      <c r="A469" s="58" t="n"/>
      <c r="B469" s="58" t="n"/>
      <c r="C469" s="59" t="n"/>
      <c r="D469" s="59" t="n"/>
      <c r="E469" s="59" t="n"/>
      <c r="F469" s="58" t="n"/>
      <c r="G469" s="60" t="n"/>
      <c r="H469" s="60" t="n"/>
      <c r="I469" s="61" t="n"/>
      <c r="J469" s="61" t="n"/>
      <c r="K469" s="61" t="n"/>
      <c r="L469" s="61" t="n"/>
      <c r="M469" s="61" t="n"/>
      <c r="N469" s="58" t="n"/>
      <c r="O469" s="59" t="n"/>
      <c r="P469" s="62" t="n"/>
      <c r="Q469" s="63" t="n"/>
      <c r="R469" s="61">
        <f>IF($P469&gt;0,CHOOSE(MATCH($B$4,'Служебный лист'!$A$4:$A$8,0),I469,J469,K469,L469,M469),"")</f>
        <v/>
      </c>
      <c r="S469" s="61">
        <f>IFERROR($P469*$R469,0)</f>
        <v/>
      </c>
      <c r="T469" s="61">
        <f>$S469*1.22</f>
        <v/>
      </c>
      <c r="U469" s="64">
        <f>IF($P469&gt;0,COUNTIF($P$11:P469,"&gt;0"),"")</f>
        <v/>
      </c>
    </row>
    <row r="470" ht="14.25" customHeight="1" s="49">
      <c r="A470" s="58" t="n"/>
      <c r="B470" s="58" t="n"/>
      <c r="C470" s="59" t="n"/>
      <c r="D470" s="59" t="n"/>
      <c r="E470" s="59" t="n"/>
      <c r="F470" s="58" t="n"/>
      <c r="G470" s="60" t="n"/>
      <c r="H470" s="60" t="n"/>
      <c r="I470" s="61" t="n"/>
      <c r="J470" s="61" t="n"/>
      <c r="K470" s="61" t="n"/>
      <c r="L470" s="61" t="n"/>
      <c r="M470" s="61" t="n"/>
      <c r="N470" s="58" t="n"/>
      <c r="O470" s="59" t="n"/>
      <c r="P470" s="62" t="n"/>
      <c r="Q470" s="63" t="n"/>
      <c r="R470" s="61">
        <f>IF($P470&gt;0,CHOOSE(MATCH($B$4,'Служебный лист'!$A$4:$A$8,0),I470,J470,K470,L470,M470),"")</f>
        <v/>
      </c>
      <c r="S470" s="61">
        <f>IFERROR($P470*$R470,0)</f>
        <v/>
      </c>
      <c r="T470" s="61">
        <f>$S470*1.22</f>
        <v/>
      </c>
      <c r="U470" s="64">
        <f>IF($P470&gt;0,COUNTIF($P$11:P470,"&gt;0"),"")</f>
        <v/>
      </c>
    </row>
    <row r="471" ht="14.25" customHeight="1" s="49">
      <c r="A471" s="58" t="n"/>
      <c r="B471" s="58" t="n"/>
      <c r="C471" s="59" t="n"/>
      <c r="D471" s="59" t="n"/>
      <c r="E471" s="59" t="n"/>
      <c r="F471" s="58" t="n"/>
      <c r="G471" s="60" t="n"/>
      <c r="H471" s="60" t="n"/>
      <c r="I471" s="61" t="n"/>
      <c r="J471" s="61" t="n"/>
      <c r="K471" s="61" t="n"/>
      <c r="L471" s="61" t="n"/>
      <c r="M471" s="61" t="n"/>
      <c r="N471" s="58" t="n"/>
      <c r="O471" s="59" t="n"/>
      <c r="P471" s="62" t="n"/>
      <c r="Q471" s="63" t="n"/>
      <c r="R471" s="61">
        <f>IF($P471&gt;0,CHOOSE(MATCH($B$4,'Служебный лист'!$A$4:$A$8,0),I471,J471,K471,L471,M471),"")</f>
        <v/>
      </c>
      <c r="S471" s="61">
        <f>IFERROR($P471*$R471,0)</f>
        <v/>
      </c>
      <c r="T471" s="61">
        <f>$S471*1.22</f>
        <v/>
      </c>
      <c r="U471" s="64">
        <f>IF($P471&gt;0,COUNTIF($P$11:P471,"&gt;0"),"")</f>
        <v/>
      </c>
    </row>
    <row r="472" ht="14.25" customHeight="1" s="49">
      <c r="A472" s="58" t="n"/>
      <c r="B472" s="58" t="n"/>
      <c r="C472" s="59" t="n"/>
      <c r="D472" s="59" t="n"/>
      <c r="E472" s="59" t="n"/>
      <c r="F472" s="58" t="n"/>
      <c r="G472" s="60" t="n"/>
      <c r="H472" s="60" t="n"/>
      <c r="I472" s="61" t="n"/>
      <c r="J472" s="61" t="n"/>
      <c r="K472" s="61" t="n"/>
      <c r="L472" s="61" t="n"/>
      <c r="M472" s="61" t="n"/>
      <c r="N472" s="58" t="n"/>
      <c r="O472" s="59" t="n"/>
      <c r="P472" s="62" t="n"/>
      <c r="Q472" s="63" t="n"/>
      <c r="R472" s="61">
        <f>IF($P472&gt;0,CHOOSE(MATCH($B$4,'Служебный лист'!$A$4:$A$8,0),I472,J472,K472,L472,M472),"")</f>
        <v/>
      </c>
      <c r="S472" s="61">
        <f>IFERROR($P472*$R472,0)</f>
        <v/>
      </c>
      <c r="T472" s="61">
        <f>$S472*1.22</f>
        <v/>
      </c>
      <c r="U472" s="64">
        <f>IF($P472&gt;0,COUNTIF($P$11:P472,"&gt;0"),"")</f>
        <v/>
      </c>
    </row>
    <row r="473" ht="14.25" customHeight="1" s="49">
      <c r="A473" s="58" t="n"/>
      <c r="B473" s="58" t="n"/>
      <c r="C473" s="59" t="n"/>
      <c r="D473" s="59" t="n"/>
      <c r="E473" s="59" t="n"/>
      <c r="F473" s="58" t="n"/>
      <c r="G473" s="60" t="n"/>
      <c r="H473" s="60" t="n"/>
      <c r="I473" s="61" t="n"/>
      <c r="J473" s="61" t="n"/>
      <c r="K473" s="61" t="n"/>
      <c r="L473" s="61" t="n"/>
      <c r="M473" s="61" t="n"/>
      <c r="N473" s="58" t="n"/>
      <c r="O473" s="59" t="n"/>
      <c r="P473" s="62" t="n"/>
      <c r="Q473" s="63" t="n"/>
      <c r="R473" s="61">
        <f>IF($P473&gt;0,CHOOSE(MATCH($B$4,'Служебный лист'!$A$4:$A$8,0),I473,J473,K473,L473,M473),"")</f>
        <v/>
      </c>
      <c r="S473" s="61">
        <f>IFERROR($P473*$R473,0)</f>
        <v/>
      </c>
      <c r="T473" s="61">
        <f>$S473*1.22</f>
        <v/>
      </c>
      <c r="U473" s="64">
        <f>IF($P473&gt;0,COUNTIF($P$11:P473,"&gt;0"),"")</f>
        <v/>
      </c>
    </row>
    <row r="474" ht="14.25" customHeight="1" s="49">
      <c r="A474" s="58" t="n"/>
      <c r="B474" s="58" t="n"/>
      <c r="C474" s="59" t="n"/>
      <c r="D474" s="59" t="n"/>
      <c r="E474" s="59" t="n"/>
      <c r="F474" s="58" t="n"/>
      <c r="G474" s="60" t="n"/>
      <c r="H474" s="60" t="n"/>
      <c r="I474" s="61" t="n"/>
      <c r="J474" s="61" t="n"/>
      <c r="K474" s="61" t="n"/>
      <c r="L474" s="61" t="n"/>
      <c r="M474" s="61" t="n"/>
      <c r="N474" s="58" t="n"/>
      <c r="O474" s="59" t="n"/>
      <c r="P474" s="62" t="n"/>
      <c r="Q474" s="63" t="n"/>
      <c r="R474" s="61">
        <f>IF($P474&gt;0,CHOOSE(MATCH($B$4,'Служебный лист'!$A$4:$A$8,0),I474,J474,K474,L474,M474),"")</f>
        <v/>
      </c>
      <c r="S474" s="61">
        <f>IFERROR($P474*$R474,0)</f>
        <v/>
      </c>
      <c r="T474" s="61">
        <f>$S474*1.22</f>
        <v/>
      </c>
      <c r="U474" s="64">
        <f>IF($P474&gt;0,COUNTIF($P$11:P474,"&gt;0"),"")</f>
        <v/>
      </c>
    </row>
    <row r="475" ht="14.25" customHeight="1" s="49">
      <c r="A475" s="58" t="n"/>
      <c r="B475" s="58" t="n"/>
      <c r="C475" s="59" t="n"/>
      <c r="D475" s="59" t="n"/>
      <c r="E475" s="59" t="n"/>
      <c r="F475" s="58" t="n"/>
      <c r="G475" s="60" t="n"/>
      <c r="H475" s="60" t="n"/>
      <c r="I475" s="61" t="n"/>
      <c r="J475" s="61" t="n"/>
      <c r="K475" s="61" t="n"/>
      <c r="L475" s="61" t="n"/>
      <c r="M475" s="61" t="n"/>
      <c r="N475" s="58" t="n"/>
      <c r="O475" s="59" t="n"/>
      <c r="P475" s="62" t="n"/>
      <c r="Q475" s="63" t="n"/>
      <c r="R475" s="61">
        <f>IF($P475&gt;0,CHOOSE(MATCH($B$4,'Служебный лист'!$A$4:$A$8,0),I475,J475,K475,L475,M475),"")</f>
        <v/>
      </c>
      <c r="S475" s="61">
        <f>IFERROR($P475*$R475,0)</f>
        <v/>
      </c>
      <c r="T475" s="61">
        <f>$S475*1.22</f>
        <v/>
      </c>
      <c r="U475" s="64">
        <f>IF($P475&gt;0,COUNTIF($P$11:P475,"&gt;0"),"")</f>
        <v/>
      </c>
    </row>
    <row r="476" ht="14.25" customHeight="1" s="49">
      <c r="A476" s="58" t="n"/>
      <c r="B476" s="58" t="n"/>
      <c r="C476" s="59" t="n"/>
      <c r="D476" s="59" t="n"/>
      <c r="E476" s="59" t="n"/>
      <c r="F476" s="58" t="n"/>
      <c r="G476" s="60" t="n"/>
      <c r="H476" s="60" t="n"/>
      <c r="I476" s="61" t="n"/>
      <c r="J476" s="61" t="n"/>
      <c r="K476" s="61" t="n"/>
      <c r="L476" s="61" t="n"/>
      <c r="M476" s="61" t="n"/>
      <c r="N476" s="58" t="n"/>
      <c r="O476" s="59" t="n"/>
      <c r="P476" s="62" t="n"/>
      <c r="Q476" s="63" t="n"/>
      <c r="R476" s="61">
        <f>IF($P476&gt;0,CHOOSE(MATCH($B$4,'Служебный лист'!$A$4:$A$8,0),I476,J476,K476,L476,M476),"")</f>
        <v/>
      </c>
      <c r="S476" s="61">
        <f>IFERROR($P476*$R476,0)</f>
        <v/>
      </c>
      <c r="T476" s="61">
        <f>$S476*1.22</f>
        <v/>
      </c>
      <c r="U476" s="64">
        <f>IF($P476&gt;0,COUNTIF($P$11:P476,"&gt;0"),"")</f>
        <v/>
      </c>
    </row>
    <row r="477" ht="14.25" customHeight="1" s="49">
      <c r="A477" s="58" t="n"/>
      <c r="B477" s="58" t="n"/>
      <c r="C477" s="59" t="n"/>
      <c r="D477" s="59" t="n"/>
      <c r="E477" s="59" t="n"/>
      <c r="F477" s="58" t="n"/>
      <c r="G477" s="60" t="n"/>
      <c r="H477" s="60" t="n"/>
      <c r="I477" s="61" t="n"/>
      <c r="J477" s="61" t="n"/>
      <c r="K477" s="61" t="n"/>
      <c r="L477" s="61" t="n"/>
      <c r="M477" s="61" t="n"/>
      <c r="N477" s="58" t="n"/>
      <c r="O477" s="59" t="n"/>
      <c r="P477" s="62" t="n"/>
      <c r="Q477" s="63" t="n"/>
      <c r="R477" s="61">
        <f>IF($P477&gt;0,CHOOSE(MATCH($B$4,'Служебный лист'!$A$4:$A$8,0),I477,J477,K477,L477,M477),"")</f>
        <v/>
      </c>
      <c r="S477" s="61">
        <f>IFERROR($P477*$R477,0)</f>
        <v/>
      </c>
      <c r="T477" s="61">
        <f>$S477*1.22</f>
        <v/>
      </c>
      <c r="U477" s="64">
        <f>IF($P477&gt;0,COUNTIF($P$11:P477,"&gt;0"),"")</f>
        <v/>
      </c>
    </row>
    <row r="478" ht="14.25" customHeight="1" s="49">
      <c r="A478" s="58" t="n"/>
      <c r="B478" s="58" t="n"/>
      <c r="C478" s="59" t="n"/>
      <c r="D478" s="59" t="n"/>
      <c r="E478" s="59" t="n"/>
      <c r="F478" s="58" t="n"/>
      <c r="G478" s="60" t="n"/>
      <c r="H478" s="60" t="n"/>
      <c r="I478" s="61" t="n"/>
      <c r="J478" s="61" t="n"/>
      <c r="K478" s="61" t="n"/>
      <c r="L478" s="61" t="n"/>
      <c r="M478" s="61" t="n"/>
      <c r="N478" s="58" t="n"/>
      <c r="O478" s="59" t="n"/>
      <c r="P478" s="62" t="n"/>
      <c r="Q478" s="63" t="n"/>
      <c r="R478" s="61">
        <f>IF($P478&gt;0,CHOOSE(MATCH($B$4,'Служебный лист'!$A$4:$A$8,0),I478,J478,K478,L478,M478),"")</f>
        <v/>
      </c>
      <c r="S478" s="61">
        <f>IFERROR($P478*$R478,0)</f>
        <v/>
      </c>
      <c r="T478" s="61">
        <f>$S478*1.22</f>
        <v/>
      </c>
      <c r="U478" s="64">
        <f>IF($P478&gt;0,COUNTIF($P$11:P478,"&gt;0"),"")</f>
        <v/>
      </c>
    </row>
    <row r="479" ht="14.25" customHeight="1" s="49">
      <c r="A479" s="58" t="n"/>
      <c r="B479" s="58" t="n"/>
      <c r="C479" s="59" t="n"/>
      <c r="D479" s="59" t="n"/>
      <c r="E479" s="59" t="n"/>
      <c r="F479" s="58" t="n"/>
      <c r="G479" s="60" t="n"/>
      <c r="H479" s="60" t="n"/>
      <c r="I479" s="61" t="n"/>
      <c r="J479" s="61" t="n"/>
      <c r="K479" s="61" t="n"/>
      <c r="L479" s="61" t="n"/>
      <c r="M479" s="61" t="n"/>
      <c r="N479" s="58" t="n"/>
      <c r="O479" s="59" t="n"/>
      <c r="P479" s="62" t="n"/>
      <c r="Q479" s="63" t="n"/>
      <c r="R479" s="61">
        <f>IF($P479&gt;0,CHOOSE(MATCH($B$4,'Служебный лист'!$A$4:$A$8,0),I479,J479,K479,L479,M479),"")</f>
        <v/>
      </c>
      <c r="S479" s="61">
        <f>IFERROR($P479*$R479,0)</f>
        <v/>
      </c>
      <c r="T479" s="61">
        <f>$S479*1.22</f>
        <v/>
      </c>
      <c r="U479" s="64">
        <f>IF($P479&gt;0,COUNTIF($P$11:P479,"&gt;0"),"")</f>
        <v/>
      </c>
    </row>
    <row r="480" ht="14.25" customHeight="1" s="49">
      <c r="A480" s="58" t="n"/>
      <c r="B480" s="58" t="n"/>
      <c r="C480" s="59" t="n"/>
      <c r="D480" s="59" t="n"/>
      <c r="E480" s="59" t="n"/>
      <c r="F480" s="58" t="n"/>
      <c r="G480" s="60" t="n"/>
      <c r="H480" s="60" t="n"/>
      <c r="I480" s="61" t="n"/>
      <c r="J480" s="61" t="n"/>
      <c r="K480" s="61" t="n"/>
      <c r="L480" s="61" t="n"/>
      <c r="M480" s="61" t="n"/>
      <c r="N480" s="58" t="n"/>
      <c r="O480" s="59" t="n"/>
      <c r="P480" s="62" t="n"/>
      <c r="Q480" s="63" t="n"/>
      <c r="R480" s="61">
        <f>IF($P480&gt;0,CHOOSE(MATCH($B$4,'Служебный лист'!$A$4:$A$8,0),I480,J480,K480,L480,M480),"")</f>
        <v/>
      </c>
      <c r="S480" s="61">
        <f>IFERROR($P480*$R480,0)</f>
        <v/>
      </c>
      <c r="T480" s="61">
        <f>$S480*1.22</f>
        <v/>
      </c>
      <c r="U480" s="64">
        <f>IF($P480&gt;0,COUNTIF($P$11:P480,"&gt;0"),"")</f>
        <v/>
      </c>
    </row>
    <row r="481" ht="14.25" customHeight="1" s="49">
      <c r="A481" s="58" t="n"/>
      <c r="B481" s="58" t="n"/>
      <c r="C481" s="59" t="n"/>
      <c r="D481" s="59" t="n"/>
      <c r="E481" s="59" t="n"/>
      <c r="F481" s="58" t="n"/>
      <c r="G481" s="60" t="n"/>
      <c r="H481" s="60" t="n"/>
      <c r="I481" s="61" t="n"/>
      <c r="J481" s="61" t="n"/>
      <c r="K481" s="61" t="n"/>
      <c r="L481" s="61" t="n"/>
      <c r="M481" s="61" t="n"/>
      <c r="N481" s="58" t="n"/>
      <c r="O481" s="59" t="n"/>
      <c r="P481" s="62" t="n"/>
      <c r="Q481" s="63" t="n"/>
      <c r="R481" s="61">
        <f>IF($P481&gt;0,CHOOSE(MATCH($B$4,'Служебный лист'!$A$4:$A$8,0),I481,J481,K481,L481,M481),"")</f>
        <v/>
      </c>
      <c r="S481" s="61">
        <f>IFERROR($P481*$R481,0)</f>
        <v/>
      </c>
      <c r="T481" s="61">
        <f>$S481*1.22</f>
        <v/>
      </c>
      <c r="U481" s="64">
        <f>IF($P481&gt;0,COUNTIF($P$11:P481,"&gt;0"),"")</f>
        <v/>
      </c>
    </row>
    <row r="482" ht="14.25" customHeight="1" s="49">
      <c r="A482" s="58" t="n"/>
      <c r="B482" s="58" t="n"/>
      <c r="C482" s="59" t="n"/>
      <c r="D482" s="59" t="n"/>
      <c r="E482" s="59" t="n"/>
      <c r="F482" s="58" t="n"/>
      <c r="G482" s="60" t="n"/>
      <c r="H482" s="60" t="n"/>
      <c r="I482" s="61" t="n"/>
      <c r="J482" s="61" t="n"/>
      <c r="K482" s="61" t="n"/>
      <c r="L482" s="61" t="n"/>
      <c r="M482" s="61" t="n"/>
      <c r="N482" s="58" t="n"/>
      <c r="O482" s="59" t="n"/>
      <c r="P482" s="62" t="n"/>
      <c r="Q482" s="63" t="n"/>
      <c r="R482" s="61">
        <f>IF($P482&gt;0,CHOOSE(MATCH($B$4,'Служебный лист'!$A$4:$A$8,0),I482,J482,K482,L482,M482),"")</f>
        <v/>
      </c>
      <c r="S482" s="61">
        <f>IFERROR($P482*$R482,0)</f>
        <v/>
      </c>
      <c r="T482" s="61">
        <f>$S482*1.22</f>
        <v/>
      </c>
      <c r="U482" s="64">
        <f>IF($P482&gt;0,COUNTIF($P$11:P482,"&gt;0"),"")</f>
        <v/>
      </c>
    </row>
    <row r="483" ht="14.25" customHeight="1" s="49">
      <c r="A483" s="58" t="n"/>
      <c r="B483" s="58" t="n"/>
      <c r="C483" s="59" t="n"/>
      <c r="D483" s="59" t="n"/>
      <c r="E483" s="59" t="n"/>
      <c r="F483" s="58" t="n"/>
      <c r="G483" s="60" t="n"/>
      <c r="H483" s="60" t="n"/>
      <c r="I483" s="61" t="n"/>
      <c r="J483" s="61" t="n"/>
      <c r="K483" s="61" t="n"/>
      <c r="L483" s="61" t="n"/>
      <c r="M483" s="61" t="n"/>
      <c r="N483" s="58" t="n"/>
      <c r="O483" s="59" t="n"/>
      <c r="P483" s="62" t="n"/>
      <c r="Q483" s="63" t="n"/>
      <c r="R483" s="61">
        <f>IF($P483&gt;0,CHOOSE(MATCH($B$4,'Служебный лист'!$A$4:$A$8,0),I483,J483,K483,L483,M483),"")</f>
        <v/>
      </c>
      <c r="S483" s="61">
        <f>IFERROR($P483*$R483,0)</f>
        <v/>
      </c>
      <c r="T483" s="61">
        <f>$S483*1.22</f>
        <v/>
      </c>
      <c r="U483" s="64">
        <f>IF($P483&gt;0,COUNTIF($P$11:P483,"&gt;0"),"")</f>
        <v/>
      </c>
    </row>
    <row r="484" ht="14.25" customHeight="1" s="49">
      <c r="A484" s="58" t="n"/>
      <c r="B484" s="58" t="n"/>
      <c r="C484" s="59" t="n"/>
      <c r="D484" s="59" t="n"/>
      <c r="E484" s="59" t="n"/>
      <c r="F484" s="58" t="n"/>
      <c r="G484" s="60" t="n"/>
      <c r="H484" s="60" t="n"/>
      <c r="I484" s="61" t="n"/>
      <c r="J484" s="61" t="n"/>
      <c r="K484" s="61" t="n"/>
      <c r="L484" s="61" t="n"/>
      <c r="M484" s="61" t="n"/>
      <c r="N484" s="58" t="n"/>
      <c r="O484" s="59" t="n"/>
      <c r="P484" s="62" t="n"/>
      <c r="Q484" s="63" t="n"/>
      <c r="R484" s="61">
        <f>IF($P484&gt;0,CHOOSE(MATCH($B$4,'Служебный лист'!$A$4:$A$8,0),I484,J484,K484,L484,M484),"")</f>
        <v/>
      </c>
      <c r="S484" s="61">
        <f>IFERROR($P484*$R484,0)</f>
        <v/>
      </c>
      <c r="T484" s="61">
        <f>$S484*1.22</f>
        <v/>
      </c>
      <c r="U484" s="64">
        <f>IF($P484&gt;0,COUNTIF($P$11:P484,"&gt;0"),"")</f>
        <v/>
      </c>
    </row>
    <row r="485" ht="14.25" customHeight="1" s="49">
      <c r="A485" s="58" t="n"/>
      <c r="B485" s="58" t="n"/>
      <c r="C485" s="59" t="n"/>
      <c r="D485" s="59" t="n"/>
      <c r="E485" s="59" t="n"/>
      <c r="F485" s="58" t="n"/>
      <c r="G485" s="60" t="n"/>
      <c r="H485" s="60" t="n"/>
      <c r="I485" s="61" t="n"/>
      <c r="J485" s="61" t="n"/>
      <c r="K485" s="61" t="n"/>
      <c r="L485" s="61" t="n"/>
      <c r="M485" s="61" t="n"/>
      <c r="N485" s="58" t="n"/>
      <c r="O485" s="59" t="n"/>
      <c r="P485" s="62" t="n"/>
      <c r="Q485" s="63" t="n"/>
      <c r="R485" s="61">
        <f>IF($P485&gt;0,CHOOSE(MATCH($B$4,'Служебный лист'!$A$4:$A$8,0),I485,J485,K485,L485,M485),"")</f>
        <v/>
      </c>
      <c r="S485" s="61">
        <f>IFERROR($P485*$R485,0)</f>
        <v/>
      </c>
      <c r="T485" s="61">
        <f>$S485*1.22</f>
        <v/>
      </c>
      <c r="U485" s="64">
        <f>IF($P485&gt;0,COUNTIF($P$11:P485,"&gt;0"),"")</f>
        <v/>
      </c>
    </row>
    <row r="486" ht="14.25" customHeight="1" s="49">
      <c r="A486" s="58" t="n"/>
      <c r="B486" s="58" t="n"/>
      <c r="C486" s="59" t="n"/>
      <c r="D486" s="59" t="n"/>
      <c r="E486" s="59" t="n"/>
      <c r="F486" s="58" t="n"/>
      <c r="G486" s="60" t="n"/>
      <c r="H486" s="60" t="n"/>
      <c r="I486" s="61" t="n"/>
      <c r="J486" s="61" t="n"/>
      <c r="K486" s="61" t="n"/>
      <c r="L486" s="61" t="n"/>
      <c r="M486" s="61" t="n"/>
      <c r="N486" s="58" t="n"/>
      <c r="O486" s="59" t="n"/>
      <c r="P486" s="62" t="n"/>
      <c r="Q486" s="63" t="n"/>
      <c r="R486" s="61">
        <f>IF($P486&gt;0,CHOOSE(MATCH($B$4,'Служебный лист'!$A$4:$A$8,0),I486,J486,K486,L486,M486),"")</f>
        <v/>
      </c>
      <c r="S486" s="61">
        <f>IFERROR($P486*$R486,0)</f>
        <v/>
      </c>
      <c r="T486" s="61">
        <f>$S486*1.22</f>
        <v/>
      </c>
      <c r="U486" s="64">
        <f>IF($P486&gt;0,COUNTIF($P$11:P486,"&gt;0"),"")</f>
        <v/>
      </c>
    </row>
    <row r="487" ht="14.25" customHeight="1" s="49">
      <c r="A487" s="58" t="n"/>
      <c r="B487" s="58" t="n"/>
      <c r="C487" s="59" t="n"/>
      <c r="D487" s="59" t="n"/>
      <c r="E487" s="59" t="n"/>
      <c r="F487" s="58" t="n"/>
      <c r="G487" s="60" t="n"/>
      <c r="H487" s="60" t="n"/>
      <c r="I487" s="61" t="n"/>
      <c r="J487" s="61" t="n"/>
      <c r="K487" s="61" t="n"/>
      <c r="L487" s="61" t="n"/>
      <c r="M487" s="61" t="n"/>
      <c r="N487" s="58" t="n"/>
      <c r="O487" s="59" t="n"/>
      <c r="P487" s="62" t="n"/>
      <c r="Q487" s="63" t="n"/>
      <c r="R487" s="61">
        <f>IF($P487&gt;0,CHOOSE(MATCH($B$4,'Служебный лист'!$A$4:$A$8,0),I487,J487,K487,L487,M487),"")</f>
        <v/>
      </c>
      <c r="S487" s="61">
        <f>IFERROR($P487*$R487,0)</f>
        <v/>
      </c>
      <c r="T487" s="61">
        <f>$S487*1.22</f>
        <v/>
      </c>
      <c r="U487" s="64">
        <f>IF($P487&gt;0,COUNTIF($P$11:P487,"&gt;0"),"")</f>
        <v/>
      </c>
    </row>
    <row r="488" ht="14.25" customHeight="1" s="49">
      <c r="A488" s="58" t="n"/>
      <c r="B488" s="58" t="n"/>
      <c r="C488" s="59" t="n"/>
      <c r="D488" s="59" t="n"/>
      <c r="E488" s="59" t="n"/>
      <c r="F488" s="58" t="n"/>
      <c r="G488" s="60" t="n"/>
      <c r="H488" s="60" t="n"/>
      <c r="I488" s="61" t="n"/>
      <c r="J488" s="61" t="n"/>
      <c r="K488" s="61" t="n"/>
      <c r="L488" s="61" t="n"/>
      <c r="M488" s="61" t="n"/>
      <c r="N488" s="58" t="n"/>
      <c r="O488" s="59" t="n"/>
      <c r="P488" s="62" t="n"/>
      <c r="Q488" s="63" t="n"/>
      <c r="R488" s="61">
        <f>IF($P488&gt;0,CHOOSE(MATCH($B$4,'Служебный лист'!$A$4:$A$8,0),I488,J488,K488,L488,M488),"")</f>
        <v/>
      </c>
      <c r="S488" s="61">
        <f>IFERROR($P488*$R488,0)</f>
        <v/>
      </c>
      <c r="T488" s="61">
        <f>$S488*1.22</f>
        <v/>
      </c>
      <c r="U488" s="64">
        <f>IF($P488&gt;0,COUNTIF($P$11:P488,"&gt;0"),"")</f>
        <v/>
      </c>
    </row>
    <row r="489" ht="14.25" customHeight="1" s="49">
      <c r="A489" s="58" t="n"/>
      <c r="B489" s="58" t="n"/>
      <c r="C489" s="59" t="n"/>
      <c r="D489" s="59" t="n"/>
      <c r="E489" s="59" t="n"/>
      <c r="F489" s="58" t="n"/>
      <c r="G489" s="60" t="n"/>
      <c r="H489" s="60" t="n"/>
      <c r="I489" s="61" t="n"/>
      <c r="J489" s="61" t="n"/>
      <c r="K489" s="61" t="n"/>
      <c r="L489" s="61" t="n"/>
      <c r="M489" s="61" t="n"/>
      <c r="N489" s="58" t="n"/>
      <c r="O489" s="59" t="n"/>
      <c r="P489" s="62" t="n"/>
      <c r="Q489" s="63" t="n"/>
      <c r="R489" s="61">
        <f>IF($P489&gt;0,CHOOSE(MATCH($B$4,'Служебный лист'!$A$4:$A$8,0),I489,J489,K489,L489,M489),"")</f>
        <v/>
      </c>
      <c r="S489" s="61">
        <f>IFERROR($P489*$R489,0)</f>
        <v/>
      </c>
      <c r="T489" s="61">
        <f>$S489*1.22</f>
        <v/>
      </c>
      <c r="U489" s="64">
        <f>IF($P489&gt;0,COUNTIF($P$11:P489,"&gt;0"),"")</f>
        <v/>
      </c>
    </row>
    <row r="490" ht="14.25" customHeight="1" s="49">
      <c r="A490" s="58" t="n"/>
      <c r="B490" s="58" t="n"/>
      <c r="C490" s="59" t="n"/>
      <c r="D490" s="59" t="n"/>
      <c r="E490" s="59" t="n"/>
      <c r="F490" s="58" t="n"/>
      <c r="G490" s="60" t="n"/>
      <c r="H490" s="60" t="n"/>
      <c r="I490" s="61" t="n"/>
      <c r="J490" s="61" t="n"/>
      <c r="K490" s="61" t="n"/>
      <c r="L490" s="61" t="n"/>
      <c r="M490" s="61" t="n"/>
      <c r="N490" s="58" t="n"/>
      <c r="O490" s="59" t="n"/>
      <c r="P490" s="62" t="n"/>
      <c r="Q490" s="63" t="n"/>
      <c r="R490" s="61">
        <f>IF($P490&gt;0,CHOOSE(MATCH($B$4,'Служебный лист'!$A$4:$A$8,0),I490,J490,K490,L490,M490),"")</f>
        <v/>
      </c>
      <c r="S490" s="61">
        <f>IFERROR($P490*$R490,0)</f>
        <v/>
      </c>
      <c r="T490" s="61">
        <f>$S490*1.22</f>
        <v/>
      </c>
      <c r="U490" s="64">
        <f>IF($P490&gt;0,COUNTIF($P$11:P490,"&gt;0"),"")</f>
        <v/>
      </c>
    </row>
    <row r="491" ht="14.25" customHeight="1" s="49">
      <c r="A491" s="58" t="n"/>
      <c r="B491" s="58" t="n"/>
      <c r="C491" s="59" t="n"/>
      <c r="D491" s="59" t="n"/>
      <c r="E491" s="59" t="n"/>
      <c r="F491" s="58" t="n"/>
      <c r="G491" s="60" t="n"/>
      <c r="H491" s="60" t="n"/>
      <c r="I491" s="61" t="n"/>
      <c r="J491" s="61" t="n"/>
      <c r="K491" s="61" t="n"/>
      <c r="L491" s="61" t="n"/>
      <c r="M491" s="61" t="n"/>
      <c r="N491" s="58" t="n"/>
      <c r="O491" s="59" t="n"/>
      <c r="P491" s="62" t="n"/>
      <c r="Q491" s="63" t="n"/>
      <c r="R491" s="61">
        <f>IF($P491&gt;0,CHOOSE(MATCH($B$4,'Служебный лист'!$A$4:$A$8,0),I491,J491,K491,L491,M491),"")</f>
        <v/>
      </c>
      <c r="S491" s="61">
        <f>IFERROR($P491*$R491,0)</f>
        <v/>
      </c>
      <c r="T491" s="61">
        <f>$S491*1.22</f>
        <v/>
      </c>
      <c r="U491" s="64">
        <f>IF($P491&gt;0,COUNTIF($P$11:P491,"&gt;0"),"")</f>
        <v/>
      </c>
    </row>
    <row r="492" ht="14.25" customHeight="1" s="49">
      <c r="A492" s="58" t="n"/>
      <c r="B492" s="58" t="n"/>
      <c r="C492" s="59" t="n"/>
      <c r="D492" s="59" t="n"/>
      <c r="E492" s="59" t="n"/>
      <c r="F492" s="58" t="n"/>
      <c r="G492" s="60" t="n"/>
      <c r="H492" s="60" t="n"/>
      <c r="I492" s="61" t="n"/>
      <c r="J492" s="61" t="n"/>
      <c r="K492" s="61" t="n"/>
      <c r="L492" s="61" t="n"/>
      <c r="M492" s="61" t="n"/>
      <c r="N492" s="58" t="n"/>
      <c r="O492" s="59" t="n"/>
      <c r="P492" s="62" t="n"/>
      <c r="Q492" s="63" t="n"/>
      <c r="R492" s="61">
        <f>IF($P492&gt;0,CHOOSE(MATCH($B$4,'Служебный лист'!$A$4:$A$8,0),I492,J492,K492,L492,M492),"")</f>
        <v/>
      </c>
      <c r="S492" s="61">
        <f>IFERROR($P492*$R492,0)</f>
        <v/>
      </c>
      <c r="T492" s="61">
        <f>$S492*1.22</f>
        <v/>
      </c>
      <c r="U492" s="64">
        <f>IF($P492&gt;0,COUNTIF($P$11:P492,"&gt;0"),"")</f>
        <v/>
      </c>
    </row>
    <row r="493" ht="14.25" customHeight="1" s="49">
      <c r="A493" s="58" t="n"/>
      <c r="B493" s="58" t="n"/>
      <c r="C493" s="59" t="n"/>
      <c r="D493" s="59" t="n"/>
      <c r="E493" s="59" t="n"/>
      <c r="F493" s="58" t="n"/>
      <c r="G493" s="60" t="n"/>
      <c r="H493" s="60" t="n"/>
      <c r="I493" s="61" t="n"/>
      <c r="J493" s="61" t="n"/>
      <c r="K493" s="61" t="n"/>
      <c r="L493" s="61" t="n"/>
      <c r="M493" s="61" t="n"/>
      <c r="N493" s="58" t="n"/>
      <c r="O493" s="59" t="n"/>
      <c r="P493" s="62" t="n"/>
      <c r="Q493" s="63" t="n"/>
      <c r="R493" s="61">
        <f>IF($P493&gt;0,CHOOSE(MATCH($B$4,'Служебный лист'!$A$4:$A$8,0),I493,J493,K493,L493,M493),"")</f>
        <v/>
      </c>
      <c r="S493" s="61">
        <f>IFERROR($P493*$R493,0)</f>
        <v/>
      </c>
      <c r="T493" s="61">
        <f>$S493*1.22</f>
        <v/>
      </c>
      <c r="U493" s="64">
        <f>IF($P493&gt;0,COUNTIF($P$11:P493,"&gt;0"),"")</f>
        <v/>
      </c>
    </row>
    <row r="494" ht="14.25" customHeight="1" s="49">
      <c r="A494" s="58" t="n"/>
      <c r="B494" s="58" t="n"/>
      <c r="C494" s="59" t="n"/>
      <c r="D494" s="59" t="n"/>
      <c r="E494" s="59" t="n"/>
      <c r="F494" s="58" t="n"/>
      <c r="G494" s="60" t="n"/>
      <c r="H494" s="60" t="n"/>
      <c r="I494" s="61" t="n"/>
      <c r="J494" s="61" t="n"/>
      <c r="K494" s="61" t="n"/>
      <c r="L494" s="61" t="n"/>
      <c r="M494" s="61" t="n"/>
      <c r="N494" s="58" t="n"/>
      <c r="O494" s="59" t="n"/>
      <c r="P494" s="62" t="n"/>
      <c r="Q494" s="63" t="n"/>
      <c r="R494" s="61">
        <f>IF($P494&gt;0,CHOOSE(MATCH($B$4,'Служебный лист'!$A$4:$A$8,0),I494,J494,K494,L494,M494),"")</f>
        <v/>
      </c>
      <c r="S494" s="61">
        <f>IFERROR($P494*$R494,0)</f>
        <v/>
      </c>
      <c r="T494" s="61">
        <f>$S494*1.22</f>
        <v/>
      </c>
      <c r="U494" s="64">
        <f>IF($P494&gt;0,COUNTIF($P$11:P494,"&gt;0"),"")</f>
        <v/>
      </c>
    </row>
    <row r="495" ht="14.25" customHeight="1" s="49">
      <c r="A495" s="58" t="n"/>
      <c r="B495" s="58" t="n"/>
      <c r="C495" s="59" t="n"/>
      <c r="D495" s="59" t="n"/>
      <c r="E495" s="59" t="n"/>
      <c r="F495" s="58" t="n"/>
      <c r="G495" s="60" t="n"/>
      <c r="H495" s="60" t="n"/>
      <c r="I495" s="61" t="n"/>
      <c r="J495" s="61" t="n"/>
      <c r="K495" s="61" t="n"/>
      <c r="L495" s="61" t="n"/>
      <c r="M495" s="61" t="n"/>
      <c r="N495" s="58" t="n"/>
      <c r="O495" s="59" t="n"/>
      <c r="P495" s="62" t="n"/>
      <c r="Q495" s="63" t="n"/>
      <c r="R495" s="61">
        <f>IF($P495&gt;0,CHOOSE(MATCH($B$4,'Служебный лист'!$A$4:$A$8,0),I495,J495,K495,L495,M495),"")</f>
        <v/>
      </c>
      <c r="S495" s="61">
        <f>IFERROR($P495*$R495,0)</f>
        <v/>
      </c>
      <c r="T495" s="61">
        <f>$S495*1.22</f>
        <v/>
      </c>
      <c r="U495" s="64">
        <f>IF($P495&gt;0,COUNTIF($P$11:P495,"&gt;0"),"")</f>
        <v/>
      </c>
    </row>
    <row r="496" ht="14.25" customHeight="1" s="49">
      <c r="A496" s="58" t="n"/>
      <c r="B496" s="58" t="n"/>
      <c r="C496" s="59" t="n"/>
      <c r="D496" s="59" t="n"/>
      <c r="E496" s="59" t="n"/>
      <c r="F496" s="58" t="n"/>
      <c r="G496" s="60" t="n"/>
      <c r="H496" s="60" t="n"/>
      <c r="I496" s="61" t="n"/>
      <c r="J496" s="61" t="n"/>
      <c r="K496" s="61" t="n"/>
      <c r="L496" s="61" t="n"/>
      <c r="M496" s="61" t="n"/>
      <c r="N496" s="58" t="n"/>
      <c r="O496" s="59" t="n"/>
      <c r="P496" s="62" t="n"/>
      <c r="Q496" s="63" t="n"/>
      <c r="R496" s="61">
        <f>IF($P496&gt;0,CHOOSE(MATCH($B$4,'Служебный лист'!$A$4:$A$8,0),I496,J496,K496,L496,M496),"")</f>
        <v/>
      </c>
      <c r="S496" s="61">
        <f>IFERROR($P496*$R496,0)</f>
        <v/>
      </c>
      <c r="T496" s="61">
        <f>$S496*1.22</f>
        <v/>
      </c>
      <c r="U496" s="64">
        <f>IF($P496&gt;0,COUNTIF($P$11:P496,"&gt;0"),"")</f>
        <v/>
      </c>
    </row>
    <row r="497" ht="14.25" customHeight="1" s="49">
      <c r="A497" s="58" t="n"/>
      <c r="B497" s="58" t="n"/>
      <c r="C497" s="59" t="n"/>
      <c r="D497" s="59" t="n"/>
      <c r="E497" s="59" t="n"/>
      <c r="F497" s="58" t="n"/>
      <c r="G497" s="60" t="n"/>
      <c r="H497" s="60" t="n"/>
      <c r="I497" s="61" t="n"/>
      <c r="J497" s="61" t="n"/>
      <c r="K497" s="61" t="n"/>
      <c r="L497" s="61" t="n"/>
      <c r="M497" s="61" t="n"/>
      <c r="N497" s="58" t="n"/>
      <c r="O497" s="59" t="n"/>
      <c r="P497" s="62" t="n"/>
      <c r="Q497" s="63" t="n"/>
      <c r="R497" s="61">
        <f>IF($P497&gt;0,CHOOSE(MATCH($B$4,'Служебный лист'!$A$4:$A$8,0),I497,J497,K497,L497,M497),"")</f>
        <v/>
      </c>
      <c r="S497" s="61">
        <f>IFERROR($P497*$R497,0)</f>
        <v/>
      </c>
      <c r="T497" s="61">
        <f>$S497*1.22</f>
        <v/>
      </c>
      <c r="U497" s="64">
        <f>IF($P497&gt;0,COUNTIF($P$11:P497,"&gt;0"),"")</f>
        <v/>
      </c>
    </row>
    <row r="498" ht="14.25" customHeight="1" s="49">
      <c r="A498" s="58" t="n"/>
      <c r="B498" s="58" t="n"/>
      <c r="C498" s="59" t="n"/>
      <c r="D498" s="59" t="n"/>
      <c r="E498" s="59" t="n"/>
      <c r="F498" s="58" t="n"/>
      <c r="G498" s="60" t="n"/>
      <c r="H498" s="60" t="n"/>
      <c r="I498" s="61" t="n"/>
      <c r="J498" s="61" t="n"/>
      <c r="K498" s="61" t="n"/>
      <c r="L498" s="61" t="n"/>
      <c r="M498" s="61" t="n"/>
      <c r="N498" s="58" t="n"/>
      <c r="O498" s="59" t="n"/>
      <c r="P498" s="62" t="n"/>
      <c r="Q498" s="63" t="n"/>
      <c r="R498" s="61">
        <f>IF($P498&gt;0,CHOOSE(MATCH($B$4,'Служебный лист'!$A$4:$A$8,0),I498,J498,K498,L498,M498),"")</f>
        <v/>
      </c>
      <c r="S498" s="61">
        <f>IFERROR($P498*$R498,0)</f>
        <v/>
      </c>
      <c r="T498" s="61">
        <f>$S498*1.22</f>
        <v/>
      </c>
      <c r="U498" s="64">
        <f>IF($P498&gt;0,COUNTIF($P$11:P498,"&gt;0"),"")</f>
        <v/>
      </c>
    </row>
    <row r="499" ht="14.25" customHeight="1" s="49">
      <c r="A499" s="58" t="n"/>
      <c r="B499" s="58" t="n"/>
      <c r="C499" s="59" t="n"/>
      <c r="D499" s="59" t="n"/>
      <c r="E499" s="59" t="n"/>
      <c r="F499" s="58" t="n"/>
      <c r="G499" s="60" t="n"/>
      <c r="H499" s="60" t="n"/>
      <c r="I499" s="61" t="n"/>
      <c r="J499" s="61" t="n"/>
      <c r="K499" s="61" t="n"/>
      <c r="L499" s="61" t="n"/>
      <c r="M499" s="61" t="n"/>
      <c r="N499" s="58" t="n"/>
      <c r="O499" s="59" t="n"/>
      <c r="P499" s="62" t="n"/>
      <c r="Q499" s="63" t="n"/>
      <c r="R499" s="61">
        <f>IF($P499&gt;0,CHOOSE(MATCH($B$4,'Служебный лист'!$A$4:$A$8,0),I499,J499,K499,L499,M499),"")</f>
        <v/>
      </c>
      <c r="S499" s="61">
        <f>IFERROR($P499*$R499,0)</f>
        <v/>
      </c>
      <c r="T499" s="61">
        <f>$S499*1.22</f>
        <v/>
      </c>
      <c r="U499" s="64">
        <f>IF($P499&gt;0,COUNTIF($P$11:P499,"&gt;0"),"")</f>
        <v/>
      </c>
    </row>
    <row r="500" ht="14.25" customHeight="1" s="49">
      <c r="A500" s="58" t="n"/>
      <c r="B500" s="58" t="n"/>
      <c r="C500" s="59" t="n"/>
      <c r="D500" s="59" t="n"/>
      <c r="E500" s="59" t="n"/>
      <c r="F500" s="58" t="n"/>
      <c r="G500" s="60" t="n"/>
      <c r="H500" s="60" t="n"/>
      <c r="I500" s="61" t="n"/>
      <c r="J500" s="61" t="n"/>
      <c r="K500" s="61" t="n"/>
      <c r="L500" s="61" t="n"/>
      <c r="M500" s="61" t="n"/>
      <c r="N500" s="58" t="n"/>
      <c r="O500" s="59" t="n"/>
      <c r="P500" s="62" t="n"/>
      <c r="Q500" s="63" t="n"/>
      <c r="R500" s="61">
        <f>IF($P500&gt;0,CHOOSE(MATCH($B$4,'Служебный лист'!$A$4:$A$8,0),I500,J500,K500,L500,M500),"")</f>
        <v/>
      </c>
      <c r="S500" s="61">
        <f>IFERROR($P500*$R500,0)</f>
        <v/>
      </c>
      <c r="T500" s="61">
        <f>$S500*1.22</f>
        <v/>
      </c>
      <c r="U500" s="64">
        <f>IF($P500&gt;0,COUNTIF($P$11:P500,"&gt;0"),"")</f>
        <v/>
      </c>
    </row>
    <row r="501" ht="14.25" customHeight="1" s="49">
      <c r="A501" s="58" t="n"/>
      <c r="B501" s="58" t="n"/>
      <c r="C501" s="59" t="n"/>
      <c r="D501" s="59" t="n"/>
      <c r="E501" s="59" t="n"/>
      <c r="F501" s="58" t="n"/>
      <c r="G501" s="60" t="n"/>
      <c r="H501" s="60" t="n"/>
      <c r="I501" s="61" t="n"/>
      <c r="J501" s="61" t="n"/>
      <c r="K501" s="61" t="n"/>
      <c r="L501" s="61" t="n"/>
      <c r="M501" s="61" t="n"/>
      <c r="N501" s="58" t="n"/>
      <c r="O501" s="59" t="n"/>
      <c r="P501" s="62" t="n"/>
      <c r="Q501" s="63" t="n"/>
      <c r="R501" s="61">
        <f>IF($P501&gt;0,CHOOSE(MATCH($B$4,'Служебный лист'!$A$4:$A$8,0),I501,J501,K501,L501,M501),"")</f>
        <v/>
      </c>
      <c r="S501" s="61">
        <f>IFERROR($P501*$R501,0)</f>
        <v/>
      </c>
      <c r="T501" s="61">
        <f>$S501*1.22</f>
        <v/>
      </c>
      <c r="U501" s="64">
        <f>IF($P501&gt;0,COUNTIF($P$11:P501,"&gt;0"),"")</f>
        <v/>
      </c>
    </row>
    <row r="502" ht="14.25" customHeight="1" s="49">
      <c r="A502" s="58" t="n"/>
      <c r="B502" s="58" t="n"/>
      <c r="C502" s="59" t="n"/>
      <c r="D502" s="59" t="n"/>
      <c r="E502" s="59" t="n"/>
      <c r="F502" s="58" t="n"/>
      <c r="G502" s="60" t="n"/>
      <c r="H502" s="60" t="n"/>
      <c r="I502" s="61" t="n"/>
      <c r="J502" s="61" t="n"/>
      <c r="K502" s="61" t="n"/>
      <c r="L502" s="61" t="n"/>
      <c r="M502" s="61" t="n"/>
      <c r="N502" s="58" t="n"/>
      <c r="O502" s="59" t="n"/>
      <c r="P502" s="62" t="n"/>
      <c r="Q502" s="63" t="n"/>
      <c r="R502" s="61">
        <f>IF($P502&gt;0,CHOOSE(MATCH($B$4,'Служебный лист'!$A$4:$A$8,0),I502,J502,K502,L502,M502),"")</f>
        <v/>
      </c>
      <c r="S502" s="61">
        <f>IFERROR($P502*$R502,0)</f>
        <v/>
      </c>
      <c r="T502" s="61">
        <f>$S502*1.22</f>
        <v/>
      </c>
      <c r="U502" s="64">
        <f>IF($P502&gt;0,COUNTIF($P$11:P502,"&gt;0"),"")</f>
        <v/>
      </c>
    </row>
    <row r="503" ht="14.25" customHeight="1" s="49">
      <c r="A503" s="58" t="n"/>
      <c r="B503" s="58" t="n"/>
      <c r="C503" s="59" t="n"/>
      <c r="D503" s="59" t="n"/>
      <c r="E503" s="59" t="n"/>
      <c r="F503" s="58" t="n"/>
      <c r="G503" s="60" t="n"/>
      <c r="H503" s="60" t="n"/>
      <c r="I503" s="61" t="n"/>
      <c r="J503" s="61" t="n"/>
      <c r="K503" s="61" t="n"/>
      <c r="L503" s="61" t="n"/>
      <c r="M503" s="61" t="n"/>
      <c r="N503" s="58" t="n"/>
      <c r="O503" s="59" t="n"/>
      <c r="P503" s="62" t="n"/>
      <c r="Q503" s="63" t="n"/>
      <c r="R503" s="61">
        <f>IF($P503&gt;0,CHOOSE(MATCH($B$4,'Служебный лист'!$A$4:$A$8,0),I503,J503,K503,L503,M503),"")</f>
        <v/>
      </c>
      <c r="S503" s="61">
        <f>IFERROR($P503*$R503,0)</f>
        <v/>
      </c>
      <c r="T503" s="61">
        <f>$S503*1.22</f>
        <v/>
      </c>
      <c r="U503" s="64">
        <f>IF($P503&gt;0,COUNTIF($P$11:P503,"&gt;0"),"")</f>
        <v/>
      </c>
    </row>
    <row r="504" ht="14.25" customHeight="1" s="49">
      <c r="A504" s="58" t="n"/>
      <c r="B504" s="58" t="n"/>
      <c r="C504" s="59" t="n"/>
      <c r="D504" s="59" t="n"/>
      <c r="E504" s="59" t="n"/>
      <c r="F504" s="58" t="n"/>
      <c r="G504" s="60" t="n"/>
      <c r="H504" s="60" t="n"/>
      <c r="I504" s="61" t="n"/>
      <c r="J504" s="61" t="n"/>
      <c r="K504" s="61" t="n"/>
      <c r="L504" s="61" t="n"/>
      <c r="M504" s="61" t="n"/>
      <c r="N504" s="58" t="n"/>
      <c r="O504" s="59" t="n"/>
      <c r="P504" s="62" t="n"/>
      <c r="Q504" s="63" t="n"/>
      <c r="R504" s="61">
        <f>IF($P504&gt;0,CHOOSE(MATCH($B$4,'Служебный лист'!$A$4:$A$8,0),I504,J504,K504,L504,M504),"")</f>
        <v/>
      </c>
      <c r="S504" s="61">
        <f>IFERROR($P504*$R504,0)</f>
        <v/>
      </c>
      <c r="T504" s="61">
        <f>$S504*1.22</f>
        <v/>
      </c>
      <c r="U504" s="64">
        <f>IF($P504&gt;0,COUNTIF($P$11:P504,"&gt;0"),"")</f>
        <v/>
      </c>
    </row>
    <row r="505" ht="14.25" customHeight="1" s="49">
      <c r="A505" s="58" t="n"/>
      <c r="B505" s="58" t="n"/>
      <c r="C505" s="59" t="n"/>
      <c r="D505" s="59" t="n"/>
      <c r="E505" s="59" t="n"/>
      <c r="F505" s="58" t="n"/>
      <c r="G505" s="60" t="n"/>
      <c r="H505" s="60" t="n"/>
      <c r="I505" s="61" t="n"/>
      <c r="J505" s="61" t="n"/>
      <c r="K505" s="61" t="n"/>
      <c r="L505" s="61" t="n"/>
      <c r="M505" s="61" t="n"/>
      <c r="N505" s="58" t="n"/>
      <c r="O505" s="59" t="n"/>
      <c r="P505" s="62" t="n"/>
      <c r="Q505" s="63" t="n"/>
      <c r="R505" s="61">
        <f>IF($P505&gt;0,CHOOSE(MATCH($B$4,'Служебный лист'!$A$4:$A$8,0),I505,J505,K505,L505,M505),"")</f>
        <v/>
      </c>
      <c r="S505" s="61">
        <f>IFERROR($P505*$R505,0)</f>
        <v/>
      </c>
      <c r="T505" s="61">
        <f>$S505*1.22</f>
        <v/>
      </c>
      <c r="U505" s="64">
        <f>IF($P505&gt;0,COUNTIF($P$11:P505,"&gt;0"),"")</f>
        <v/>
      </c>
    </row>
    <row r="506" ht="14.25" customHeight="1" s="49">
      <c r="A506" s="58" t="n"/>
      <c r="B506" s="58" t="n"/>
      <c r="C506" s="59" t="n"/>
      <c r="D506" s="59" t="n"/>
      <c r="E506" s="59" t="n"/>
      <c r="F506" s="58" t="n"/>
      <c r="G506" s="60" t="n"/>
      <c r="H506" s="60" t="n"/>
      <c r="I506" s="61" t="n"/>
      <c r="J506" s="61" t="n"/>
      <c r="K506" s="61" t="n"/>
      <c r="L506" s="61" t="n"/>
      <c r="M506" s="61" t="n"/>
      <c r="N506" s="58" t="n"/>
      <c r="O506" s="59" t="n"/>
      <c r="P506" s="62" t="n"/>
      <c r="Q506" s="63" t="n"/>
      <c r="R506" s="61">
        <f>IF($P506&gt;0,CHOOSE(MATCH($B$4,'Служебный лист'!$A$4:$A$8,0),I506,J506,K506,L506,M506),"")</f>
        <v/>
      </c>
      <c r="S506" s="61">
        <f>IFERROR($P506*$R506,0)</f>
        <v/>
      </c>
      <c r="T506" s="61">
        <f>$S506*1.22</f>
        <v/>
      </c>
      <c r="U506" s="64">
        <f>IF($P506&gt;0,COUNTIF($P$11:P506,"&gt;0"),"")</f>
        <v/>
      </c>
    </row>
    <row r="507" ht="14.25" customHeight="1" s="49">
      <c r="A507" s="58" t="n"/>
      <c r="B507" s="58" t="n"/>
      <c r="C507" s="59" t="n"/>
      <c r="D507" s="59" t="n"/>
      <c r="E507" s="59" t="n"/>
      <c r="F507" s="58" t="n"/>
      <c r="G507" s="60" t="n"/>
      <c r="H507" s="60" t="n"/>
      <c r="I507" s="61" t="n"/>
      <c r="J507" s="61" t="n"/>
      <c r="K507" s="61" t="n"/>
      <c r="L507" s="61" t="n"/>
      <c r="M507" s="61" t="n"/>
      <c r="N507" s="58" t="n"/>
      <c r="O507" s="59" t="n"/>
      <c r="P507" s="62" t="n"/>
      <c r="Q507" s="63" t="n"/>
      <c r="R507" s="61">
        <f>IF($P507&gt;0,CHOOSE(MATCH($B$4,'Служебный лист'!$A$4:$A$8,0),I507,J507,K507,L507,M507),"")</f>
        <v/>
      </c>
      <c r="S507" s="61">
        <f>IFERROR($P507*$R507,0)</f>
        <v/>
      </c>
      <c r="T507" s="61">
        <f>$S507*1.22</f>
        <v/>
      </c>
      <c r="U507" s="64">
        <f>IF($P507&gt;0,COUNTIF($P$11:P507,"&gt;0"),"")</f>
        <v/>
      </c>
    </row>
    <row r="508" ht="14.25" customHeight="1" s="49">
      <c r="A508" s="58" t="n"/>
      <c r="B508" s="58" t="n"/>
      <c r="C508" s="59" t="n"/>
      <c r="D508" s="59" t="n"/>
      <c r="E508" s="59" t="n"/>
      <c r="F508" s="58" t="n"/>
      <c r="G508" s="60" t="n"/>
      <c r="H508" s="60" t="n"/>
      <c r="I508" s="61" t="n"/>
      <c r="J508" s="61" t="n"/>
      <c r="K508" s="61" t="n"/>
      <c r="L508" s="61" t="n"/>
      <c r="M508" s="61" t="n"/>
      <c r="N508" s="58" t="n"/>
      <c r="O508" s="59" t="n"/>
      <c r="P508" s="62" t="n"/>
      <c r="Q508" s="63" t="n"/>
      <c r="R508" s="61">
        <f>IF($P508&gt;0,CHOOSE(MATCH($B$4,'Служебный лист'!$A$4:$A$8,0),I508,J508,K508,L508,M508),"")</f>
        <v/>
      </c>
      <c r="S508" s="61">
        <f>IFERROR($P508*$R508,0)</f>
        <v/>
      </c>
      <c r="T508" s="61">
        <f>$S508*1.22</f>
        <v/>
      </c>
      <c r="U508" s="64">
        <f>IF($P508&gt;0,COUNTIF($P$11:P508,"&gt;0"),"")</f>
        <v/>
      </c>
    </row>
    <row r="509" ht="14.25" customHeight="1" s="49">
      <c r="A509" s="58" t="n"/>
      <c r="B509" s="58" t="n"/>
      <c r="C509" s="59" t="n"/>
      <c r="D509" s="59" t="n"/>
      <c r="E509" s="59" t="n"/>
      <c r="F509" s="58" t="n"/>
      <c r="G509" s="60" t="n"/>
      <c r="H509" s="60" t="n"/>
      <c r="I509" s="61" t="n"/>
      <c r="J509" s="61" t="n"/>
      <c r="K509" s="61" t="n"/>
      <c r="L509" s="61" t="n"/>
      <c r="M509" s="61" t="n"/>
      <c r="N509" s="58" t="n"/>
      <c r="O509" s="59" t="n"/>
      <c r="P509" s="62" t="n"/>
      <c r="Q509" s="63" t="n"/>
      <c r="R509" s="61">
        <f>IF($P509&gt;0,CHOOSE(MATCH($B$4,'Служебный лист'!$A$4:$A$8,0),I509,J509,K509,L509,M509),"")</f>
        <v/>
      </c>
      <c r="S509" s="61">
        <f>IFERROR($P509*$R509,0)</f>
        <v/>
      </c>
      <c r="T509" s="61">
        <f>$S509*1.22</f>
        <v/>
      </c>
      <c r="U509" s="64">
        <f>IF($P509&gt;0,COUNTIF($P$11:P509,"&gt;0"),"")</f>
        <v/>
      </c>
    </row>
    <row r="510" ht="14.25" customHeight="1" s="49">
      <c r="A510" s="58" t="n"/>
      <c r="B510" s="58" t="n"/>
      <c r="C510" s="59" t="n"/>
      <c r="D510" s="59" t="n"/>
      <c r="E510" s="59" t="n"/>
      <c r="F510" s="58" t="n"/>
      <c r="G510" s="60" t="n"/>
      <c r="H510" s="60" t="n"/>
      <c r="I510" s="61" t="n"/>
      <c r="J510" s="61" t="n"/>
      <c r="K510" s="61" t="n"/>
      <c r="L510" s="61" t="n"/>
      <c r="M510" s="61" t="n"/>
      <c r="N510" s="58" t="n"/>
      <c r="O510" s="59" t="n"/>
      <c r="P510" s="62" t="n"/>
      <c r="Q510" s="63" t="n"/>
      <c r="R510" s="61">
        <f>IF($P510&gt;0,CHOOSE(MATCH($B$4,'Служебный лист'!$A$4:$A$8,0),I510,J510,K510,L510,M510),"")</f>
        <v/>
      </c>
      <c r="S510" s="61">
        <f>IFERROR($P510*$R510,0)</f>
        <v/>
      </c>
      <c r="T510" s="61">
        <f>$S510*1.22</f>
        <v/>
      </c>
      <c r="U510" s="64">
        <f>IF($P510&gt;0,COUNTIF($P$11:P510,"&gt;0"),"")</f>
        <v/>
      </c>
    </row>
    <row r="511" ht="14.25" customHeight="1" s="49">
      <c r="A511" s="58" t="n"/>
      <c r="B511" s="58" t="n"/>
      <c r="C511" s="59" t="n"/>
      <c r="D511" s="59" t="n"/>
      <c r="E511" s="59" t="n"/>
      <c r="F511" s="58" t="n"/>
      <c r="G511" s="60" t="n"/>
      <c r="H511" s="60" t="n"/>
      <c r="I511" s="61" t="n"/>
      <c r="J511" s="61" t="n"/>
      <c r="K511" s="61" t="n"/>
      <c r="L511" s="61" t="n"/>
      <c r="M511" s="61" t="n"/>
      <c r="N511" s="58" t="n"/>
      <c r="O511" s="59" t="n"/>
      <c r="P511" s="62" t="n"/>
      <c r="Q511" s="63" t="n"/>
      <c r="R511" s="61">
        <f>IF($P511&gt;0,CHOOSE(MATCH($B$4,'Служебный лист'!$A$4:$A$8,0),I511,J511,K511,L511,M511),"")</f>
        <v/>
      </c>
      <c r="S511" s="61">
        <f>IFERROR($P511*$R511,0)</f>
        <v/>
      </c>
      <c r="T511" s="61">
        <f>$S511*1.22</f>
        <v/>
      </c>
      <c r="U511" s="64">
        <f>IF($P511&gt;0,COUNTIF($P$11:P511,"&gt;0"),"")</f>
        <v/>
      </c>
    </row>
    <row r="512" ht="14.25" customHeight="1" s="49">
      <c r="A512" s="58" t="n"/>
      <c r="B512" s="58" t="n"/>
      <c r="C512" s="59" t="n"/>
      <c r="D512" s="59" t="n"/>
      <c r="E512" s="59" t="n"/>
      <c r="F512" s="58" t="n"/>
      <c r="G512" s="60" t="n"/>
      <c r="H512" s="60" t="n"/>
      <c r="I512" s="61" t="n"/>
      <c r="J512" s="61" t="n"/>
      <c r="K512" s="61" t="n"/>
      <c r="L512" s="61" t="n"/>
      <c r="M512" s="61" t="n"/>
      <c r="N512" s="58" t="n"/>
      <c r="O512" s="59" t="n"/>
      <c r="P512" s="62" t="n"/>
      <c r="Q512" s="63" t="n"/>
      <c r="R512" s="61">
        <f>IF($P512&gt;0,CHOOSE(MATCH($B$4,'Служебный лист'!$A$4:$A$8,0),I512,J512,K512,L512,M512),"")</f>
        <v/>
      </c>
      <c r="S512" s="61">
        <f>IFERROR($P512*$R512,0)</f>
        <v/>
      </c>
      <c r="T512" s="61">
        <f>$S512*1.22</f>
        <v/>
      </c>
      <c r="U512" s="64">
        <f>IF($P512&gt;0,COUNTIF($P$11:P512,"&gt;0"),"")</f>
        <v/>
      </c>
    </row>
    <row r="513" ht="14.25" customHeight="1" s="49">
      <c r="A513" s="58" t="n"/>
      <c r="B513" s="58" t="n"/>
      <c r="C513" s="59" t="n"/>
      <c r="D513" s="59" t="n"/>
      <c r="E513" s="59" t="n"/>
      <c r="F513" s="58" t="n"/>
      <c r="G513" s="60" t="n"/>
      <c r="H513" s="60" t="n"/>
      <c r="I513" s="61" t="n"/>
      <c r="J513" s="61" t="n"/>
      <c r="K513" s="61" t="n"/>
      <c r="L513" s="61" t="n"/>
      <c r="M513" s="61" t="n"/>
      <c r="N513" s="58" t="n"/>
      <c r="O513" s="59" t="n"/>
      <c r="P513" s="62" t="n"/>
      <c r="Q513" s="63" t="n"/>
      <c r="R513" s="61">
        <f>IF($P513&gt;0,CHOOSE(MATCH($B$4,'Служебный лист'!$A$4:$A$8,0),I513,J513,K513,L513,M513),"")</f>
        <v/>
      </c>
      <c r="S513" s="61">
        <f>IFERROR($P513*$R513,0)</f>
        <v/>
      </c>
      <c r="T513" s="61">
        <f>$S513*1.22</f>
        <v/>
      </c>
      <c r="U513" s="64">
        <f>IF($P513&gt;0,COUNTIF($P$11:P513,"&gt;0"),"")</f>
        <v/>
      </c>
    </row>
    <row r="514" ht="14.25" customHeight="1" s="49">
      <c r="A514" s="58" t="n"/>
      <c r="B514" s="58" t="n"/>
      <c r="C514" s="59" t="n"/>
      <c r="D514" s="59" t="n"/>
      <c r="E514" s="59" t="n"/>
      <c r="F514" s="58" t="n"/>
      <c r="G514" s="60" t="n"/>
      <c r="H514" s="60" t="n"/>
      <c r="I514" s="61" t="n"/>
      <c r="J514" s="61" t="n"/>
      <c r="K514" s="61" t="n"/>
      <c r="L514" s="61" t="n"/>
      <c r="M514" s="61" t="n"/>
      <c r="N514" s="58" t="n"/>
      <c r="O514" s="59" t="n"/>
      <c r="P514" s="62" t="n"/>
      <c r="Q514" s="63" t="n"/>
      <c r="R514" s="61">
        <f>IF($P514&gt;0,CHOOSE(MATCH($B$4,'Служебный лист'!$A$4:$A$8,0),I514,J514,K514,L514,M514),"")</f>
        <v/>
      </c>
      <c r="S514" s="61">
        <f>IFERROR($P514*$R514,0)</f>
        <v/>
      </c>
      <c r="T514" s="61">
        <f>$S514*1.22</f>
        <v/>
      </c>
      <c r="U514" s="64">
        <f>IF($P514&gt;0,COUNTIF($P$11:P514,"&gt;0"),"")</f>
        <v/>
      </c>
    </row>
    <row r="515" ht="14.25" customHeight="1" s="49">
      <c r="A515" s="58" t="n"/>
      <c r="B515" s="58" t="n"/>
      <c r="C515" s="59" t="n"/>
      <c r="D515" s="59" t="n"/>
      <c r="E515" s="59" t="n"/>
      <c r="F515" s="58" t="n"/>
      <c r="G515" s="60" t="n"/>
      <c r="H515" s="60" t="n"/>
      <c r="I515" s="61" t="n"/>
      <c r="J515" s="61" t="n"/>
      <c r="K515" s="61" t="n"/>
      <c r="L515" s="61" t="n"/>
      <c r="M515" s="61" t="n"/>
      <c r="N515" s="58" t="n"/>
      <c r="O515" s="59" t="n"/>
      <c r="P515" s="62" t="n"/>
      <c r="Q515" s="63" t="n"/>
      <c r="R515" s="61">
        <f>IF($P515&gt;0,CHOOSE(MATCH($B$4,'Служебный лист'!$A$4:$A$8,0),I515,J515,K515,L515,M515),"")</f>
        <v/>
      </c>
      <c r="S515" s="61">
        <f>IFERROR($P515*$R515,0)</f>
        <v/>
      </c>
      <c r="T515" s="61">
        <f>$S515*1.22</f>
        <v/>
      </c>
      <c r="U515" s="64">
        <f>IF($P515&gt;0,COUNTIF($P$11:P515,"&gt;0"),"")</f>
        <v/>
      </c>
    </row>
    <row r="516" ht="14.25" customHeight="1" s="49">
      <c r="A516" s="58" t="n"/>
      <c r="B516" s="58" t="n"/>
      <c r="C516" s="59" t="n"/>
      <c r="D516" s="59" t="n"/>
      <c r="E516" s="59" t="n"/>
      <c r="F516" s="58" t="n"/>
      <c r="G516" s="60" t="n"/>
      <c r="H516" s="60" t="n"/>
      <c r="I516" s="61" t="n"/>
      <c r="J516" s="61" t="n"/>
      <c r="K516" s="61" t="n"/>
      <c r="L516" s="61" t="n"/>
      <c r="M516" s="61" t="n"/>
      <c r="N516" s="58" t="n"/>
      <c r="O516" s="59" t="n"/>
      <c r="P516" s="62" t="n"/>
      <c r="Q516" s="63" t="n"/>
      <c r="R516" s="61">
        <f>IF($P516&gt;0,CHOOSE(MATCH($B$4,'Служебный лист'!$A$4:$A$8,0),I516,J516,K516,L516,M516),"")</f>
        <v/>
      </c>
      <c r="S516" s="61">
        <f>IFERROR($P516*$R516,0)</f>
        <v/>
      </c>
      <c r="T516" s="61">
        <f>$S516*1.22</f>
        <v/>
      </c>
      <c r="U516" s="64">
        <f>IF($P516&gt;0,COUNTIF($P$11:P516,"&gt;0"),"")</f>
        <v/>
      </c>
    </row>
    <row r="517" ht="14.25" customHeight="1" s="49">
      <c r="A517" s="58" t="n"/>
      <c r="B517" s="58" t="n"/>
      <c r="C517" s="59" t="n"/>
      <c r="D517" s="59" t="n"/>
      <c r="E517" s="59" t="n"/>
      <c r="F517" s="58" t="n"/>
      <c r="G517" s="60" t="n"/>
      <c r="H517" s="60" t="n"/>
      <c r="I517" s="61" t="n"/>
      <c r="J517" s="61" t="n"/>
      <c r="K517" s="61" t="n"/>
      <c r="L517" s="61" t="n"/>
      <c r="M517" s="61" t="n"/>
      <c r="N517" s="58" t="n"/>
      <c r="O517" s="59" t="n"/>
      <c r="P517" s="62" t="n"/>
      <c r="Q517" s="63" t="n"/>
      <c r="R517" s="61">
        <f>IF($P517&gt;0,CHOOSE(MATCH($B$4,'Служебный лист'!$A$4:$A$8,0),I517,J517,K517,L517,M517),"")</f>
        <v/>
      </c>
      <c r="S517" s="61">
        <f>IFERROR($P517*$R517,0)</f>
        <v/>
      </c>
      <c r="T517" s="61">
        <f>$S517*1.22</f>
        <v/>
      </c>
      <c r="U517" s="64">
        <f>IF($P517&gt;0,COUNTIF($P$11:P517,"&gt;0"),"")</f>
        <v/>
      </c>
    </row>
    <row r="518" ht="14.25" customHeight="1" s="49">
      <c r="A518" s="58" t="n"/>
      <c r="B518" s="58" t="n"/>
      <c r="C518" s="59" t="n"/>
      <c r="D518" s="59" t="n"/>
      <c r="E518" s="59" t="n"/>
      <c r="F518" s="58" t="n"/>
      <c r="G518" s="60" t="n"/>
      <c r="H518" s="60" t="n"/>
      <c r="I518" s="61" t="n"/>
      <c r="J518" s="61" t="n"/>
      <c r="K518" s="61" t="n"/>
      <c r="L518" s="61" t="n"/>
      <c r="M518" s="61" t="n"/>
      <c r="N518" s="58" t="n"/>
      <c r="O518" s="59" t="n"/>
      <c r="P518" s="62" t="n"/>
      <c r="Q518" s="63" t="n"/>
      <c r="R518" s="61">
        <f>IF($P518&gt;0,CHOOSE(MATCH($B$4,'Служебный лист'!$A$4:$A$8,0),I518,J518,K518,L518,M518),"")</f>
        <v/>
      </c>
      <c r="S518" s="61">
        <f>IFERROR($P518*$R518,0)</f>
        <v/>
      </c>
      <c r="T518" s="61">
        <f>$S518*1.22</f>
        <v/>
      </c>
      <c r="U518" s="64">
        <f>IF($P518&gt;0,COUNTIF($P$11:P518,"&gt;0"),"")</f>
        <v/>
      </c>
    </row>
    <row r="519" ht="14.25" customHeight="1" s="49">
      <c r="A519" s="58" t="n"/>
      <c r="B519" s="58" t="n"/>
      <c r="C519" s="59" t="n"/>
      <c r="D519" s="59" t="n"/>
      <c r="E519" s="59" t="n"/>
      <c r="F519" s="58" t="n"/>
      <c r="G519" s="60" t="n"/>
      <c r="H519" s="60" t="n"/>
      <c r="I519" s="61" t="n"/>
      <c r="J519" s="61" t="n"/>
      <c r="K519" s="61" t="n"/>
      <c r="L519" s="61" t="n"/>
      <c r="M519" s="61" t="n"/>
      <c r="N519" s="58" t="n"/>
      <c r="O519" s="59" t="n"/>
      <c r="P519" s="62" t="n"/>
      <c r="Q519" s="63" t="n"/>
      <c r="R519" s="61">
        <f>IF($P519&gt;0,CHOOSE(MATCH($B$4,'Служебный лист'!$A$4:$A$8,0),I519,J519,K519,L519,M519),"")</f>
        <v/>
      </c>
      <c r="S519" s="61">
        <f>IFERROR($P519*$R519,0)</f>
        <v/>
      </c>
      <c r="T519" s="61">
        <f>$S519*1.22</f>
        <v/>
      </c>
      <c r="U519" s="64">
        <f>IF($P519&gt;0,COUNTIF($P$11:P519,"&gt;0"),"")</f>
        <v/>
      </c>
    </row>
    <row r="520" ht="14.25" customHeight="1" s="49">
      <c r="A520" s="58" t="n"/>
      <c r="B520" s="58" t="n"/>
      <c r="C520" s="59" t="n"/>
      <c r="D520" s="59" t="n"/>
      <c r="E520" s="59" t="n"/>
      <c r="F520" s="58" t="n"/>
      <c r="G520" s="60" t="n"/>
      <c r="H520" s="60" t="n"/>
      <c r="I520" s="61" t="n"/>
      <c r="J520" s="61" t="n"/>
      <c r="K520" s="61" t="n"/>
      <c r="L520" s="61" t="n"/>
      <c r="M520" s="61" t="n"/>
      <c r="N520" s="58" t="n"/>
      <c r="O520" s="59" t="n"/>
      <c r="P520" s="62" t="n"/>
      <c r="Q520" s="63" t="n"/>
      <c r="R520" s="61">
        <f>IF($P520&gt;0,CHOOSE(MATCH($B$4,'Служебный лист'!$A$4:$A$8,0),I520,J520,K520,L520,M520),"")</f>
        <v/>
      </c>
      <c r="S520" s="61">
        <f>IFERROR($P520*$R520,0)</f>
        <v/>
      </c>
      <c r="T520" s="61">
        <f>$S520*1.22</f>
        <v/>
      </c>
      <c r="U520" s="64">
        <f>IF($P520&gt;0,COUNTIF($P$11:P520,"&gt;0"),"")</f>
        <v/>
      </c>
    </row>
    <row r="521" ht="14.25" customHeight="1" s="49">
      <c r="A521" s="58" t="n"/>
      <c r="B521" s="58" t="n"/>
      <c r="C521" s="59" t="n"/>
      <c r="D521" s="59" t="n"/>
      <c r="E521" s="59" t="n"/>
      <c r="F521" s="58" t="n"/>
      <c r="G521" s="60" t="n"/>
      <c r="H521" s="60" t="n"/>
      <c r="I521" s="61" t="n"/>
      <c r="J521" s="61" t="n"/>
      <c r="K521" s="61" t="n"/>
      <c r="L521" s="61" t="n"/>
      <c r="M521" s="61" t="n"/>
      <c r="N521" s="58" t="n"/>
      <c r="O521" s="59" t="n"/>
      <c r="P521" s="62" t="n"/>
      <c r="Q521" s="63" t="n"/>
      <c r="R521" s="61">
        <f>IF($P521&gt;0,CHOOSE(MATCH($B$4,'Служебный лист'!$A$4:$A$8,0),I521,J521,K521,L521,M521),"")</f>
        <v/>
      </c>
      <c r="S521" s="61">
        <f>IFERROR($P521*$R521,0)</f>
        <v/>
      </c>
      <c r="T521" s="61">
        <f>$S521*1.22</f>
        <v/>
      </c>
      <c r="U521" s="64">
        <f>IF($P521&gt;0,COUNTIF($P$11:P521,"&gt;0"),"")</f>
        <v/>
      </c>
    </row>
    <row r="522" ht="14.25" customHeight="1" s="49">
      <c r="A522" s="58" t="n"/>
      <c r="B522" s="58" t="n"/>
      <c r="C522" s="59" t="n"/>
      <c r="D522" s="59" t="n"/>
      <c r="E522" s="59" t="n"/>
      <c r="F522" s="58" t="n"/>
      <c r="G522" s="60" t="n"/>
      <c r="H522" s="60" t="n"/>
      <c r="I522" s="61" t="n"/>
      <c r="J522" s="61" t="n"/>
      <c r="K522" s="61" t="n"/>
      <c r="L522" s="61" t="n"/>
      <c r="M522" s="61" t="n"/>
      <c r="N522" s="58" t="n"/>
      <c r="O522" s="59" t="n"/>
      <c r="P522" s="62" t="n"/>
      <c r="Q522" s="63" t="n"/>
      <c r="R522" s="61">
        <f>IF($P522&gt;0,CHOOSE(MATCH($B$4,'Служебный лист'!$A$4:$A$8,0),I522,J522,K522,L522,M522),"")</f>
        <v/>
      </c>
      <c r="S522" s="61">
        <f>IFERROR($P522*$R522,0)</f>
        <v/>
      </c>
      <c r="T522" s="61">
        <f>$S522*1.22</f>
        <v/>
      </c>
      <c r="U522" s="64">
        <f>IF($P522&gt;0,COUNTIF($P$11:P522,"&gt;0"),"")</f>
        <v/>
      </c>
    </row>
    <row r="523" ht="14.25" customHeight="1" s="49">
      <c r="A523" s="58" t="n"/>
      <c r="B523" s="58" t="n"/>
      <c r="C523" s="59" t="n"/>
      <c r="D523" s="59" t="n"/>
      <c r="E523" s="59" t="n"/>
      <c r="F523" s="58" t="n"/>
      <c r="G523" s="60" t="n"/>
      <c r="H523" s="60" t="n"/>
      <c r="I523" s="61" t="n"/>
      <c r="J523" s="61" t="n"/>
      <c r="K523" s="61" t="n"/>
      <c r="L523" s="61" t="n"/>
      <c r="M523" s="61" t="n"/>
      <c r="N523" s="58" t="n"/>
      <c r="O523" s="59" t="n"/>
      <c r="P523" s="62" t="n"/>
      <c r="Q523" s="63" t="n"/>
      <c r="R523" s="61">
        <f>IF($P523&gt;0,CHOOSE(MATCH($B$4,'Служебный лист'!$A$4:$A$8,0),I523,J523,K523,L523,M523),"")</f>
        <v/>
      </c>
      <c r="S523" s="61">
        <f>IFERROR($P523*$R523,0)</f>
        <v/>
      </c>
      <c r="T523" s="61">
        <f>$S523*1.22</f>
        <v/>
      </c>
      <c r="U523" s="64">
        <f>IF($P523&gt;0,COUNTIF($P$11:P523,"&gt;0"),"")</f>
        <v/>
      </c>
    </row>
    <row r="524" ht="14.25" customHeight="1" s="49">
      <c r="A524" s="58" t="n"/>
      <c r="B524" s="58" t="n"/>
      <c r="C524" s="59" t="n"/>
      <c r="D524" s="59" t="n"/>
      <c r="E524" s="59" t="n"/>
      <c r="F524" s="58" t="n"/>
      <c r="G524" s="60" t="n"/>
      <c r="H524" s="60" t="n"/>
      <c r="I524" s="61" t="n"/>
      <c r="J524" s="61" t="n"/>
      <c r="K524" s="61" t="n"/>
      <c r="L524" s="61" t="n"/>
      <c r="M524" s="61" t="n"/>
      <c r="N524" s="58" t="n"/>
      <c r="O524" s="59" t="n"/>
      <c r="P524" s="62" t="n"/>
      <c r="Q524" s="63" t="n"/>
      <c r="R524" s="61">
        <f>IF($P524&gt;0,CHOOSE(MATCH($B$4,'Служебный лист'!$A$4:$A$8,0),I524,J524,K524,L524,M524),"")</f>
        <v/>
      </c>
      <c r="S524" s="61">
        <f>IFERROR($P524*$R524,0)</f>
        <v/>
      </c>
      <c r="T524" s="61">
        <f>$S524*1.22</f>
        <v/>
      </c>
      <c r="U524" s="64">
        <f>IF($P524&gt;0,COUNTIF($P$11:P524,"&gt;0"),"")</f>
        <v/>
      </c>
    </row>
    <row r="525" ht="14.25" customHeight="1" s="49">
      <c r="A525" s="58" t="n"/>
      <c r="B525" s="58" t="n"/>
      <c r="C525" s="59" t="n"/>
      <c r="D525" s="59" t="n"/>
      <c r="E525" s="59" t="n"/>
      <c r="F525" s="58" t="n"/>
      <c r="G525" s="60" t="n"/>
      <c r="H525" s="60" t="n"/>
      <c r="I525" s="61" t="n"/>
      <c r="J525" s="61" t="n"/>
      <c r="K525" s="61" t="n"/>
      <c r="L525" s="61" t="n"/>
      <c r="M525" s="61" t="n"/>
      <c r="N525" s="58" t="n"/>
      <c r="O525" s="59" t="n"/>
      <c r="P525" s="62" t="n"/>
      <c r="Q525" s="63" t="n"/>
      <c r="R525" s="61">
        <f>IF($P525&gt;0,CHOOSE(MATCH($B$4,'Служебный лист'!$A$4:$A$8,0),I525,J525,K525,L525,M525),"")</f>
        <v/>
      </c>
      <c r="S525" s="61">
        <f>IFERROR($P525*$R525,0)</f>
        <v/>
      </c>
      <c r="T525" s="61">
        <f>$S525*1.22</f>
        <v/>
      </c>
      <c r="U525" s="64">
        <f>IF($P525&gt;0,COUNTIF($P$11:P525,"&gt;0"),"")</f>
        <v/>
      </c>
    </row>
    <row r="526" ht="14.25" customHeight="1" s="49">
      <c r="A526" s="58" t="n"/>
      <c r="B526" s="58" t="n"/>
      <c r="C526" s="59" t="n"/>
      <c r="D526" s="59" t="n"/>
      <c r="E526" s="59" t="n"/>
      <c r="F526" s="58" t="n"/>
      <c r="G526" s="60" t="n"/>
      <c r="H526" s="60" t="n"/>
      <c r="I526" s="61" t="n"/>
      <c r="J526" s="61" t="n"/>
      <c r="K526" s="61" t="n"/>
      <c r="L526" s="61" t="n"/>
      <c r="M526" s="61" t="n"/>
      <c r="N526" s="58" t="n"/>
      <c r="O526" s="59" t="n"/>
      <c r="P526" s="62" t="n"/>
      <c r="Q526" s="63" t="n"/>
      <c r="R526" s="61">
        <f>IF($P526&gt;0,CHOOSE(MATCH($B$4,'Служебный лист'!$A$4:$A$8,0),I526,J526,K526,L526,M526),"")</f>
        <v/>
      </c>
      <c r="S526" s="61">
        <f>IFERROR($P526*$R526,0)</f>
        <v/>
      </c>
      <c r="T526" s="61">
        <f>$S526*1.22</f>
        <v/>
      </c>
      <c r="U526" s="64">
        <f>IF($P526&gt;0,COUNTIF($P$11:P526,"&gt;0"),"")</f>
        <v/>
      </c>
    </row>
    <row r="527" ht="14.25" customHeight="1" s="49">
      <c r="A527" s="58" t="n"/>
      <c r="B527" s="58" t="n"/>
      <c r="C527" s="59" t="n"/>
      <c r="D527" s="59" t="n"/>
      <c r="E527" s="59" t="n"/>
      <c r="F527" s="58" t="n"/>
      <c r="G527" s="60" t="n"/>
      <c r="H527" s="60" t="n"/>
      <c r="I527" s="61" t="n"/>
      <c r="J527" s="61" t="n"/>
      <c r="K527" s="61" t="n"/>
      <c r="L527" s="61" t="n"/>
      <c r="M527" s="61" t="n"/>
      <c r="N527" s="58" t="n"/>
      <c r="O527" s="59" t="n"/>
      <c r="P527" s="62" t="n"/>
      <c r="Q527" s="63" t="n"/>
      <c r="R527" s="61">
        <f>IF($P527&gt;0,CHOOSE(MATCH($B$4,'Служебный лист'!$A$4:$A$8,0),I527,J527,K527,L527,M527),"")</f>
        <v/>
      </c>
      <c r="S527" s="61">
        <f>IFERROR($P527*$R527,0)</f>
        <v/>
      </c>
      <c r="T527" s="61">
        <f>$S527*1.22</f>
        <v/>
      </c>
      <c r="U527" s="64">
        <f>IF($P527&gt;0,COUNTIF($P$11:P527,"&gt;0"),"")</f>
        <v/>
      </c>
    </row>
    <row r="528" ht="14.25" customHeight="1" s="49">
      <c r="A528" s="58" t="n"/>
      <c r="B528" s="58" t="n"/>
      <c r="C528" s="59" t="n"/>
      <c r="D528" s="59" t="n"/>
      <c r="E528" s="59" t="n"/>
      <c r="F528" s="58" t="n"/>
      <c r="G528" s="60" t="n"/>
      <c r="H528" s="60" t="n"/>
      <c r="I528" s="61" t="n"/>
      <c r="J528" s="61" t="n"/>
      <c r="K528" s="61" t="n"/>
      <c r="L528" s="61" t="n"/>
      <c r="M528" s="61" t="n"/>
      <c r="N528" s="58" t="n"/>
      <c r="O528" s="59" t="n"/>
      <c r="P528" s="62" t="n"/>
      <c r="Q528" s="63" t="n"/>
      <c r="R528" s="61">
        <f>IF($P528&gt;0,CHOOSE(MATCH($B$4,'Служебный лист'!$A$4:$A$8,0),I528,J528,K528,L528,M528),"")</f>
        <v/>
      </c>
      <c r="S528" s="61">
        <f>IFERROR($P528*$R528,0)</f>
        <v/>
      </c>
      <c r="T528" s="61">
        <f>$S528*1.22</f>
        <v/>
      </c>
      <c r="U528" s="64">
        <f>IF($P528&gt;0,COUNTIF($P$11:P528,"&gt;0"),"")</f>
        <v/>
      </c>
    </row>
    <row r="529" ht="14.25" customHeight="1" s="49">
      <c r="A529" s="58" t="n"/>
      <c r="B529" s="58" t="n"/>
      <c r="C529" s="59" t="n"/>
      <c r="D529" s="59" t="n"/>
      <c r="E529" s="59" t="n"/>
      <c r="F529" s="58" t="n"/>
      <c r="G529" s="60" t="n"/>
      <c r="H529" s="60" t="n"/>
      <c r="I529" s="61" t="n"/>
      <c r="J529" s="61" t="n"/>
      <c r="K529" s="61" t="n"/>
      <c r="L529" s="61" t="n"/>
      <c r="M529" s="61" t="n"/>
      <c r="N529" s="58" t="n"/>
      <c r="O529" s="59" t="n"/>
      <c r="P529" s="62" t="n"/>
      <c r="Q529" s="63" t="n"/>
      <c r="R529" s="61">
        <f>IF($P529&gt;0,CHOOSE(MATCH($B$4,'Служебный лист'!$A$4:$A$8,0),I529,J529,K529,L529,M529),"")</f>
        <v/>
      </c>
      <c r="S529" s="61">
        <f>IFERROR($P529*$R529,0)</f>
        <v/>
      </c>
      <c r="T529" s="61">
        <f>$S529*1.22</f>
        <v/>
      </c>
      <c r="U529" s="64">
        <f>IF($P529&gt;0,COUNTIF($P$11:P529,"&gt;0"),"")</f>
        <v/>
      </c>
    </row>
    <row r="530" ht="14.25" customHeight="1" s="49">
      <c r="A530" s="58" t="n"/>
      <c r="B530" s="58" t="n"/>
      <c r="C530" s="59" t="n"/>
      <c r="D530" s="59" t="n"/>
      <c r="E530" s="59" t="n"/>
      <c r="F530" s="58" t="n"/>
      <c r="G530" s="60" t="n"/>
      <c r="H530" s="60" t="n"/>
      <c r="I530" s="61" t="n"/>
      <c r="J530" s="61" t="n"/>
      <c r="K530" s="61" t="n"/>
      <c r="L530" s="61" t="n"/>
      <c r="M530" s="61" t="n"/>
      <c r="N530" s="58" t="n"/>
      <c r="O530" s="59" t="n"/>
      <c r="P530" s="62" t="n"/>
      <c r="Q530" s="63" t="n"/>
      <c r="R530" s="61">
        <f>IF($P530&gt;0,CHOOSE(MATCH($B$4,'Служебный лист'!$A$4:$A$8,0),I530,J530,K530,L530,M530),"")</f>
        <v/>
      </c>
      <c r="S530" s="61">
        <f>IFERROR($P530*$R530,0)</f>
        <v/>
      </c>
      <c r="T530" s="61">
        <f>$S530*1.22</f>
        <v/>
      </c>
      <c r="U530" s="64">
        <f>IF($P530&gt;0,COUNTIF($P$11:P530,"&gt;0"),"")</f>
        <v/>
      </c>
    </row>
    <row r="531" ht="14.25" customHeight="1" s="49">
      <c r="A531" s="58" t="n"/>
      <c r="B531" s="58" t="n"/>
      <c r="C531" s="59" t="n"/>
      <c r="D531" s="59" t="n"/>
      <c r="E531" s="59" t="n"/>
      <c r="F531" s="58" t="n"/>
      <c r="G531" s="60" t="n"/>
      <c r="H531" s="60" t="n"/>
      <c r="I531" s="61" t="n"/>
      <c r="J531" s="61" t="n"/>
      <c r="K531" s="61" t="n"/>
      <c r="L531" s="61" t="n"/>
      <c r="M531" s="61" t="n"/>
      <c r="N531" s="58" t="n"/>
      <c r="O531" s="59" t="n"/>
      <c r="P531" s="62" t="n"/>
      <c r="Q531" s="63" t="n"/>
      <c r="R531" s="61">
        <f>IF($P531&gt;0,CHOOSE(MATCH($B$4,'Служебный лист'!$A$4:$A$8,0),I531,J531,K531,L531,M531),"")</f>
        <v/>
      </c>
      <c r="S531" s="61">
        <f>IFERROR($P531*$R531,0)</f>
        <v/>
      </c>
      <c r="T531" s="61">
        <f>$S531*1.22</f>
        <v/>
      </c>
      <c r="U531" s="64">
        <f>IF($P531&gt;0,COUNTIF($P$11:P531,"&gt;0"),"")</f>
        <v/>
      </c>
    </row>
    <row r="532" ht="14.25" customHeight="1" s="49">
      <c r="A532" s="58" t="n"/>
      <c r="B532" s="58" t="n"/>
      <c r="C532" s="59" t="n"/>
      <c r="D532" s="59" t="n"/>
      <c r="E532" s="59" t="n"/>
      <c r="F532" s="58" t="n"/>
      <c r="G532" s="60" t="n"/>
      <c r="H532" s="60" t="n"/>
      <c r="I532" s="61" t="n"/>
      <c r="J532" s="61" t="n"/>
      <c r="K532" s="61" t="n"/>
      <c r="L532" s="61" t="n"/>
      <c r="M532" s="61" t="n"/>
      <c r="N532" s="58" t="n"/>
      <c r="O532" s="59" t="n"/>
      <c r="P532" s="62" t="n"/>
      <c r="Q532" s="63" t="n"/>
      <c r="R532" s="61">
        <f>IF($P532&gt;0,CHOOSE(MATCH($B$4,'Служебный лист'!$A$4:$A$8,0),I532,J532,K532,L532,M532),"")</f>
        <v/>
      </c>
      <c r="S532" s="61">
        <f>IFERROR($P532*$R532,0)</f>
        <v/>
      </c>
      <c r="T532" s="61">
        <f>$S532*1.22</f>
        <v/>
      </c>
      <c r="U532" s="64">
        <f>IF($P532&gt;0,COUNTIF($P$11:P532,"&gt;0"),"")</f>
        <v/>
      </c>
    </row>
    <row r="533" ht="14.25" customHeight="1" s="49">
      <c r="A533" s="58" t="n"/>
      <c r="B533" s="58" t="n"/>
      <c r="C533" s="59" t="n"/>
      <c r="D533" s="59" t="n"/>
      <c r="E533" s="59" t="n"/>
      <c r="F533" s="58" t="n"/>
      <c r="G533" s="60" t="n"/>
      <c r="H533" s="60" t="n"/>
      <c r="I533" s="61" t="n"/>
      <c r="J533" s="61" t="n"/>
      <c r="K533" s="61" t="n"/>
      <c r="L533" s="61" t="n"/>
      <c r="M533" s="61" t="n"/>
      <c r="N533" s="58" t="n"/>
      <c r="O533" s="59" t="n"/>
      <c r="P533" s="62" t="n"/>
      <c r="Q533" s="63" t="n"/>
      <c r="R533" s="61">
        <f>IF($P533&gt;0,CHOOSE(MATCH($B$4,'Служебный лист'!$A$4:$A$8,0),I533,J533,K533,L533,M533),"")</f>
        <v/>
      </c>
      <c r="S533" s="61">
        <f>IFERROR($P533*$R533,0)</f>
        <v/>
      </c>
      <c r="T533" s="61">
        <f>$S533*1.22</f>
        <v/>
      </c>
      <c r="U533" s="64">
        <f>IF($P533&gt;0,COUNTIF($P$11:P533,"&gt;0"),"")</f>
        <v/>
      </c>
    </row>
    <row r="534" ht="14.25" customHeight="1" s="49">
      <c r="A534" s="58" t="n"/>
      <c r="B534" s="58" t="n"/>
      <c r="C534" s="59" t="n"/>
      <c r="D534" s="59" t="n"/>
      <c r="E534" s="59" t="n"/>
      <c r="F534" s="58" t="n"/>
      <c r="G534" s="60" t="n"/>
      <c r="H534" s="60" t="n"/>
      <c r="I534" s="61" t="n"/>
      <c r="J534" s="61" t="n"/>
      <c r="K534" s="61" t="n"/>
      <c r="L534" s="61" t="n"/>
      <c r="M534" s="61" t="n"/>
      <c r="N534" s="58" t="n"/>
      <c r="O534" s="59" t="n"/>
      <c r="P534" s="62" t="n"/>
      <c r="Q534" s="63" t="n"/>
      <c r="R534" s="61">
        <f>IF($P534&gt;0,CHOOSE(MATCH($B$4,'Служебный лист'!$A$4:$A$8,0),I534,J534,K534,L534,M534),"")</f>
        <v/>
      </c>
      <c r="S534" s="61">
        <f>IFERROR($P534*$R534,0)</f>
        <v/>
      </c>
      <c r="T534" s="61">
        <f>$S534*1.22</f>
        <v/>
      </c>
      <c r="U534" s="64">
        <f>IF($P534&gt;0,COUNTIF($P$11:P534,"&gt;0"),"")</f>
        <v/>
      </c>
    </row>
    <row r="535" ht="14.25" customHeight="1" s="49">
      <c r="A535" s="58" t="n"/>
      <c r="B535" s="58" t="n"/>
      <c r="C535" s="59" t="n"/>
      <c r="D535" s="59" t="n"/>
      <c r="E535" s="59" t="n"/>
      <c r="F535" s="58" t="n"/>
      <c r="G535" s="60" t="n"/>
      <c r="H535" s="60" t="n"/>
      <c r="I535" s="61" t="n"/>
      <c r="J535" s="61" t="n"/>
      <c r="K535" s="61" t="n"/>
      <c r="L535" s="61" t="n"/>
      <c r="M535" s="61" t="n"/>
      <c r="N535" s="58" t="n"/>
      <c r="O535" s="59" t="n"/>
      <c r="P535" s="62" t="n"/>
      <c r="Q535" s="63" t="n"/>
      <c r="R535" s="61">
        <f>IF($P535&gt;0,CHOOSE(MATCH($B$4,'Служебный лист'!$A$4:$A$8,0),I535,J535,K535,L535,M535),"")</f>
        <v/>
      </c>
      <c r="S535" s="61">
        <f>IFERROR($P535*$R535,0)</f>
        <v/>
      </c>
      <c r="T535" s="61">
        <f>$S535*1.22</f>
        <v/>
      </c>
      <c r="U535" s="64">
        <f>IF($P535&gt;0,COUNTIF($P$11:P535,"&gt;0"),"")</f>
        <v/>
      </c>
    </row>
    <row r="536" ht="14.25" customHeight="1" s="49">
      <c r="A536" s="58" t="n"/>
      <c r="B536" s="58" t="n"/>
      <c r="C536" s="59" t="n"/>
      <c r="D536" s="59" t="n"/>
      <c r="E536" s="59" t="n"/>
      <c r="F536" s="58" t="n"/>
      <c r="G536" s="60" t="n"/>
      <c r="H536" s="60" t="n"/>
      <c r="I536" s="61" t="n"/>
      <c r="J536" s="61" t="n"/>
      <c r="K536" s="61" t="n"/>
      <c r="L536" s="61" t="n"/>
      <c r="M536" s="61" t="n"/>
      <c r="N536" s="58" t="n"/>
      <c r="O536" s="59" t="n"/>
      <c r="P536" s="62" t="n"/>
      <c r="Q536" s="63" t="n"/>
      <c r="R536" s="61">
        <f>IF($P536&gt;0,CHOOSE(MATCH($B$4,'Служебный лист'!$A$4:$A$8,0),I536,J536,K536,L536,M536),"")</f>
        <v/>
      </c>
      <c r="S536" s="61">
        <f>IFERROR($P536*$R536,0)</f>
        <v/>
      </c>
      <c r="T536" s="61">
        <f>$S536*1.22</f>
        <v/>
      </c>
      <c r="U536" s="64">
        <f>IF($P536&gt;0,COUNTIF($P$11:P536,"&gt;0"),"")</f>
        <v/>
      </c>
    </row>
    <row r="537" ht="14.25" customHeight="1" s="49">
      <c r="A537" s="58" t="n"/>
      <c r="B537" s="58" t="n"/>
      <c r="C537" s="59" t="n"/>
      <c r="D537" s="59" t="n"/>
      <c r="E537" s="59" t="n"/>
      <c r="F537" s="58" t="n"/>
      <c r="G537" s="60" t="n"/>
      <c r="H537" s="60" t="n"/>
      <c r="I537" s="61" t="n"/>
      <c r="J537" s="61" t="n"/>
      <c r="K537" s="61" t="n"/>
      <c r="L537" s="61" t="n"/>
      <c r="M537" s="61" t="n"/>
      <c r="N537" s="58" t="n"/>
      <c r="O537" s="59" t="n"/>
      <c r="P537" s="62" t="n"/>
      <c r="Q537" s="63" t="n"/>
      <c r="R537" s="61">
        <f>IF($P537&gt;0,CHOOSE(MATCH($B$4,'Служебный лист'!$A$4:$A$8,0),I537,J537,K537,L537,M537),"")</f>
        <v/>
      </c>
      <c r="S537" s="61">
        <f>IFERROR($P537*$R537,0)</f>
        <v/>
      </c>
      <c r="T537" s="61">
        <f>$S537*1.22</f>
        <v/>
      </c>
      <c r="U537" s="64">
        <f>IF($P537&gt;0,COUNTIF($P$11:P537,"&gt;0"),"")</f>
        <v/>
      </c>
    </row>
    <row r="538" ht="14.25" customHeight="1" s="49">
      <c r="A538" s="58" t="n"/>
      <c r="B538" s="58" t="n"/>
      <c r="C538" s="59" t="n"/>
      <c r="D538" s="59" t="n"/>
      <c r="E538" s="59" t="n"/>
      <c r="F538" s="58" t="n"/>
      <c r="G538" s="60" t="n"/>
      <c r="H538" s="60" t="n"/>
      <c r="I538" s="61" t="n"/>
      <c r="J538" s="61" t="n"/>
      <c r="K538" s="61" t="n"/>
      <c r="L538" s="61" t="n"/>
      <c r="M538" s="61" t="n"/>
      <c r="N538" s="58" t="n"/>
      <c r="O538" s="59" t="n"/>
      <c r="P538" s="62" t="n"/>
      <c r="Q538" s="63" t="n"/>
      <c r="R538" s="61">
        <f>IF($P538&gt;0,CHOOSE(MATCH($B$4,'Служебный лист'!$A$4:$A$8,0),I538,J538,K538,L538,M538),"")</f>
        <v/>
      </c>
      <c r="S538" s="61">
        <f>IFERROR($P538*$R538,0)</f>
        <v/>
      </c>
      <c r="T538" s="61">
        <f>$S538*1.22</f>
        <v/>
      </c>
      <c r="U538" s="64">
        <f>IF($P538&gt;0,COUNTIF($P$11:P538,"&gt;0"),"")</f>
        <v/>
      </c>
    </row>
    <row r="539" ht="14.25" customHeight="1" s="49">
      <c r="A539" s="58" t="n"/>
      <c r="B539" s="58" t="n"/>
      <c r="C539" s="59" t="n"/>
      <c r="D539" s="59" t="n"/>
      <c r="E539" s="59" t="n"/>
      <c r="F539" s="58" t="n"/>
      <c r="G539" s="60" t="n"/>
      <c r="H539" s="60" t="n"/>
      <c r="I539" s="61" t="n"/>
      <c r="J539" s="61" t="n"/>
      <c r="K539" s="61" t="n"/>
      <c r="L539" s="61" t="n"/>
      <c r="M539" s="61" t="n"/>
      <c r="N539" s="58" t="n"/>
      <c r="O539" s="59" t="n"/>
      <c r="P539" s="62" t="n"/>
      <c r="Q539" s="63" t="n"/>
      <c r="R539" s="61">
        <f>IF($P539&gt;0,CHOOSE(MATCH($B$4,'Служебный лист'!$A$4:$A$8,0),I539,J539,K539,L539,M539),"")</f>
        <v/>
      </c>
      <c r="S539" s="61">
        <f>IFERROR($P539*$R539,0)</f>
        <v/>
      </c>
      <c r="T539" s="61">
        <f>$S539*1.22</f>
        <v/>
      </c>
      <c r="U539" s="64">
        <f>IF($P539&gt;0,COUNTIF($P$11:P539,"&gt;0"),"")</f>
        <v/>
      </c>
    </row>
    <row r="540" ht="14.25" customHeight="1" s="49">
      <c r="A540" s="58" t="n"/>
      <c r="B540" s="58" t="n"/>
      <c r="C540" s="59" t="n"/>
      <c r="D540" s="59" t="n"/>
      <c r="E540" s="59" t="n"/>
      <c r="F540" s="58" t="n"/>
      <c r="G540" s="60" t="n"/>
      <c r="H540" s="60" t="n"/>
      <c r="I540" s="61" t="n"/>
      <c r="J540" s="61" t="n"/>
      <c r="K540" s="61" t="n"/>
      <c r="L540" s="61" t="n"/>
      <c r="M540" s="61" t="n"/>
      <c r="N540" s="58" t="n"/>
      <c r="O540" s="59" t="n"/>
      <c r="P540" s="62" t="n"/>
      <c r="Q540" s="63" t="n"/>
      <c r="R540" s="61">
        <f>IF($P540&gt;0,CHOOSE(MATCH($B$4,'Служебный лист'!$A$4:$A$8,0),I540,J540,K540,L540,M540),"")</f>
        <v/>
      </c>
      <c r="S540" s="61">
        <f>IFERROR($P540*$R540,0)</f>
        <v/>
      </c>
      <c r="T540" s="61">
        <f>$S540*1.22</f>
        <v/>
      </c>
      <c r="U540" s="64">
        <f>IF($P540&gt;0,COUNTIF($P$11:P540,"&gt;0"),"")</f>
        <v/>
      </c>
    </row>
    <row r="541" ht="14.25" customHeight="1" s="49">
      <c r="A541" s="58" t="n"/>
      <c r="B541" s="58" t="n"/>
      <c r="C541" s="59" t="n"/>
      <c r="D541" s="59" t="n"/>
      <c r="E541" s="59" t="n"/>
      <c r="F541" s="58" t="n"/>
      <c r="G541" s="60" t="n"/>
      <c r="H541" s="60" t="n"/>
      <c r="I541" s="61" t="n"/>
      <c r="J541" s="61" t="n"/>
      <c r="K541" s="61" t="n"/>
      <c r="L541" s="61" t="n"/>
      <c r="M541" s="61" t="n"/>
      <c r="N541" s="58" t="n"/>
      <c r="O541" s="59" t="n"/>
      <c r="P541" s="62" t="n"/>
      <c r="Q541" s="63" t="n"/>
      <c r="R541" s="61">
        <f>IF($P541&gt;0,CHOOSE(MATCH($B$4,'Служебный лист'!$A$4:$A$8,0),I541,J541,K541,L541,M541),"")</f>
        <v/>
      </c>
      <c r="S541" s="61">
        <f>IFERROR($P541*$R541,0)</f>
        <v/>
      </c>
      <c r="T541" s="61">
        <f>$S541*1.22</f>
        <v/>
      </c>
      <c r="U541" s="64">
        <f>IF($P541&gt;0,COUNTIF($P$11:P541,"&gt;0"),"")</f>
        <v/>
      </c>
    </row>
    <row r="542" ht="14.25" customHeight="1" s="49">
      <c r="A542" s="58" t="n"/>
      <c r="B542" s="58" t="n"/>
      <c r="C542" s="59" t="n"/>
      <c r="D542" s="59" t="n"/>
      <c r="E542" s="59" t="n"/>
      <c r="F542" s="58" t="n"/>
      <c r="G542" s="60" t="n"/>
      <c r="H542" s="60" t="n"/>
      <c r="I542" s="61" t="n"/>
      <c r="J542" s="61" t="n"/>
      <c r="K542" s="61" t="n"/>
      <c r="L542" s="61" t="n"/>
      <c r="M542" s="61" t="n"/>
      <c r="N542" s="58" t="n"/>
      <c r="O542" s="59" t="n"/>
      <c r="P542" s="62" t="n"/>
      <c r="Q542" s="63" t="n"/>
      <c r="R542" s="61">
        <f>IF($P542&gt;0,CHOOSE(MATCH($B$4,'Служебный лист'!$A$4:$A$8,0),I542,J542,K542,L542,M542),"")</f>
        <v/>
      </c>
      <c r="S542" s="61">
        <f>IFERROR($P542*$R542,0)</f>
        <v/>
      </c>
      <c r="T542" s="61">
        <f>$S542*1.22</f>
        <v/>
      </c>
      <c r="U542" s="64">
        <f>IF($P542&gt;0,COUNTIF($P$11:P542,"&gt;0"),"")</f>
        <v/>
      </c>
    </row>
    <row r="543" ht="14.25" customHeight="1" s="49">
      <c r="A543" s="58" t="n"/>
      <c r="B543" s="58" t="n"/>
      <c r="C543" s="59" t="n"/>
      <c r="D543" s="59" t="n"/>
      <c r="E543" s="59" t="n"/>
      <c r="F543" s="58" t="n"/>
      <c r="G543" s="60" t="n"/>
      <c r="H543" s="60" t="n"/>
      <c r="I543" s="61" t="n"/>
      <c r="J543" s="61" t="n"/>
      <c r="K543" s="61" t="n"/>
      <c r="L543" s="61" t="n"/>
      <c r="M543" s="61" t="n"/>
      <c r="N543" s="58" t="n"/>
      <c r="O543" s="59" t="n"/>
      <c r="P543" s="62" t="n"/>
      <c r="Q543" s="63" t="n"/>
      <c r="R543" s="61">
        <f>IF($P543&gt;0,CHOOSE(MATCH($B$4,'Служебный лист'!$A$4:$A$8,0),I543,J543,K543,L543,M543),"")</f>
        <v/>
      </c>
      <c r="S543" s="61">
        <f>IFERROR($P543*$R543,0)</f>
        <v/>
      </c>
      <c r="T543" s="61">
        <f>$S543*1.22</f>
        <v/>
      </c>
      <c r="U543" s="64">
        <f>IF($P543&gt;0,COUNTIF($P$11:P543,"&gt;0"),"")</f>
        <v/>
      </c>
    </row>
    <row r="544" ht="14.25" customHeight="1" s="49">
      <c r="A544" s="58" t="n"/>
      <c r="B544" s="58" t="n"/>
      <c r="C544" s="59" t="n"/>
      <c r="D544" s="59" t="n"/>
      <c r="E544" s="59" t="n"/>
      <c r="F544" s="58" t="n"/>
      <c r="G544" s="60" t="n"/>
      <c r="H544" s="60" t="n"/>
      <c r="I544" s="61" t="n"/>
      <c r="J544" s="61" t="n"/>
      <c r="K544" s="61" t="n"/>
      <c r="L544" s="61" t="n"/>
      <c r="M544" s="61" t="n"/>
      <c r="N544" s="58" t="n"/>
      <c r="O544" s="59" t="n"/>
      <c r="P544" s="62" t="n"/>
      <c r="Q544" s="63" t="n"/>
      <c r="R544" s="61">
        <f>IF($P544&gt;0,CHOOSE(MATCH($B$4,'Служебный лист'!$A$4:$A$8,0),I544,J544,K544,L544,M544),"")</f>
        <v/>
      </c>
      <c r="S544" s="61">
        <f>IFERROR($P544*$R544,0)</f>
        <v/>
      </c>
      <c r="T544" s="61">
        <f>$S544*1.22</f>
        <v/>
      </c>
      <c r="U544" s="64">
        <f>IF($P544&gt;0,COUNTIF($P$11:P544,"&gt;0"),"")</f>
        <v/>
      </c>
    </row>
    <row r="545" ht="14.25" customHeight="1" s="49">
      <c r="A545" s="58" t="n"/>
      <c r="B545" s="58" t="n"/>
      <c r="C545" s="59" t="n"/>
      <c r="D545" s="59" t="n"/>
      <c r="E545" s="59" t="n"/>
      <c r="F545" s="58" t="n"/>
      <c r="G545" s="60" t="n"/>
      <c r="H545" s="60" t="n"/>
      <c r="I545" s="61" t="n"/>
      <c r="J545" s="61" t="n"/>
      <c r="K545" s="61" t="n"/>
      <c r="L545" s="61" t="n"/>
      <c r="M545" s="61" t="n"/>
      <c r="N545" s="58" t="n"/>
      <c r="O545" s="59" t="n"/>
      <c r="P545" s="62" t="n"/>
      <c r="Q545" s="63" t="n"/>
      <c r="R545" s="61">
        <f>IF($P545&gt;0,CHOOSE(MATCH($B$4,'Служебный лист'!$A$4:$A$8,0),I545,J545,K545,L545,M545),"")</f>
        <v/>
      </c>
      <c r="S545" s="61">
        <f>IFERROR($P545*$R545,0)</f>
        <v/>
      </c>
      <c r="T545" s="61">
        <f>$S545*1.22</f>
        <v/>
      </c>
      <c r="U545" s="64">
        <f>IF($P545&gt;0,COUNTIF($P$11:P545,"&gt;0"),"")</f>
        <v/>
      </c>
    </row>
    <row r="546" ht="14.25" customHeight="1" s="49">
      <c r="A546" s="58" t="n"/>
      <c r="B546" s="58" t="n"/>
      <c r="C546" s="59" t="n"/>
      <c r="D546" s="59" t="n"/>
      <c r="E546" s="59" t="n"/>
      <c r="F546" s="58" t="n"/>
      <c r="G546" s="60" t="n"/>
      <c r="H546" s="60" t="n"/>
      <c r="I546" s="61" t="n"/>
      <c r="J546" s="61" t="n"/>
      <c r="K546" s="61" t="n"/>
      <c r="L546" s="61" t="n"/>
      <c r="M546" s="61" t="n"/>
      <c r="N546" s="58" t="n"/>
      <c r="O546" s="59" t="n"/>
      <c r="P546" s="62" t="n"/>
      <c r="Q546" s="63" t="n"/>
      <c r="R546" s="61">
        <f>IF($P546&gt;0,CHOOSE(MATCH($B$4,'Служебный лист'!$A$4:$A$8,0),I546,J546,K546,L546,M546),"")</f>
        <v/>
      </c>
      <c r="S546" s="61">
        <f>IFERROR($P546*$R546,0)</f>
        <v/>
      </c>
      <c r="T546" s="61">
        <f>$S546*1.22</f>
        <v/>
      </c>
      <c r="U546" s="64">
        <f>IF($P546&gt;0,COUNTIF($P$11:P546,"&gt;0"),"")</f>
        <v/>
      </c>
    </row>
    <row r="547" ht="14.25" customHeight="1" s="49">
      <c r="A547" s="58" t="n"/>
      <c r="B547" s="58" t="n"/>
      <c r="C547" s="59" t="n"/>
      <c r="D547" s="59" t="n"/>
      <c r="E547" s="59" t="n"/>
      <c r="F547" s="58" t="n"/>
      <c r="G547" s="60" t="n"/>
      <c r="H547" s="60" t="n"/>
      <c r="I547" s="61" t="n"/>
      <c r="J547" s="61" t="n"/>
      <c r="K547" s="61" t="n"/>
      <c r="L547" s="61" t="n"/>
      <c r="M547" s="61" t="n"/>
      <c r="N547" s="58" t="n"/>
      <c r="O547" s="59" t="n"/>
      <c r="P547" s="62" t="n"/>
      <c r="Q547" s="63" t="n"/>
      <c r="R547" s="61">
        <f>IF($P547&gt;0,CHOOSE(MATCH($B$4,'Служебный лист'!$A$4:$A$8,0),I547,J547,K547,L547,M547),"")</f>
        <v/>
      </c>
      <c r="S547" s="61">
        <f>IFERROR($P547*$R547,0)</f>
        <v/>
      </c>
      <c r="T547" s="61">
        <f>$S547*1.22</f>
        <v/>
      </c>
      <c r="U547" s="64">
        <f>IF($P547&gt;0,COUNTIF($P$11:P547,"&gt;0"),"")</f>
        <v/>
      </c>
    </row>
    <row r="548" ht="14.25" customHeight="1" s="49">
      <c r="A548" s="58" t="n"/>
      <c r="B548" s="58" t="n"/>
      <c r="C548" s="59" t="n"/>
      <c r="D548" s="59" t="n"/>
      <c r="E548" s="59" t="n"/>
      <c r="F548" s="58" t="n"/>
      <c r="G548" s="60" t="n"/>
      <c r="H548" s="60" t="n"/>
      <c r="I548" s="61" t="n"/>
      <c r="J548" s="61" t="n"/>
      <c r="K548" s="61" t="n"/>
      <c r="L548" s="61" t="n"/>
      <c r="M548" s="61" t="n"/>
      <c r="N548" s="58" t="n"/>
      <c r="O548" s="59" t="n"/>
      <c r="P548" s="62" t="n"/>
      <c r="Q548" s="63" t="n"/>
      <c r="R548" s="61">
        <f>IF($P548&gt;0,CHOOSE(MATCH($B$4,'Служебный лист'!$A$4:$A$8,0),I548,J548,K548,L548,M548),"")</f>
        <v/>
      </c>
      <c r="S548" s="61">
        <f>IFERROR($P548*$R548,0)</f>
        <v/>
      </c>
      <c r="T548" s="61">
        <f>$S548*1.22</f>
        <v/>
      </c>
      <c r="U548" s="64">
        <f>IF($P548&gt;0,COUNTIF($P$11:P548,"&gt;0"),"")</f>
        <v/>
      </c>
    </row>
    <row r="549" ht="14.25" customHeight="1" s="49">
      <c r="A549" s="58" t="n"/>
      <c r="B549" s="58" t="n"/>
      <c r="C549" s="59" t="n"/>
      <c r="D549" s="59" t="n"/>
      <c r="E549" s="59" t="n"/>
      <c r="F549" s="58" t="n"/>
      <c r="G549" s="60" t="n"/>
      <c r="H549" s="60" t="n"/>
      <c r="I549" s="61" t="n"/>
      <c r="J549" s="61" t="n"/>
      <c r="K549" s="61" t="n"/>
      <c r="L549" s="61" t="n"/>
      <c r="M549" s="61" t="n"/>
      <c r="N549" s="58" t="n"/>
      <c r="O549" s="59" t="n"/>
      <c r="P549" s="62" t="n"/>
      <c r="Q549" s="63" t="n"/>
      <c r="R549" s="61">
        <f>IF($P549&gt;0,CHOOSE(MATCH($B$4,'Служебный лист'!$A$4:$A$8,0),I549,J549,K549,L549,M549),"")</f>
        <v/>
      </c>
      <c r="S549" s="61">
        <f>IFERROR($P549*$R549,0)</f>
        <v/>
      </c>
      <c r="T549" s="61">
        <f>$S549*1.22</f>
        <v/>
      </c>
      <c r="U549" s="64">
        <f>IF($P549&gt;0,COUNTIF($P$11:P549,"&gt;0"),"")</f>
        <v/>
      </c>
    </row>
    <row r="550" ht="14.25" customHeight="1" s="49">
      <c r="A550" s="58" t="n"/>
      <c r="B550" s="58" t="n"/>
      <c r="C550" s="59" t="n"/>
      <c r="D550" s="59" t="n"/>
      <c r="E550" s="59" t="n"/>
      <c r="F550" s="58" t="n"/>
      <c r="G550" s="60" t="n"/>
      <c r="H550" s="60" t="n"/>
      <c r="I550" s="61" t="n"/>
      <c r="J550" s="61" t="n"/>
      <c r="K550" s="61" t="n"/>
      <c r="L550" s="61" t="n"/>
      <c r="M550" s="61" t="n"/>
      <c r="N550" s="58" t="n"/>
      <c r="O550" s="59" t="n"/>
      <c r="P550" s="62" t="n"/>
      <c r="Q550" s="63" t="n"/>
      <c r="R550" s="61">
        <f>IF($P550&gt;0,CHOOSE(MATCH($B$4,'Служебный лист'!$A$4:$A$8,0),I550,J550,K550,L550,M550),"")</f>
        <v/>
      </c>
      <c r="S550" s="61">
        <f>IFERROR($P550*$R550,0)</f>
        <v/>
      </c>
      <c r="T550" s="61">
        <f>$S550*1.22</f>
        <v/>
      </c>
      <c r="U550" s="64">
        <f>IF($P550&gt;0,COUNTIF($P$11:P550,"&gt;0"),"")</f>
        <v/>
      </c>
    </row>
    <row r="551" ht="14.25" customHeight="1" s="49">
      <c r="A551" s="58" t="n"/>
      <c r="B551" s="58" t="n"/>
      <c r="C551" s="59" t="n"/>
      <c r="D551" s="59" t="n"/>
      <c r="E551" s="59" t="n"/>
      <c r="F551" s="58" t="n"/>
      <c r="G551" s="60" t="n"/>
      <c r="H551" s="60" t="n"/>
      <c r="I551" s="61" t="n"/>
      <c r="J551" s="61" t="n"/>
      <c r="K551" s="61" t="n"/>
      <c r="L551" s="61" t="n"/>
      <c r="M551" s="61" t="n"/>
      <c r="N551" s="58" t="n"/>
      <c r="O551" s="59" t="n"/>
      <c r="P551" s="62" t="n"/>
      <c r="Q551" s="63" t="n"/>
      <c r="R551" s="61">
        <f>IF($P551&gt;0,CHOOSE(MATCH($B$4,'Служебный лист'!$A$4:$A$8,0),I551,J551,K551,L551,M551),"")</f>
        <v/>
      </c>
      <c r="S551" s="61">
        <f>IFERROR($P551*$R551,0)</f>
        <v/>
      </c>
      <c r="T551" s="61">
        <f>$S551*1.22</f>
        <v/>
      </c>
      <c r="U551" s="64">
        <f>IF($P551&gt;0,COUNTIF($P$11:P551,"&gt;0"),"")</f>
        <v/>
      </c>
    </row>
    <row r="552" ht="14.25" customHeight="1" s="49">
      <c r="A552" s="58" t="n"/>
      <c r="B552" s="58" t="n"/>
      <c r="C552" s="59" t="n"/>
      <c r="D552" s="59" t="n"/>
      <c r="E552" s="59" t="n"/>
      <c r="F552" s="58" t="n"/>
      <c r="G552" s="60" t="n"/>
      <c r="H552" s="60" t="n"/>
      <c r="I552" s="61" t="n"/>
      <c r="J552" s="61" t="n"/>
      <c r="K552" s="61" t="n"/>
      <c r="L552" s="61" t="n"/>
      <c r="M552" s="61" t="n"/>
      <c r="N552" s="58" t="n"/>
      <c r="O552" s="59" t="n"/>
      <c r="P552" s="62" t="n"/>
      <c r="Q552" s="63" t="n"/>
      <c r="R552" s="61">
        <f>IF($P552&gt;0,CHOOSE(MATCH($B$4,'Служебный лист'!$A$4:$A$8,0),I552,J552,K552,L552,M552),"")</f>
        <v/>
      </c>
      <c r="S552" s="61">
        <f>IFERROR($P552*$R552,0)</f>
        <v/>
      </c>
      <c r="T552" s="61">
        <f>$S552*1.22</f>
        <v/>
      </c>
      <c r="U552" s="64">
        <f>IF($P552&gt;0,COUNTIF($P$11:P552,"&gt;0"),"")</f>
        <v/>
      </c>
    </row>
    <row r="553" ht="14.25" customHeight="1" s="49">
      <c r="A553" s="58" t="n"/>
      <c r="B553" s="58" t="n"/>
      <c r="C553" s="59" t="n"/>
      <c r="D553" s="59" t="n"/>
      <c r="E553" s="59" t="n"/>
      <c r="F553" s="58" t="n"/>
      <c r="G553" s="60" t="n"/>
      <c r="H553" s="60" t="n"/>
      <c r="I553" s="61" t="n"/>
      <c r="J553" s="61" t="n"/>
      <c r="K553" s="61" t="n"/>
      <c r="L553" s="61" t="n"/>
      <c r="M553" s="61" t="n"/>
      <c r="N553" s="58" t="n"/>
      <c r="O553" s="59" t="n"/>
      <c r="P553" s="62" t="n"/>
      <c r="Q553" s="63" t="n"/>
      <c r="R553" s="61">
        <f>IF($P553&gt;0,CHOOSE(MATCH($B$4,'Служебный лист'!$A$4:$A$8,0),I553,J553,K553,L553,M553),"")</f>
        <v/>
      </c>
      <c r="S553" s="61">
        <f>IFERROR($P553*$R553,0)</f>
        <v/>
      </c>
      <c r="T553" s="61">
        <f>$S553*1.22</f>
        <v/>
      </c>
      <c r="U553" s="64">
        <f>IF($P553&gt;0,COUNTIF($P$11:P553,"&gt;0"),"")</f>
        <v/>
      </c>
    </row>
    <row r="554" ht="14.25" customHeight="1" s="49">
      <c r="A554" s="58" t="n"/>
      <c r="B554" s="58" t="n"/>
      <c r="C554" s="59" t="n"/>
      <c r="D554" s="59" t="n"/>
      <c r="E554" s="59" t="n"/>
      <c r="F554" s="58" t="n"/>
      <c r="G554" s="60" t="n"/>
      <c r="H554" s="60" t="n"/>
      <c r="I554" s="61" t="n"/>
      <c r="J554" s="61" t="n"/>
      <c r="K554" s="61" t="n"/>
      <c r="L554" s="61" t="n"/>
      <c r="M554" s="61" t="n"/>
      <c r="N554" s="58" t="n"/>
      <c r="O554" s="59" t="n"/>
      <c r="P554" s="62" t="n"/>
      <c r="Q554" s="63" t="n"/>
      <c r="R554" s="61">
        <f>IF($P554&gt;0,CHOOSE(MATCH($B$4,'Служебный лист'!$A$4:$A$8,0),I554,J554,K554,L554,M554),"")</f>
        <v/>
      </c>
      <c r="S554" s="61">
        <f>IFERROR($P554*$R554,0)</f>
        <v/>
      </c>
      <c r="T554" s="61">
        <f>$S554*1.22</f>
        <v/>
      </c>
      <c r="U554" s="64">
        <f>IF($P554&gt;0,COUNTIF($P$11:P554,"&gt;0"),"")</f>
        <v/>
      </c>
    </row>
    <row r="555" ht="14.25" customHeight="1" s="49">
      <c r="A555" s="58" t="n"/>
      <c r="B555" s="58" t="n"/>
      <c r="C555" s="59" t="n"/>
      <c r="D555" s="59" t="n"/>
      <c r="E555" s="59" t="n"/>
      <c r="F555" s="58" t="n"/>
      <c r="G555" s="60" t="n"/>
      <c r="H555" s="60" t="n"/>
      <c r="I555" s="61" t="n"/>
      <c r="J555" s="61" t="n"/>
      <c r="K555" s="61" t="n"/>
      <c r="L555" s="61" t="n"/>
      <c r="M555" s="61" t="n"/>
      <c r="N555" s="58" t="n"/>
      <c r="O555" s="59" t="n"/>
      <c r="P555" s="62" t="n"/>
      <c r="Q555" s="63" t="n"/>
      <c r="R555" s="61">
        <f>IF($P555&gt;0,CHOOSE(MATCH($B$4,'Служебный лист'!$A$4:$A$8,0),I555,J555,K555,L555,M555),"")</f>
        <v/>
      </c>
      <c r="S555" s="61">
        <f>IFERROR($P555*$R555,0)</f>
        <v/>
      </c>
      <c r="T555" s="61">
        <f>$S555*1.22</f>
        <v/>
      </c>
      <c r="U555" s="64">
        <f>IF($P555&gt;0,COUNTIF($P$11:P555,"&gt;0"),"")</f>
        <v/>
      </c>
    </row>
    <row r="556" ht="14.25" customHeight="1" s="49">
      <c r="A556" s="58" t="n"/>
      <c r="B556" s="58" t="n"/>
      <c r="C556" s="59" t="n"/>
      <c r="D556" s="59" t="n"/>
      <c r="E556" s="59" t="n"/>
      <c r="F556" s="58" t="n"/>
      <c r="G556" s="60" t="n"/>
      <c r="H556" s="60" t="n"/>
      <c r="I556" s="61" t="n"/>
      <c r="J556" s="61" t="n"/>
      <c r="K556" s="61" t="n"/>
      <c r="L556" s="61" t="n"/>
      <c r="M556" s="61" t="n"/>
      <c r="N556" s="58" t="n"/>
      <c r="O556" s="59" t="n"/>
      <c r="P556" s="62" t="n"/>
      <c r="Q556" s="63" t="n"/>
      <c r="R556" s="61">
        <f>IF($P556&gt;0,CHOOSE(MATCH($B$4,'Служебный лист'!$A$4:$A$8,0),I556,J556,K556,L556,M556),"")</f>
        <v/>
      </c>
      <c r="S556" s="61">
        <f>IFERROR($P556*$R556,0)</f>
        <v/>
      </c>
      <c r="T556" s="61">
        <f>$S556*1.22</f>
        <v/>
      </c>
      <c r="U556" s="64">
        <f>IF($P556&gt;0,COUNTIF($P$11:P556,"&gt;0"),"")</f>
        <v/>
      </c>
    </row>
    <row r="557" ht="14.25" customHeight="1" s="49">
      <c r="A557" s="58" t="n"/>
      <c r="B557" s="58" t="n"/>
      <c r="C557" s="59" t="n"/>
      <c r="D557" s="59" t="n"/>
      <c r="E557" s="59" t="n"/>
      <c r="F557" s="58" t="n"/>
      <c r="G557" s="60" t="n"/>
      <c r="H557" s="60" t="n"/>
      <c r="I557" s="61" t="n"/>
      <c r="J557" s="61" t="n"/>
      <c r="K557" s="61" t="n"/>
      <c r="L557" s="61" t="n"/>
      <c r="M557" s="61" t="n"/>
      <c r="N557" s="58" t="n"/>
      <c r="O557" s="59" t="n"/>
      <c r="P557" s="62" t="n"/>
      <c r="Q557" s="63" t="n"/>
      <c r="R557" s="61">
        <f>IF($P557&gt;0,CHOOSE(MATCH($B$4,'Служебный лист'!$A$4:$A$8,0),I557,J557,K557,L557,M557),"")</f>
        <v/>
      </c>
      <c r="S557" s="61">
        <f>IFERROR($P557*$R557,0)</f>
        <v/>
      </c>
      <c r="T557" s="61">
        <f>$S557*1.22</f>
        <v/>
      </c>
      <c r="U557" s="64">
        <f>IF($P557&gt;0,COUNTIF($P$11:P557,"&gt;0"),"")</f>
        <v/>
      </c>
    </row>
    <row r="558" ht="14.25" customHeight="1" s="49">
      <c r="A558" s="58" t="n"/>
      <c r="B558" s="58" t="n"/>
      <c r="C558" s="59" t="n"/>
      <c r="D558" s="59" t="n"/>
      <c r="E558" s="59" t="n"/>
      <c r="F558" s="58" t="n"/>
      <c r="G558" s="60" t="n"/>
      <c r="H558" s="60" t="n"/>
      <c r="I558" s="61" t="n"/>
      <c r="J558" s="61" t="n"/>
      <c r="K558" s="61" t="n"/>
      <c r="L558" s="61" t="n"/>
      <c r="M558" s="61" t="n"/>
      <c r="N558" s="58" t="n"/>
      <c r="O558" s="59" t="n"/>
      <c r="P558" s="62" t="n"/>
      <c r="Q558" s="63" t="n"/>
      <c r="R558" s="61">
        <f>IF($P558&gt;0,CHOOSE(MATCH($B$4,'Служебный лист'!$A$4:$A$8,0),I558,J558,K558,L558,M558),"")</f>
        <v/>
      </c>
      <c r="S558" s="61">
        <f>IFERROR($P558*$R558,0)</f>
        <v/>
      </c>
      <c r="T558" s="61">
        <f>$S558*1.22</f>
        <v/>
      </c>
      <c r="U558" s="64">
        <f>IF($P558&gt;0,COUNTIF($P$11:P558,"&gt;0"),"")</f>
        <v/>
      </c>
    </row>
    <row r="559" ht="14.25" customHeight="1" s="49">
      <c r="A559" s="58" t="n"/>
      <c r="B559" s="58" t="n"/>
      <c r="C559" s="59" t="n"/>
      <c r="D559" s="59" t="n"/>
      <c r="E559" s="59" t="n"/>
      <c r="F559" s="58" t="n"/>
      <c r="G559" s="60" t="n"/>
      <c r="H559" s="60" t="n"/>
      <c r="I559" s="61" t="n"/>
      <c r="J559" s="61" t="n"/>
      <c r="K559" s="61" t="n"/>
      <c r="L559" s="61" t="n"/>
      <c r="M559" s="61" t="n"/>
      <c r="N559" s="58" t="n"/>
      <c r="O559" s="59" t="n"/>
      <c r="P559" s="62" t="n"/>
      <c r="Q559" s="63" t="n"/>
      <c r="R559" s="61">
        <f>IF($P559&gt;0,CHOOSE(MATCH($B$4,'Служебный лист'!$A$4:$A$8,0),I559,J559,K559,L559,M559),"")</f>
        <v/>
      </c>
      <c r="S559" s="61">
        <f>IFERROR($P559*$R559,0)</f>
        <v/>
      </c>
      <c r="T559" s="61">
        <f>$S559*1.22</f>
        <v/>
      </c>
      <c r="U559" s="64">
        <f>IF($P559&gt;0,COUNTIF($P$11:P559,"&gt;0"),"")</f>
        <v/>
      </c>
    </row>
    <row r="560" ht="14.25" customHeight="1" s="49">
      <c r="A560" s="58" t="n"/>
      <c r="B560" s="58" t="n"/>
      <c r="C560" s="59" t="n"/>
      <c r="D560" s="59" t="n"/>
      <c r="E560" s="59" t="n"/>
      <c r="F560" s="58" t="n"/>
      <c r="G560" s="60" t="n"/>
      <c r="H560" s="60" t="n"/>
      <c r="I560" s="61" t="n"/>
      <c r="J560" s="61" t="n"/>
      <c r="K560" s="61" t="n"/>
      <c r="L560" s="61" t="n"/>
      <c r="M560" s="61" t="n"/>
      <c r="N560" s="58" t="n"/>
      <c r="O560" s="59" t="n"/>
      <c r="P560" s="62" t="n"/>
      <c r="Q560" s="63" t="n"/>
      <c r="R560" s="61">
        <f>IF($P560&gt;0,CHOOSE(MATCH($B$4,'Служебный лист'!$A$4:$A$8,0),I560,J560,K560,L560,M560),"")</f>
        <v/>
      </c>
      <c r="S560" s="61">
        <f>IFERROR($P560*$R560,0)</f>
        <v/>
      </c>
      <c r="T560" s="61">
        <f>$S560*1.22</f>
        <v/>
      </c>
      <c r="U560" s="64">
        <f>IF($P560&gt;0,COUNTIF($P$11:P560,"&gt;0"),"")</f>
        <v/>
      </c>
    </row>
    <row r="561" ht="14.25" customHeight="1" s="49">
      <c r="A561" s="58" t="n"/>
      <c r="B561" s="58" t="n"/>
      <c r="C561" s="59" t="n"/>
      <c r="D561" s="59" t="n"/>
      <c r="E561" s="59" t="n"/>
      <c r="F561" s="58" t="n"/>
      <c r="G561" s="60" t="n"/>
      <c r="H561" s="60" t="n"/>
      <c r="I561" s="61" t="n"/>
      <c r="J561" s="61" t="n"/>
      <c r="K561" s="61" t="n"/>
      <c r="L561" s="61" t="n"/>
      <c r="M561" s="61" t="n"/>
      <c r="N561" s="58" t="n"/>
      <c r="O561" s="59" t="n"/>
      <c r="P561" s="62" t="n"/>
      <c r="Q561" s="63" t="n"/>
      <c r="R561" s="61">
        <f>IF($P561&gt;0,CHOOSE(MATCH($B$4,'Служебный лист'!$A$4:$A$8,0),I561,J561,K561,L561,M561),"")</f>
        <v/>
      </c>
      <c r="S561" s="61">
        <f>IFERROR($P561*$R561,0)</f>
        <v/>
      </c>
      <c r="T561" s="61">
        <f>$S561*1.22</f>
        <v/>
      </c>
      <c r="U561" s="64">
        <f>IF($P561&gt;0,COUNTIF($P$11:P561,"&gt;0"),"")</f>
        <v/>
      </c>
    </row>
    <row r="562" ht="14.25" customHeight="1" s="49">
      <c r="A562" s="58" t="n"/>
      <c r="B562" s="58" t="n"/>
      <c r="C562" s="59" t="n"/>
      <c r="D562" s="59" t="n"/>
      <c r="E562" s="59" t="n"/>
      <c r="F562" s="58" t="n"/>
      <c r="G562" s="60" t="n"/>
      <c r="H562" s="60" t="n"/>
      <c r="I562" s="61" t="n"/>
      <c r="J562" s="61" t="n"/>
      <c r="K562" s="61" t="n"/>
      <c r="L562" s="61" t="n"/>
      <c r="M562" s="61" t="n"/>
      <c r="N562" s="58" t="n"/>
      <c r="O562" s="59" t="n"/>
      <c r="P562" s="62" t="n"/>
      <c r="Q562" s="63" t="n"/>
      <c r="R562" s="61">
        <f>IF($P562&gt;0,CHOOSE(MATCH($B$4,'Служебный лист'!$A$4:$A$8,0),I562,J562,K562,L562,M562),"")</f>
        <v/>
      </c>
      <c r="S562" s="61">
        <f>IFERROR($P562*$R562,0)</f>
        <v/>
      </c>
      <c r="T562" s="61">
        <f>$S562*1.22</f>
        <v/>
      </c>
      <c r="U562" s="64">
        <f>IF($P562&gt;0,COUNTIF($P$11:P562,"&gt;0"),"")</f>
        <v/>
      </c>
    </row>
    <row r="563" ht="14.25" customHeight="1" s="49">
      <c r="A563" s="58" t="n"/>
      <c r="B563" s="58" t="n"/>
      <c r="C563" s="59" t="n"/>
      <c r="D563" s="59" t="n"/>
      <c r="E563" s="59" t="n"/>
      <c r="F563" s="58" t="n"/>
      <c r="G563" s="60" t="n"/>
      <c r="H563" s="60" t="n"/>
      <c r="I563" s="61" t="n"/>
      <c r="J563" s="61" t="n"/>
      <c r="K563" s="61" t="n"/>
      <c r="L563" s="61" t="n"/>
      <c r="M563" s="61" t="n"/>
      <c r="N563" s="58" t="n"/>
      <c r="O563" s="59" t="n"/>
      <c r="P563" s="62" t="n"/>
      <c r="Q563" s="63" t="n"/>
      <c r="R563" s="61">
        <f>IF($P563&gt;0,CHOOSE(MATCH($B$4,'Служебный лист'!$A$4:$A$8,0),I563,J563,K563,L563,M563),"")</f>
        <v/>
      </c>
      <c r="S563" s="61">
        <f>IFERROR($P563*$R563,0)</f>
        <v/>
      </c>
      <c r="T563" s="61">
        <f>$S563*1.22</f>
        <v/>
      </c>
      <c r="U563" s="64">
        <f>IF($P563&gt;0,COUNTIF($P$11:P563,"&gt;0"),"")</f>
        <v/>
      </c>
    </row>
    <row r="564" ht="14.25" customHeight="1" s="49">
      <c r="A564" s="58" t="n"/>
      <c r="B564" s="58" t="n"/>
      <c r="C564" s="59" t="n"/>
      <c r="D564" s="59" t="n"/>
      <c r="E564" s="59" t="n"/>
      <c r="F564" s="58" t="n"/>
      <c r="G564" s="60" t="n"/>
      <c r="H564" s="60" t="n"/>
      <c r="I564" s="61" t="n"/>
      <c r="J564" s="61" t="n"/>
      <c r="K564" s="61" t="n"/>
      <c r="L564" s="61" t="n"/>
      <c r="M564" s="61" t="n"/>
      <c r="N564" s="58" t="n"/>
      <c r="O564" s="59" t="n"/>
      <c r="P564" s="62" t="n"/>
      <c r="Q564" s="63" t="n"/>
      <c r="R564" s="61">
        <f>IF($P564&gt;0,CHOOSE(MATCH($B$4,'Служебный лист'!$A$4:$A$8,0),I564,J564,K564,L564,M564),"")</f>
        <v/>
      </c>
      <c r="S564" s="61">
        <f>IFERROR($P564*$R564,0)</f>
        <v/>
      </c>
      <c r="T564" s="61">
        <f>$S564*1.22</f>
        <v/>
      </c>
      <c r="U564" s="64">
        <f>IF($P564&gt;0,COUNTIF($P$11:P564,"&gt;0"),"")</f>
        <v/>
      </c>
    </row>
    <row r="565" ht="14.25" customHeight="1" s="49">
      <c r="A565" s="58" t="n"/>
      <c r="B565" s="58" t="n"/>
      <c r="C565" s="59" t="n"/>
      <c r="D565" s="59" t="n"/>
      <c r="E565" s="59" t="n"/>
      <c r="F565" s="58" t="n"/>
      <c r="G565" s="60" t="n"/>
      <c r="H565" s="60" t="n"/>
      <c r="I565" s="61" t="n"/>
      <c r="J565" s="61" t="n"/>
      <c r="K565" s="61" t="n"/>
      <c r="L565" s="61" t="n"/>
      <c r="M565" s="61" t="n"/>
      <c r="N565" s="58" t="n"/>
      <c r="O565" s="59" t="n"/>
      <c r="P565" s="62" t="n"/>
      <c r="Q565" s="63" t="n"/>
      <c r="R565" s="61">
        <f>IF($P565&gt;0,CHOOSE(MATCH($B$4,'Служебный лист'!$A$4:$A$8,0),I565,J565,K565,L565,M565),"")</f>
        <v/>
      </c>
      <c r="S565" s="61">
        <f>IFERROR($P565*$R565,0)</f>
        <v/>
      </c>
      <c r="T565" s="61">
        <f>$S565*1.22</f>
        <v/>
      </c>
      <c r="U565" s="64">
        <f>IF($P565&gt;0,COUNTIF($P$11:P565,"&gt;0"),"")</f>
        <v/>
      </c>
    </row>
    <row r="566" ht="14.25" customHeight="1" s="49">
      <c r="A566" s="58" t="n"/>
      <c r="B566" s="58" t="n"/>
      <c r="C566" s="59" t="n"/>
      <c r="D566" s="59" t="n"/>
      <c r="E566" s="59" t="n"/>
      <c r="F566" s="58" t="n"/>
      <c r="G566" s="60" t="n"/>
      <c r="H566" s="60" t="n"/>
      <c r="I566" s="61" t="n"/>
      <c r="J566" s="61" t="n"/>
      <c r="K566" s="61" t="n"/>
      <c r="L566" s="61" t="n"/>
      <c r="M566" s="61" t="n"/>
      <c r="N566" s="58" t="n"/>
      <c r="O566" s="59" t="n"/>
      <c r="P566" s="62" t="n"/>
      <c r="Q566" s="63" t="n"/>
      <c r="R566" s="61">
        <f>IF($P566&gt;0,CHOOSE(MATCH($B$4,'Служебный лист'!$A$4:$A$8,0),I566,J566,K566,L566,M566),"")</f>
        <v/>
      </c>
      <c r="S566" s="61">
        <f>IFERROR($P566*$R566,0)</f>
        <v/>
      </c>
      <c r="T566" s="61">
        <f>$S566*1.22</f>
        <v/>
      </c>
      <c r="U566" s="64">
        <f>IF($P566&gt;0,COUNTIF($P$11:P566,"&gt;0"),"")</f>
        <v/>
      </c>
    </row>
    <row r="567" ht="14.25" customHeight="1" s="49">
      <c r="A567" s="58" t="n"/>
      <c r="B567" s="58" t="n"/>
      <c r="C567" s="59" t="n"/>
      <c r="D567" s="59" t="n"/>
      <c r="E567" s="59" t="n"/>
      <c r="F567" s="58" t="n"/>
      <c r="G567" s="60" t="n"/>
      <c r="H567" s="60" t="n"/>
      <c r="I567" s="61" t="n"/>
      <c r="J567" s="61" t="n"/>
      <c r="K567" s="61" t="n"/>
      <c r="L567" s="61" t="n"/>
      <c r="M567" s="61" t="n"/>
      <c r="N567" s="58" t="n"/>
      <c r="O567" s="59" t="n"/>
      <c r="P567" s="62" t="n"/>
      <c r="Q567" s="63" t="n"/>
      <c r="R567" s="61">
        <f>IF($P567&gt;0,CHOOSE(MATCH($B$4,'Служебный лист'!$A$4:$A$8,0),I567,J567,K567,L567,M567),"")</f>
        <v/>
      </c>
      <c r="S567" s="61">
        <f>IFERROR($P567*$R567,0)</f>
        <v/>
      </c>
      <c r="T567" s="61">
        <f>$S567*1.22</f>
        <v/>
      </c>
      <c r="U567" s="64">
        <f>IF($P567&gt;0,COUNTIF($P$11:P567,"&gt;0"),"")</f>
        <v/>
      </c>
    </row>
    <row r="568" ht="14.25" customHeight="1" s="49">
      <c r="A568" s="58" t="n"/>
      <c r="B568" s="58" t="n"/>
      <c r="C568" s="59" t="n"/>
      <c r="D568" s="59" t="n"/>
      <c r="E568" s="59" t="n"/>
      <c r="F568" s="58" t="n"/>
      <c r="G568" s="60" t="n"/>
      <c r="H568" s="60" t="n"/>
      <c r="I568" s="61" t="n"/>
      <c r="J568" s="61" t="n"/>
      <c r="K568" s="61" t="n"/>
      <c r="L568" s="61" t="n"/>
      <c r="M568" s="61" t="n"/>
      <c r="N568" s="58" t="n"/>
      <c r="O568" s="59" t="n"/>
      <c r="P568" s="62" t="n"/>
      <c r="Q568" s="63" t="n"/>
      <c r="R568" s="61">
        <f>IF($P568&gt;0,CHOOSE(MATCH($B$4,'Служебный лист'!$A$4:$A$8,0),I568,J568,K568,L568,M568),"")</f>
        <v/>
      </c>
      <c r="S568" s="61">
        <f>IFERROR($P568*$R568,0)</f>
        <v/>
      </c>
      <c r="T568" s="61">
        <f>$S568*1.22</f>
        <v/>
      </c>
      <c r="U568" s="64">
        <f>IF($P568&gt;0,COUNTIF($P$11:P568,"&gt;0"),"")</f>
        <v/>
      </c>
    </row>
    <row r="569" ht="14.25" customHeight="1" s="49">
      <c r="A569" s="58" t="n"/>
      <c r="B569" s="58" t="n"/>
      <c r="C569" s="59" t="n"/>
      <c r="D569" s="59" t="n"/>
      <c r="E569" s="59" t="n"/>
      <c r="F569" s="58" t="n"/>
      <c r="G569" s="60" t="n"/>
      <c r="H569" s="60" t="n"/>
      <c r="I569" s="61" t="n"/>
      <c r="J569" s="61" t="n"/>
      <c r="K569" s="61" t="n"/>
      <c r="L569" s="61" t="n"/>
      <c r="M569" s="61" t="n"/>
      <c r="N569" s="58" t="n"/>
      <c r="O569" s="59" t="n"/>
      <c r="P569" s="62" t="n"/>
      <c r="Q569" s="63" t="n"/>
      <c r="R569" s="61">
        <f>IF($P569&gt;0,CHOOSE(MATCH($B$4,'Служебный лист'!$A$4:$A$8,0),I569,J569,K569,L569,M569),"")</f>
        <v/>
      </c>
      <c r="S569" s="61">
        <f>IFERROR($P569*$R569,0)</f>
        <v/>
      </c>
      <c r="T569" s="61">
        <f>$S569*1.22</f>
        <v/>
      </c>
      <c r="U569" s="64">
        <f>IF($P569&gt;0,COUNTIF($P$11:P569,"&gt;0"),"")</f>
        <v/>
      </c>
    </row>
    <row r="570" ht="14.25" customHeight="1" s="49">
      <c r="A570" s="58" t="n"/>
      <c r="B570" s="58" t="n"/>
      <c r="C570" s="59" t="n"/>
      <c r="D570" s="59" t="n"/>
      <c r="E570" s="59" t="n"/>
      <c r="F570" s="58" t="n"/>
      <c r="G570" s="60" t="n"/>
      <c r="H570" s="60" t="n"/>
      <c r="I570" s="61" t="n"/>
      <c r="J570" s="61" t="n"/>
      <c r="K570" s="61" t="n"/>
      <c r="L570" s="61" t="n"/>
      <c r="M570" s="61" t="n"/>
      <c r="N570" s="58" t="n"/>
      <c r="O570" s="59" t="n"/>
      <c r="P570" s="62" t="n"/>
      <c r="Q570" s="63" t="n"/>
      <c r="R570" s="61">
        <f>IF($P570&gt;0,CHOOSE(MATCH($B$4,'Служебный лист'!$A$4:$A$8,0),I570,J570,K570,L570,M570),"")</f>
        <v/>
      </c>
      <c r="S570" s="61">
        <f>IFERROR($P570*$R570,0)</f>
        <v/>
      </c>
      <c r="T570" s="61">
        <f>$S570*1.22</f>
        <v/>
      </c>
      <c r="U570" s="64">
        <f>IF($P570&gt;0,COUNTIF($P$11:P570,"&gt;0"),"")</f>
        <v/>
      </c>
    </row>
    <row r="571" ht="14.25" customHeight="1" s="49">
      <c r="A571" s="58" t="n"/>
      <c r="B571" s="58" t="n"/>
      <c r="C571" s="59" t="n"/>
      <c r="D571" s="59" t="n"/>
      <c r="E571" s="59" t="n"/>
      <c r="F571" s="58" t="n"/>
      <c r="G571" s="60" t="n"/>
      <c r="H571" s="60" t="n"/>
      <c r="I571" s="61" t="n"/>
      <c r="J571" s="61" t="n"/>
      <c r="K571" s="61" t="n"/>
      <c r="L571" s="61" t="n"/>
      <c r="M571" s="61" t="n"/>
      <c r="N571" s="58" t="n"/>
      <c r="O571" s="59" t="n"/>
      <c r="P571" s="62" t="n"/>
      <c r="Q571" s="63" t="n"/>
      <c r="R571" s="61">
        <f>IF($P571&gt;0,CHOOSE(MATCH($B$4,'Служебный лист'!$A$4:$A$8,0),I571,J571,K571,L571,M571),"")</f>
        <v/>
      </c>
      <c r="S571" s="61">
        <f>IFERROR($P571*$R571,0)</f>
        <v/>
      </c>
      <c r="T571" s="61">
        <f>$S571*1.22</f>
        <v/>
      </c>
      <c r="U571" s="64">
        <f>IF($P571&gt;0,COUNTIF($P$11:P571,"&gt;0"),"")</f>
        <v/>
      </c>
    </row>
    <row r="572" ht="14.25" customHeight="1" s="49">
      <c r="A572" s="58" t="n"/>
      <c r="B572" s="58" t="n"/>
      <c r="C572" s="59" t="n"/>
      <c r="D572" s="59" t="n"/>
      <c r="E572" s="59" t="n"/>
      <c r="F572" s="58" t="n"/>
      <c r="G572" s="60" t="n"/>
      <c r="H572" s="60" t="n"/>
      <c r="I572" s="61" t="n"/>
      <c r="J572" s="61" t="n"/>
      <c r="K572" s="61" t="n"/>
      <c r="L572" s="61" t="n"/>
      <c r="M572" s="61" t="n"/>
      <c r="N572" s="58" t="n"/>
      <c r="O572" s="59" t="n"/>
      <c r="P572" s="62" t="n"/>
      <c r="Q572" s="63" t="n"/>
      <c r="R572" s="61">
        <f>IF($P572&gt;0,CHOOSE(MATCH($B$4,'Служебный лист'!$A$4:$A$8,0),I572,J572,K572,L572,M572),"")</f>
        <v/>
      </c>
      <c r="S572" s="61">
        <f>IFERROR($P572*$R572,0)</f>
        <v/>
      </c>
      <c r="T572" s="61">
        <f>$S572*1.22</f>
        <v/>
      </c>
      <c r="U572" s="64">
        <f>IF($P572&gt;0,COUNTIF($P$11:P572,"&gt;0"),"")</f>
        <v/>
      </c>
    </row>
    <row r="573" ht="14.25" customHeight="1" s="49">
      <c r="A573" s="58" t="n"/>
      <c r="B573" s="58" t="n"/>
      <c r="C573" s="59" t="n"/>
      <c r="D573" s="59" t="n"/>
      <c r="E573" s="59" t="n"/>
      <c r="F573" s="58" t="n"/>
      <c r="G573" s="60" t="n"/>
      <c r="H573" s="60" t="n"/>
      <c r="I573" s="61" t="n"/>
      <c r="J573" s="61" t="n"/>
      <c r="K573" s="61" t="n"/>
      <c r="L573" s="61" t="n"/>
      <c r="M573" s="61" t="n"/>
      <c r="N573" s="58" t="n"/>
      <c r="O573" s="59" t="n"/>
      <c r="P573" s="62" t="n"/>
      <c r="Q573" s="63" t="n"/>
      <c r="R573" s="61">
        <f>IF($P573&gt;0,CHOOSE(MATCH($B$4,'Служебный лист'!$A$4:$A$8,0),I573,J573,K573,L573,M573),"")</f>
        <v/>
      </c>
      <c r="S573" s="61">
        <f>IFERROR($P573*$R573,0)</f>
        <v/>
      </c>
      <c r="T573" s="61">
        <f>$S573*1.22</f>
        <v/>
      </c>
      <c r="U573" s="64">
        <f>IF($P573&gt;0,COUNTIF($P$11:P573,"&gt;0"),"")</f>
        <v/>
      </c>
    </row>
    <row r="574" ht="14.25" customHeight="1" s="49">
      <c r="A574" s="58" t="n"/>
      <c r="B574" s="58" t="n"/>
      <c r="C574" s="59" t="n"/>
      <c r="D574" s="59" t="n"/>
      <c r="E574" s="59" t="n"/>
      <c r="F574" s="58" t="n"/>
      <c r="G574" s="60" t="n"/>
      <c r="H574" s="60" t="n"/>
      <c r="I574" s="61" t="n"/>
      <c r="J574" s="61" t="n"/>
      <c r="K574" s="61" t="n"/>
      <c r="L574" s="61" t="n"/>
      <c r="M574" s="61" t="n"/>
      <c r="N574" s="58" t="n"/>
      <c r="O574" s="59" t="n"/>
      <c r="P574" s="62" t="n"/>
      <c r="Q574" s="63" t="n"/>
      <c r="R574" s="61">
        <f>IF($P574&gt;0,CHOOSE(MATCH($B$4,'Служебный лист'!$A$4:$A$8,0),I574,J574,K574,L574,M574),"")</f>
        <v/>
      </c>
      <c r="S574" s="61">
        <f>IFERROR($P574*$R574,0)</f>
        <v/>
      </c>
      <c r="T574" s="61">
        <f>$S574*1.22</f>
        <v/>
      </c>
      <c r="U574" s="64">
        <f>IF($P574&gt;0,COUNTIF($P$11:P574,"&gt;0"),"")</f>
        <v/>
      </c>
    </row>
    <row r="575" ht="14.25" customHeight="1" s="49">
      <c r="A575" s="58" t="n"/>
      <c r="B575" s="58" t="n"/>
      <c r="C575" s="59" t="n"/>
      <c r="D575" s="59" t="n"/>
      <c r="E575" s="59" t="n"/>
      <c r="F575" s="58" t="n"/>
      <c r="G575" s="60" t="n"/>
      <c r="H575" s="60" t="n"/>
      <c r="I575" s="61" t="n"/>
      <c r="J575" s="61" t="n"/>
      <c r="K575" s="61" t="n"/>
      <c r="L575" s="61" t="n"/>
      <c r="M575" s="61" t="n"/>
      <c r="N575" s="58" t="n"/>
      <c r="O575" s="59" t="n"/>
      <c r="P575" s="62" t="n"/>
      <c r="Q575" s="63" t="n"/>
      <c r="R575" s="61">
        <f>IF($P575&gt;0,CHOOSE(MATCH($B$4,'Служебный лист'!$A$4:$A$8,0),I575,J575,K575,L575,M575),"")</f>
        <v/>
      </c>
      <c r="S575" s="61">
        <f>IFERROR($P575*$R575,0)</f>
        <v/>
      </c>
      <c r="T575" s="61">
        <f>$S575*1.22</f>
        <v/>
      </c>
      <c r="U575" s="64">
        <f>IF($P575&gt;0,COUNTIF($P$11:P575,"&gt;0"),"")</f>
        <v/>
      </c>
    </row>
    <row r="576" ht="14.25" customHeight="1" s="49">
      <c r="A576" s="58" t="n"/>
      <c r="B576" s="58" t="n"/>
      <c r="C576" s="59" t="n"/>
      <c r="D576" s="59" t="n"/>
      <c r="E576" s="59" t="n"/>
      <c r="F576" s="58" t="n"/>
      <c r="G576" s="60" t="n"/>
      <c r="H576" s="60" t="n"/>
      <c r="I576" s="61" t="n"/>
      <c r="J576" s="61" t="n"/>
      <c r="K576" s="61" t="n"/>
      <c r="L576" s="61" t="n"/>
      <c r="M576" s="61" t="n"/>
      <c r="N576" s="58" t="n"/>
      <c r="O576" s="59" t="n"/>
      <c r="P576" s="62" t="n"/>
      <c r="Q576" s="63" t="n"/>
      <c r="R576" s="61">
        <f>IF($P576&gt;0,CHOOSE(MATCH($B$4,'Служебный лист'!$A$4:$A$8,0),I576,J576,K576,L576,M576),"")</f>
        <v/>
      </c>
      <c r="S576" s="61">
        <f>IFERROR($P576*$R576,0)</f>
        <v/>
      </c>
      <c r="T576" s="61">
        <f>$S576*1.22</f>
        <v/>
      </c>
      <c r="U576" s="64">
        <f>IF($P576&gt;0,COUNTIF($P$11:P576,"&gt;0"),"")</f>
        <v/>
      </c>
    </row>
    <row r="577" ht="14.25" customHeight="1" s="49">
      <c r="A577" s="58" t="n"/>
      <c r="B577" s="58" t="n"/>
      <c r="C577" s="59" t="n"/>
      <c r="D577" s="59" t="n"/>
      <c r="E577" s="59" t="n"/>
      <c r="F577" s="58" t="n"/>
      <c r="G577" s="60" t="n"/>
      <c r="H577" s="60" t="n"/>
      <c r="I577" s="61" t="n"/>
      <c r="J577" s="61" t="n"/>
      <c r="K577" s="61" t="n"/>
      <c r="L577" s="61" t="n"/>
      <c r="M577" s="61" t="n"/>
      <c r="N577" s="58" t="n"/>
      <c r="O577" s="59" t="n"/>
      <c r="P577" s="62" t="n"/>
      <c r="Q577" s="63" t="n"/>
      <c r="R577" s="61">
        <f>IF($P577&gt;0,CHOOSE(MATCH($B$4,'Служебный лист'!$A$4:$A$8,0),I577,J577,K577,L577,M577),"")</f>
        <v/>
      </c>
      <c r="S577" s="61">
        <f>IFERROR($P577*$R577,0)</f>
        <v/>
      </c>
      <c r="T577" s="61">
        <f>$S577*1.22</f>
        <v/>
      </c>
      <c r="U577" s="64">
        <f>IF($P577&gt;0,COUNTIF($P$11:P577,"&gt;0"),"")</f>
        <v/>
      </c>
    </row>
    <row r="578" ht="14.25" customHeight="1" s="49">
      <c r="A578" s="58" t="n"/>
      <c r="B578" s="58" t="n"/>
      <c r="C578" s="59" t="n"/>
      <c r="D578" s="59" t="n"/>
      <c r="E578" s="59" t="n"/>
      <c r="F578" s="58" t="n"/>
      <c r="G578" s="60" t="n"/>
      <c r="H578" s="60" t="n"/>
      <c r="I578" s="61" t="n"/>
      <c r="J578" s="61" t="n"/>
      <c r="K578" s="61" t="n"/>
      <c r="L578" s="61" t="n"/>
      <c r="M578" s="61" t="n"/>
      <c r="N578" s="58" t="n"/>
      <c r="O578" s="59" t="n"/>
      <c r="P578" s="62" t="n"/>
      <c r="Q578" s="63" t="n"/>
      <c r="R578" s="61">
        <f>IF($P578&gt;0,CHOOSE(MATCH($B$4,'Служебный лист'!$A$4:$A$8,0),I578,J578,K578,L578,M578),"")</f>
        <v/>
      </c>
      <c r="S578" s="61">
        <f>IFERROR($P578*$R578,0)</f>
        <v/>
      </c>
      <c r="T578" s="61">
        <f>$S578*1.22</f>
        <v/>
      </c>
      <c r="U578" s="64">
        <f>IF($P578&gt;0,COUNTIF($P$11:P578,"&gt;0"),"")</f>
        <v/>
      </c>
    </row>
    <row r="579" ht="14.25" customHeight="1" s="49">
      <c r="A579" s="58" t="n"/>
      <c r="B579" s="58" t="n"/>
      <c r="C579" s="59" t="n"/>
      <c r="D579" s="59" t="n"/>
      <c r="E579" s="59" t="n"/>
      <c r="F579" s="58" t="n"/>
      <c r="G579" s="60" t="n"/>
      <c r="H579" s="60" t="n"/>
      <c r="I579" s="61" t="n"/>
      <c r="J579" s="61" t="n"/>
      <c r="K579" s="61" t="n"/>
      <c r="L579" s="61" t="n"/>
      <c r="M579" s="61" t="n"/>
      <c r="N579" s="58" t="n"/>
      <c r="O579" s="59" t="n"/>
      <c r="P579" s="62" t="n"/>
      <c r="Q579" s="63" t="n"/>
      <c r="R579" s="61">
        <f>IF($P579&gt;0,CHOOSE(MATCH($B$4,'Служебный лист'!$A$4:$A$8,0),I579,J579,K579,L579,M579),"")</f>
        <v/>
      </c>
      <c r="S579" s="61">
        <f>IFERROR($P579*$R579,0)</f>
        <v/>
      </c>
      <c r="T579" s="61">
        <f>$S579*1.22</f>
        <v/>
      </c>
      <c r="U579" s="64">
        <f>IF($P579&gt;0,COUNTIF($P$11:P579,"&gt;0"),"")</f>
        <v/>
      </c>
    </row>
    <row r="580" ht="14.25" customHeight="1" s="49">
      <c r="A580" s="58" t="n"/>
      <c r="B580" s="58" t="n"/>
      <c r="C580" s="59" t="n"/>
      <c r="D580" s="59" t="n"/>
      <c r="E580" s="59" t="n"/>
      <c r="F580" s="58" t="n"/>
      <c r="G580" s="60" t="n"/>
      <c r="H580" s="60" t="n"/>
      <c r="I580" s="61" t="n"/>
      <c r="J580" s="61" t="n"/>
      <c r="K580" s="61" t="n"/>
      <c r="L580" s="61" t="n"/>
      <c r="M580" s="61" t="n"/>
      <c r="N580" s="58" t="n"/>
      <c r="O580" s="59" t="n"/>
      <c r="P580" s="62" t="n"/>
      <c r="Q580" s="63" t="n"/>
      <c r="R580" s="61">
        <f>IF($P580&gt;0,CHOOSE(MATCH($B$4,'Служебный лист'!$A$4:$A$8,0),I580,J580,K580,L580,M580),"")</f>
        <v/>
      </c>
      <c r="S580" s="61">
        <f>IFERROR($P580*$R580,0)</f>
        <v/>
      </c>
      <c r="T580" s="61">
        <f>$S580*1.22</f>
        <v/>
      </c>
      <c r="U580" s="64">
        <f>IF($P580&gt;0,COUNTIF($P$11:P580,"&gt;0"),"")</f>
        <v/>
      </c>
    </row>
    <row r="581" ht="14.25" customHeight="1" s="49">
      <c r="A581" s="58" t="n"/>
      <c r="B581" s="58" t="n"/>
      <c r="C581" s="59" t="n"/>
      <c r="D581" s="59" t="n"/>
      <c r="E581" s="59" t="n"/>
      <c r="F581" s="58" t="n"/>
      <c r="G581" s="60" t="n"/>
      <c r="H581" s="60" t="n"/>
      <c r="I581" s="61" t="n"/>
      <c r="J581" s="61" t="n"/>
      <c r="K581" s="61" t="n"/>
      <c r="L581" s="61" t="n"/>
      <c r="M581" s="61" t="n"/>
      <c r="N581" s="58" t="n"/>
      <c r="O581" s="59" t="n"/>
      <c r="P581" s="62" t="n"/>
      <c r="Q581" s="63" t="n"/>
      <c r="R581" s="61">
        <f>IF($P581&gt;0,CHOOSE(MATCH($B$4,'Служебный лист'!$A$4:$A$8,0),I581,J581,K581,L581,M581),"")</f>
        <v/>
      </c>
      <c r="S581" s="61">
        <f>IFERROR($P581*$R581,0)</f>
        <v/>
      </c>
      <c r="T581" s="61">
        <f>$S581*1.22</f>
        <v/>
      </c>
      <c r="U581" s="64">
        <f>IF($P581&gt;0,COUNTIF($P$11:P581,"&gt;0"),"")</f>
        <v/>
      </c>
    </row>
    <row r="582" ht="14.25" customHeight="1" s="49">
      <c r="A582" s="58" t="n"/>
      <c r="B582" s="58" t="n"/>
      <c r="C582" s="59" t="n"/>
      <c r="D582" s="59" t="n"/>
      <c r="E582" s="59" t="n"/>
      <c r="F582" s="58" t="n"/>
      <c r="G582" s="60" t="n"/>
      <c r="H582" s="60" t="n"/>
      <c r="I582" s="61" t="n"/>
      <c r="J582" s="61" t="n"/>
      <c r="K582" s="61" t="n"/>
      <c r="L582" s="61" t="n"/>
      <c r="M582" s="61" t="n"/>
      <c r="N582" s="58" t="n"/>
      <c r="O582" s="59" t="n"/>
      <c r="P582" s="62" t="n"/>
      <c r="Q582" s="63" t="n"/>
      <c r="R582" s="61">
        <f>IF($P582&gt;0,CHOOSE(MATCH($B$4,'Служебный лист'!$A$4:$A$8,0),I582,J582,K582,L582,M582),"")</f>
        <v/>
      </c>
      <c r="S582" s="61">
        <f>IFERROR($P582*$R582,0)</f>
        <v/>
      </c>
      <c r="T582" s="61">
        <f>$S582*1.22</f>
        <v/>
      </c>
      <c r="U582" s="64">
        <f>IF($P582&gt;0,COUNTIF($P$11:P582,"&gt;0"),"")</f>
        <v/>
      </c>
    </row>
    <row r="583" ht="14.25" customHeight="1" s="49">
      <c r="A583" s="58" t="n"/>
      <c r="B583" s="58" t="n"/>
      <c r="C583" s="59" t="n"/>
      <c r="D583" s="59" t="n"/>
      <c r="E583" s="59" t="n"/>
      <c r="F583" s="58" t="n"/>
      <c r="G583" s="60" t="n"/>
      <c r="H583" s="60" t="n"/>
      <c r="I583" s="61" t="n"/>
      <c r="J583" s="61" t="n"/>
      <c r="K583" s="61" t="n"/>
      <c r="L583" s="61" t="n"/>
      <c r="M583" s="61" t="n"/>
      <c r="N583" s="58" t="n"/>
      <c r="O583" s="59" t="n"/>
      <c r="P583" s="62" t="n"/>
      <c r="Q583" s="63" t="n"/>
      <c r="R583" s="61">
        <f>IF($P583&gt;0,CHOOSE(MATCH($B$4,'Служебный лист'!$A$4:$A$8,0),I583,J583,K583,L583,M583),"")</f>
        <v/>
      </c>
      <c r="S583" s="61">
        <f>IFERROR($P583*$R583,0)</f>
        <v/>
      </c>
      <c r="T583" s="61">
        <f>$S583*1.22</f>
        <v/>
      </c>
      <c r="U583" s="64">
        <f>IF($P583&gt;0,COUNTIF($P$11:P583,"&gt;0"),"")</f>
        <v/>
      </c>
    </row>
    <row r="584" ht="14.25" customHeight="1" s="49">
      <c r="A584" s="58" t="n"/>
      <c r="B584" s="58" t="n"/>
      <c r="C584" s="59" t="n"/>
      <c r="D584" s="59" t="n"/>
      <c r="E584" s="59" t="n"/>
      <c r="F584" s="58" t="n"/>
      <c r="G584" s="60" t="n"/>
      <c r="H584" s="60" t="n"/>
      <c r="I584" s="61" t="n"/>
      <c r="J584" s="61" t="n"/>
      <c r="K584" s="61" t="n"/>
      <c r="L584" s="61" t="n"/>
      <c r="M584" s="61" t="n"/>
      <c r="N584" s="58" t="n"/>
      <c r="O584" s="59" t="n"/>
      <c r="P584" s="62" t="n"/>
      <c r="Q584" s="63" t="n"/>
      <c r="R584" s="61">
        <f>IF($P584&gt;0,CHOOSE(MATCH($B$4,'Служебный лист'!$A$4:$A$8,0),I584,J584,K584,L584,M584),"")</f>
        <v/>
      </c>
      <c r="S584" s="61">
        <f>IFERROR($P584*$R584,0)</f>
        <v/>
      </c>
      <c r="T584" s="61">
        <f>$S584*1.22</f>
        <v/>
      </c>
      <c r="U584" s="64">
        <f>IF($P584&gt;0,COUNTIF($P$11:P584,"&gt;0"),"")</f>
        <v/>
      </c>
    </row>
    <row r="585" ht="14.25" customHeight="1" s="49">
      <c r="A585" s="58" t="n"/>
      <c r="B585" s="58" t="n"/>
      <c r="C585" s="59" t="n"/>
      <c r="D585" s="59" t="n"/>
      <c r="E585" s="59" t="n"/>
      <c r="F585" s="58" t="n"/>
      <c r="G585" s="60" t="n"/>
      <c r="H585" s="60" t="n"/>
      <c r="I585" s="61" t="n"/>
      <c r="J585" s="61" t="n"/>
      <c r="K585" s="61" t="n"/>
      <c r="L585" s="61" t="n"/>
      <c r="M585" s="61" t="n"/>
      <c r="N585" s="58" t="n"/>
      <c r="O585" s="59" t="n"/>
      <c r="P585" s="62" t="n"/>
      <c r="Q585" s="63" t="n"/>
      <c r="R585" s="61">
        <f>IF($P585&gt;0,CHOOSE(MATCH($B$4,'Служебный лист'!$A$4:$A$8,0),I585,J585,K585,L585,M585),"")</f>
        <v/>
      </c>
      <c r="S585" s="61">
        <f>IFERROR($P585*$R585,0)</f>
        <v/>
      </c>
      <c r="T585" s="61">
        <f>$S585*1.22</f>
        <v/>
      </c>
      <c r="U585" s="64">
        <f>IF($P585&gt;0,COUNTIF($P$11:P585,"&gt;0"),"")</f>
        <v/>
      </c>
    </row>
    <row r="586" ht="14.25" customHeight="1" s="49">
      <c r="A586" s="58" t="n"/>
      <c r="B586" s="58" t="n"/>
      <c r="C586" s="59" t="n"/>
      <c r="D586" s="59" t="n"/>
      <c r="E586" s="59" t="n"/>
      <c r="F586" s="58" t="n"/>
      <c r="G586" s="60" t="n"/>
      <c r="H586" s="60" t="n"/>
      <c r="I586" s="61" t="n"/>
      <c r="J586" s="61" t="n"/>
      <c r="K586" s="61" t="n"/>
      <c r="L586" s="61" t="n"/>
      <c r="M586" s="61" t="n"/>
      <c r="N586" s="58" t="n"/>
      <c r="O586" s="59" t="n"/>
      <c r="P586" s="62" t="n"/>
      <c r="Q586" s="63" t="n"/>
      <c r="R586" s="61">
        <f>IF($P586&gt;0,CHOOSE(MATCH($B$4,'Служебный лист'!$A$4:$A$8,0),I586,J586,K586,L586,M586),"")</f>
        <v/>
      </c>
      <c r="S586" s="61">
        <f>IFERROR($P586*$R586,0)</f>
        <v/>
      </c>
      <c r="T586" s="61">
        <f>$S586*1.22</f>
        <v/>
      </c>
      <c r="U586" s="64">
        <f>IF($P586&gt;0,COUNTIF($P$11:P586,"&gt;0"),"")</f>
        <v/>
      </c>
    </row>
    <row r="587" ht="14.25" customHeight="1" s="49">
      <c r="A587" s="58" t="n"/>
      <c r="B587" s="58" t="n"/>
      <c r="C587" s="59" t="n"/>
      <c r="D587" s="59" t="n"/>
      <c r="E587" s="59" t="n"/>
      <c r="F587" s="58" t="n"/>
      <c r="G587" s="60" t="n"/>
      <c r="H587" s="60" t="n"/>
      <c r="I587" s="61" t="n"/>
      <c r="J587" s="61" t="n"/>
      <c r="K587" s="61" t="n"/>
      <c r="L587" s="61" t="n"/>
      <c r="M587" s="61" t="n"/>
      <c r="N587" s="58" t="n"/>
      <c r="O587" s="59" t="n"/>
      <c r="P587" s="62" t="n"/>
      <c r="Q587" s="63" t="n"/>
      <c r="R587" s="61">
        <f>IF($P587&gt;0,CHOOSE(MATCH($B$4,'Служебный лист'!$A$4:$A$8,0),I587,J587,K587,L587,M587),"")</f>
        <v/>
      </c>
      <c r="S587" s="61">
        <f>IFERROR($P587*$R587,0)</f>
        <v/>
      </c>
      <c r="T587" s="61">
        <f>$S587*1.22</f>
        <v/>
      </c>
      <c r="U587" s="64">
        <f>IF($P587&gt;0,COUNTIF($P$11:P587,"&gt;0"),"")</f>
        <v/>
      </c>
    </row>
    <row r="588" ht="14.25" customHeight="1" s="49">
      <c r="A588" s="58" t="n"/>
      <c r="B588" s="58" t="n"/>
      <c r="C588" s="59" t="n"/>
      <c r="D588" s="59" t="n"/>
      <c r="E588" s="59" t="n"/>
      <c r="F588" s="58" t="n"/>
      <c r="G588" s="60" t="n"/>
      <c r="H588" s="60" t="n"/>
      <c r="I588" s="61" t="n"/>
      <c r="J588" s="61" t="n"/>
      <c r="K588" s="61" t="n"/>
      <c r="L588" s="61" t="n"/>
      <c r="M588" s="61" t="n"/>
      <c r="N588" s="58" t="n"/>
      <c r="O588" s="59" t="n"/>
      <c r="P588" s="62" t="n"/>
      <c r="Q588" s="63" t="n"/>
      <c r="R588" s="61">
        <f>IF($P588&gt;0,CHOOSE(MATCH($B$4,'Служебный лист'!$A$4:$A$8,0),I588,J588,K588,L588,M588),"")</f>
        <v/>
      </c>
      <c r="S588" s="61">
        <f>IFERROR($P588*$R588,0)</f>
        <v/>
      </c>
      <c r="T588" s="61">
        <f>$S588*1.22</f>
        <v/>
      </c>
      <c r="U588" s="64">
        <f>IF($P588&gt;0,COUNTIF($P$11:P588,"&gt;0"),"")</f>
        <v/>
      </c>
    </row>
    <row r="589" ht="14.25" customHeight="1" s="49">
      <c r="A589" s="58" t="n"/>
      <c r="B589" s="58" t="n"/>
      <c r="C589" s="59" t="n"/>
      <c r="D589" s="59" t="n"/>
      <c r="E589" s="59" t="n"/>
      <c r="F589" s="58" t="n"/>
      <c r="G589" s="60" t="n"/>
      <c r="H589" s="60" t="n"/>
      <c r="I589" s="61" t="n"/>
      <c r="J589" s="61" t="n"/>
      <c r="K589" s="61" t="n"/>
      <c r="L589" s="61" t="n"/>
      <c r="M589" s="61" t="n"/>
      <c r="N589" s="58" t="n"/>
      <c r="O589" s="59" t="n"/>
      <c r="P589" s="62" t="n"/>
      <c r="Q589" s="63" t="n"/>
      <c r="R589" s="61">
        <f>IF($P589&gt;0,CHOOSE(MATCH($B$4,'Служебный лист'!$A$4:$A$8,0),I589,J589,K589,L589,M589),"")</f>
        <v/>
      </c>
      <c r="S589" s="61">
        <f>IFERROR($P589*$R589,0)</f>
        <v/>
      </c>
      <c r="T589" s="61">
        <f>$S589*1.22</f>
        <v/>
      </c>
      <c r="U589" s="64">
        <f>IF($P589&gt;0,COUNTIF($P$11:P589,"&gt;0"),"")</f>
        <v/>
      </c>
    </row>
    <row r="590" ht="14.25" customHeight="1" s="49">
      <c r="A590" s="58" t="n"/>
      <c r="B590" s="58" t="n"/>
      <c r="C590" s="59" t="n"/>
      <c r="D590" s="59" t="n"/>
      <c r="E590" s="59" t="n"/>
      <c r="F590" s="58" t="n"/>
      <c r="G590" s="60" t="n"/>
      <c r="H590" s="60" t="n"/>
      <c r="I590" s="61" t="n"/>
      <c r="J590" s="61" t="n"/>
      <c r="K590" s="61" t="n"/>
      <c r="L590" s="61" t="n"/>
      <c r="M590" s="61" t="n"/>
      <c r="N590" s="58" t="n"/>
      <c r="O590" s="59" t="n"/>
      <c r="P590" s="62" t="n"/>
      <c r="Q590" s="63" t="n"/>
      <c r="R590" s="61">
        <f>IF($P590&gt;0,CHOOSE(MATCH($B$4,'Служебный лист'!$A$4:$A$8,0),I590,J590,K590,L590,M590),"")</f>
        <v/>
      </c>
      <c r="S590" s="61">
        <f>IFERROR($P590*$R590,0)</f>
        <v/>
      </c>
      <c r="T590" s="61">
        <f>$S590*1.22</f>
        <v/>
      </c>
      <c r="U590" s="64">
        <f>IF($P590&gt;0,COUNTIF($P$11:P590,"&gt;0"),"")</f>
        <v/>
      </c>
    </row>
    <row r="591" ht="14.25" customHeight="1" s="49">
      <c r="A591" s="58" t="n"/>
      <c r="B591" s="58" t="n"/>
      <c r="C591" s="59" t="n"/>
      <c r="D591" s="59" t="n"/>
      <c r="E591" s="59" t="n"/>
      <c r="F591" s="58" t="n"/>
      <c r="G591" s="60" t="n"/>
      <c r="H591" s="60" t="n"/>
      <c r="I591" s="61" t="n"/>
      <c r="J591" s="61" t="n"/>
      <c r="K591" s="61" t="n"/>
      <c r="L591" s="61" t="n"/>
      <c r="M591" s="61" t="n"/>
      <c r="N591" s="58" t="n"/>
      <c r="O591" s="59" t="n"/>
      <c r="P591" s="62" t="n"/>
      <c r="Q591" s="63" t="n"/>
      <c r="R591" s="61">
        <f>IF($P591&gt;0,CHOOSE(MATCH($B$4,'Служебный лист'!$A$4:$A$8,0),I591,J591,K591,L591,M591),"")</f>
        <v/>
      </c>
      <c r="S591" s="61">
        <f>IFERROR($P591*$R591,0)</f>
        <v/>
      </c>
      <c r="T591" s="61">
        <f>$S591*1.22</f>
        <v/>
      </c>
      <c r="U591" s="64">
        <f>IF($P591&gt;0,COUNTIF($P$11:P591,"&gt;0"),"")</f>
        <v/>
      </c>
    </row>
    <row r="592" ht="14.25" customHeight="1" s="49">
      <c r="A592" s="58" t="n"/>
      <c r="B592" s="58" t="n"/>
      <c r="C592" s="59" t="n"/>
      <c r="D592" s="59" t="n"/>
      <c r="E592" s="59" t="n"/>
      <c r="F592" s="58" t="n"/>
      <c r="G592" s="60" t="n"/>
      <c r="H592" s="60" t="n"/>
      <c r="I592" s="61" t="n"/>
      <c r="J592" s="61" t="n"/>
      <c r="K592" s="61" t="n"/>
      <c r="L592" s="61" t="n"/>
      <c r="M592" s="61" t="n"/>
      <c r="N592" s="58" t="n"/>
      <c r="O592" s="59" t="n"/>
      <c r="P592" s="62" t="n"/>
      <c r="Q592" s="63" t="n"/>
      <c r="R592" s="61">
        <f>IF($P592&gt;0,CHOOSE(MATCH($B$4,'Служебный лист'!$A$4:$A$8,0),I592,J592,K592,L592,M592),"")</f>
        <v/>
      </c>
      <c r="S592" s="61">
        <f>IFERROR($P592*$R592,0)</f>
        <v/>
      </c>
      <c r="T592" s="61">
        <f>$S592*1.22</f>
        <v/>
      </c>
      <c r="U592" s="64">
        <f>IF($P592&gt;0,COUNTIF($P$11:P592,"&gt;0"),"")</f>
        <v/>
      </c>
    </row>
    <row r="593" ht="14.25" customHeight="1" s="49">
      <c r="A593" s="58" t="n"/>
      <c r="B593" s="58" t="n"/>
      <c r="C593" s="59" t="n"/>
      <c r="D593" s="59" t="n"/>
      <c r="E593" s="59" t="n"/>
      <c r="F593" s="58" t="n"/>
      <c r="G593" s="60" t="n"/>
      <c r="H593" s="60" t="n"/>
      <c r="I593" s="61" t="n"/>
      <c r="J593" s="61" t="n"/>
      <c r="K593" s="61" t="n"/>
      <c r="L593" s="61" t="n"/>
      <c r="M593" s="61" t="n"/>
      <c r="N593" s="58" t="n"/>
      <c r="O593" s="59" t="n"/>
      <c r="P593" s="62" t="n"/>
      <c r="Q593" s="63" t="n"/>
      <c r="R593" s="61">
        <f>IF($P593&gt;0,CHOOSE(MATCH($B$4,'Служебный лист'!$A$4:$A$8,0),I593,J593,K593,L593,M593),"")</f>
        <v/>
      </c>
      <c r="S593" s="61">
        <f>IFERROR($P593*$R593,0)</f>
        <v/>
      </c>
      <c r="T593" s="61">
        <f>$S593*1.22</f>
        <v/>
      </c>
      <c r="U593" s="64">
        <f>IF($P593&gt;0,COUNTIF($P$11:P593,"&gt;0"),"")</f>
        <v/>
      </c>
    </row>
    <row r="594" ht="14.25" customHeight="1" s="49">
      <c r="A594" s="58" t="n"/>
      <c r="B594" s="58" t="n"/>
      <c r="C594" s="59" t="n"/>
      <c r="D594" s="59" t="n"/>
      <c r="E594" s="59" t="n"/>
      <c r="F594" s="58" t="n"/>
      <c r="G594" s="60" t="n"/>
      <c r="H594" s="60" t="n"/>
      <c r="I594" s="61" t="n"/>
      <c r="J594" s="61" t="n"/>
      <c r="K594" s="61" t="n"/>
      <c r="L594" s="61" t="n"/>
      <c r="M594" s="61" t="n"/>
      <c r="N594" s="58" t="n"/>
      <c r="O594" s="59" t="n"/>
      <c r="P594" s="62" t="n"/>
      <c r="Q594" s="63" t="n"/>
      <c r="R594" s="61">
        <f>IF($P594&gt;0,CHOOSE(MATCH($B$4,'Служебный лист'!$A$4:$A$8,0),I594,J594,K594,L594,M594),"")</f>
        <v/>
      </c>
      <c r="S594" s="61">
        <f>IFERROR($P594*$R594,0)</f>
        <v/>
      </c>
      <c r="T594" s="61">
        <f>$S594*1.22</f>
        <v/>
      </c>
      <c r="U594" s="64">
        <f>IF($P594&gt;0,COUNTIF($P$11:P594,"&gt;0"),"")</f>
        <v/>
      </c>
    </row>
    <row r="595" ht="14.25" customHeight="1" s="49">
      <c r="A595" s="58" t="n"/>
      <c r="B595" s="58" t="n"/>
      <c r="C595" s="59" t="n"/>
      <c r="D595" s="59" t="n"/>
      <c r="E595" s="59" t="n"/>
      <c r="F595" s="58" t="n"/>
      <c r="G595" s="60" t="n"/>
      <c r="H595" s="60" t="n"/>
      <c r="I595" s="61" t="n"/>
      <c r="J595" s="61" t="n"/>
      <c r="K595" s="61" t="n"/>
      <c r="L595" s="61" t="n"/>
      <c r="M595" s="61" t="n"/>
      <c r="N595" s="58" t="n"/>
      <c r="O595" s="59" t="n"/>
      <c r="P595" s="62" t="n"/>
      <c r="Q595" s="63" t="n"/>
      <c r="R595" s="61">
        <f>IF($P595&gt;0,CHOOSE(MATCH($B$4,'Служебный лист'!$A$4:$A$8,0),I595,J595,K595,L595,M595),"")</f>
        <v/>
      </c>
      <c r="S595" s="61">
        <f>IFERROR($P595*$R595,0)</f>
        <v/>
      </c>
      <c r="T595" s="61">
        <f>$S595*1.22</f>
        <v/>
      </c>
      <c r="U595" s="64">
        <f>IF($P595&gt;0,COUNTIF($P$11:P595,"&gt;0"),"")</f>
        <v/>
      </c>
    </row>
    <row r="596" ht="14.25" customHeight="1" s="49">
      <c r="A596" s="58" t="n"/>
      <c r="B596" s="58" t="n"/>
      <c r="C596" s="59" t="n"/>
      <c r="D596" s="59" t="n"/>
      <c r="E596" s="59" t="n"/>
      <c r="F596" s="58" t="n"/>
      <c r="G596" s="60" t="n"/>
      <c r="H596" s="60" t="n"/>
      <c r="I596" s="61" t="n"/>
      <c r="J596" s="61" t="n"/>
      <c r="K596" s="61" t="n"/>
      <c r="L596" s="61" t="n"/>
      <c r="M596" s="61" t="n"/>
      <c r="N596" s="58" t="n"/>
      <c r="O596" s="59" t="n"/>
      <c r="P596" s="62" t="n"/>
      <c r="Q596" s="63" t="n"/>
      <c r="R596" s="61">
        <f>IF($P596&gt;0,CHOOSE(MATCH($B$4,'Служебный лист'!$A$4:$A$8,0),I596,J596,K596,L596,M596),"")</f>
        <v/>
      </c>
      <c r="S596" s="61">
        <f>IFERROR($P596*$R596,0)</f>
        <v/>
      </c>
      <c r="T596" s="61">
        <f>$S596*1.22</f>
        <v/>
      </c>
      <c r="U596" s="64">
        <f>IF($P596&gt;0,COUNTIF($P$11:P596,"&gt;0"),"")</f>
        <v/>
      </c>
    </row>
    <row r="597" ht="14.25" customHeight="1" s="49">
      <c r="A597" s="58" t="n"/>
      <c r="B597" s="58" t="n"/>
      <c r="C597" s="59" t="n"/>
      <c r="D597" s="59" t="n"/>
      <c r="E597" s="59" t="n"/>
      <c r="F597" s="58" t="n"/>
      <c r="G597" s="60" t="n"/>
      <c r="H597" s="60" t="n"/>
      <c r="I597" s="61" t="n"/>
      <c r="J597" s="61" t="n"/>
      <c r="K597" s="61" t="n"/>
      <c r="L597" s="61" t="n"/>
      <c r="M597" s="61" t="n"/>
      <c r="N597" s="58" t="n"/>
      <c r="O597" s="59" t="n"/>
      <c r="P597" s="62" t="n"/>
      <c r="Q597" s="63" t="n"/>
      <c r="R597" s="61">
        <f>IF($P597&gt;0,CHOOSE(MATCH($B$4,'Служебный лист'!$A$4:$A$8,0),I597,J597,K597,L597,M597),"")</f>
        <v/>
      </c>
      <c r="S597" s="61">
        <f>IFERROR($P597*$R597,0)</f>
        <v/>
      </c>
      <c r="T597" s="61">
        <f>$S597*1.22</f>
        <v/>
      </c>
      <c r="U597" s="64">
        <f>IF($P597&gt;0,COUNTIF($P$11:P597,"&gt;0"),"")</f>
        <v/>
      </c>
    </row>
    <row r="598" ht="14.25" customHeight="1" s="49">
      <c r="A598" s="58" t="n"/>
      <c r="B598" s="58" t="n"/>
      <c r="C598" s="59" t="n"/>
      <c r="D598" s="59" t="n"/>
      <c r="E598" s="59" t="n"/>
      <c r="F598" s="58" t="n"/>
      <c r="G598" s="60" t="n"/>
      <c r="H598" s="60" t="n"/>
      <c r="I598" s="61" t="n"/>
      <c r="J598" s="61" t="n"/>
      <c r="K598" s="61" t="n"/>
      <c r="L598" s="61" t="n"/>
      <c r="M598" s="61" t="n"/>
      <c r="N598" s="58" t="n"/>
      <c r="O598" s="59" t="n"/>
      <c r="P598" s="62" t="n"/>
      <c r="Q598" s="63" t="n"/>
      <c r="R598" s="61">
        <f>IF($P598&gt;0,CHOOSE(MATCH($B$4,'Служебный лист'!$A$4:$A$8,0),I598,J598,K598,L598,M598),"")</f>
        <v/>
      </c>
      <c r="S598" s="61">
        <f>IFERROR($P598*$R598,0)</f>
        <v/>
      </c>
      <c r="T598" s="61">
        <f>$S598*1.22</f>
        <v/>
      </c>
      <c r="U598" s="64">
        <f>IF($P598&gt;0,COUNTIF($P$11:P598,"&gt;0"),"")</f>
        <v/>
      </c>
    </row>
    <row r="599" ht="14.25" customHeight="1" s="49">
      <c r="A599" s="58" t="n"/>
      <c r="B599" s="58" t="n"/>
      <c r="C599" s="59" t="n"/>
      <c r="D599" s="59" t="n"/>
      <c r="E599" s="59" t="n"/>
      <c r="F599" s="58" t="n"/>
      <c r="G599" s="60" t="n"/>
      <c r="H599" s="60" t="n"/>
      <c r="I599" s="61" t="n"/>
      <c r="J599" s="61" t="n"/>
      <c r="K599" s="61" t="n"/>
      <c r="L599" s="61" t="n"/>
      <c r="M599" s="61" t="n"/>
      <c r="N599" s="58" t="n"/>
      <c r="O599" s="59" t="n"/>
      <c r="P599" s="62" t="n"/>
      <c r="Q599" s="63" t="n"/>
      <c r="R599" s="61">
        <f>IF($P599&gt;0,CHOOSE(MATCH($B$4,'Служебный лист'!$A$4:$A$8,0),I599,J599,K599,L599,M599),"")</f>
        <v/>
      </c>
      <c r="S599" s="61">
        <f>IFERROR($P599*$R599,0)</f>
        <v/>
      </c>
      <c r="T599" s="61">
        <f>$S599*1.22</f>
        <v/>
      </c>
      <c r="U599" s="64">
        <f>IF($P599&gt;0,COUNTIF($P$11:P599,"&gt;0"),"")</f>
        <v/>
      </c>
    </row>
    <row r="600" ht="14.25" customHeight="1" s="49">
      <c r="A600" s="58" t="n"/>
      <c r="B600" s="58" t="n"/>
      <c r="C600" s="59" t="n"/>
      <c r="D600" s="59" t="n"/>
      <c r="E600" s="59" t="n"/>
      <c r="F600" s="58" t="n"/>
      <c r="G600" s="60" t="n"/>
      <c r="H600" s="60" t="n"/>
      <c r="I600" s="61" t="n"/>
      <c r="J600" s="61" t="n"/>
      <c r="K600" s="61" t="n"/>
      <c r="L600" s="61" t="n"/>
      <c r="M600" s="61" t="n"/>
      <c r="N600" s="58" t="n"/>
      <c r="O600" s="59" t="n"/>
      <c r="P600" s="62" t="n"/>
      <c r="Q600" s="63" t="n"/>
      <c r="R600" s="61">
        <f>IF($P600&gt;0,CHOOSE(MATCH($B$4,'Служебный лист'!$A$4:$A$8,0),I600,J600,K600,L600,M600),"")</f>
        <v/>
      </c>
      <c r="S600" s="61">
        <f>IFERROR($P600*$R600,0)</f>
        <v/>
      </c>
      <c r="T600" s="61">
        <f>$S600*1.22</f>
        <v/>
      </c>
      <c r="U600" s="64">
        <f>IF($P600&gt;0,COUNTIF($P$11:P600,"&gt;0"),"")</f>
        <v/>
      </c>
    </row>
    <row r="601" ht="14.25" customHeight="1" s="49">
      <c r="A601" s="58" t="n"/>
      <c r="B601" s="58" t="n"/>
      <c r="C601" s="59" t="n"/>
      <c r="D601" s="59" t="n"/>
      <c r="E601" s="59" t="n"/>
      <c r="F601" s="58" t="n"/>
      <c r="G601" s="60" t="n"/>
      <c r="H601" s="60" t="n"/>
      <c r="I601" s="61" t="n"/>
      <c r="J601" s="61" t="n"/>
      <c r="K601" s="61" t="n"/>
      <c r="L601" s="61" t="n"/>
      <c r="M601" s="61" t="n"/>
      <c r="N601" s="58" t="n"/>
      <c r="O601" s="59" t="n"/>
      <c r="P601" s="62" t="n"/>
      <c r="Q601" s="63" t="n"/>
      <c r="R601" s="61">
        <f>IF($P601&gt;0,CHOOSE(MATCH($B$4,'Служебный лист'!$A$4:$A$8,0),I601,J601,K601,L601,M601),"")</f>
        <v/>
      </c>
      <c r="S601" s="61">
        <f>IFERROR($P601*$R601,0)</f>
        <v/>
      </c>
      <c r="T601" s="61">
        <f>$S601*1.22</f>
        <v/>
      </c>
      <c r="U601" s="64">
        <f>IF($P601&gt;0,COUNTIF($P$11:P601,"&gt;0"),"")</f>
        <v/>
      </c>
    </row>
    <row r="602" ht="14.25" customHeight="1" s="49">
      <c r="A602" s="58" t="n"/>
      <c r="B602" s="58" t="n"/>
      <c r="C602" s="59" t="n"/>
      <c r="D602" s="59" t="n"/>
      <c r="E602" s="59" t="n"/>
      <c r="F602" s="58" t="n"/>
      <c r="G602" s="60" t="n"/>
      <c r="H602" s="60" t="n"/>
      <c r="I602" s="61" t="n"/>
      <c r="J602" s="61" t="n"/>
      <c r="K602" s="61" t="n"/>
      <c r="L602" s="61" t="n"/>
      <c r="M602" s="61" t="n"/>
      <c r="N602" s="58" t="n"/>
      <c r="O602" s="59" t="n"/>
      <c r="P602" s="62" t="n"/>
      <c r="Q602" s="63" t="n"/>
      <c r="R602" s="61">
        <f>IF($P602&gt;0,CHOOSE(MATCH($B$4,'Служебный лист'!$A$4:$A$8,0),I602,J602,K602,L602,M602),"")</f>
        <v/>
      </c>
      <c r="S602" s="61">
        <f>IFERROR($P602*$R602,0)</f>
        <v/>
      </c>
      <c r="T602" s="61">
        <f>$S602*1.22</f>
        <v/>
      </c>
      <c r="U602" s="64">
        <f>IF($P602&gt;0,COUNTIF($P$11:P602,"&gt;0"),"")</f>
        <v/>
      </c>
    </row>
    <row r="603" ht="14.25" customHeight="1" s="49">
      <c r="A603" s="58" t="n"/>
      <c r="B603" s="58" t="n"/>
      <c r="C603" s="59" t="n"/>
      <c r="D603" s="59" t="n"/>
      <c r="E603" s="59" t="n"/>
      <c r="F603" s="58" t="n"/>
      <c r="G603" s="60" t="n"/>
      <c r="H603" s="60" t="n"/>
      <c r="I603" s="61" t="n"/>
      <c r="J603" s="61" t="n"/>
      <c r="K603" s="61" t="n"/>
      <c r="L603" s="61" t="n"/>
      <c r="M603" s="61" t="n"/>
      <c r="N603" s="58" t="n"/>
      <c r="O603" s="59" t="n"/>
      <c r="P603" s="62" t="n"/>
      <c r="Q603" s="63" t="n"/>
      <c r="R603" s="61">
        <f>IF($P603&gt;0,CHOOSE(MATCH($B$4,'Служебный лист'!$A$4:$A$8,0),I603,J603,K603,L603,M603),"")</f>
        <v/>
      </c>
      <c r="S603" s="61">
        <f>IFERROR($P603*$R603,0)</f>
        <v/>
      </c>
      <c r="T603" s="61">
        <f>$S603*1.22</f>
        <v/>
      </c>
      <c r="U603" s="64">
        <f>IF($P603&gt;0,COUNTIF($P$11:P603,"&gt;0"),"")</f>
        <v/>
      </c>
    </row>
    <row r="604" ht="14.25" customHeight="1" s="49">
      <c r="A604" s="58" t="n"/>
      <c r="B604" s="58" t="n"/>
      <c r="C604" s="59" t="n"/>
      <c r="D604" s="59" t="n"/>
      <c r="E604" s="59" t="n"/>
      <c r="F604" s="58" t="n"/>
      <c r="G604" s="60" t="n"/>
      <c r="H604" s="60" t="n"/>
      <c r="I604" s="61" t="n"/>
      <c r="J604" s="61" t="n"/>
      <c r="K604" s="61" t="n"/>
      <c r="L604" s="61" t="n"/>
      <c r="M604" s="61" t="n"/>
      <c r="N604" s="58" t="n"/>
      <c r="O604" s="59" t="n"/>
      <c r="P604" s="62" t="n"/>
      <c r="Q604" s="63" t="n"/>
      <c r="R604" s="61">
        <f>IF($P604&gt;0,CHOOSE(MATCH($B$4,'Служебный лист'!$A$4:$A$8,0),I604,J604,K604,L604,M604),"")</f>
        <v/>
      </c>
      <c r="S604" s="61">
        <f>IFERROR($P604*$R604,0)</f>
        <v/>
      </c>
      <c r="T604" s="61">
        <f>$S604*1.22</f>
        <v/>
      </c>
      <c r="U604" s="64">
        <f>IF($P604&gt;0,COUNTIF($P$11:P604,"&gt;0"),"")</f>
        <v/>
      </c>
    </row>
    <row r="605" ht="14.25" customHeight="1" s="49">
      <c r="A605" s="58" t="n"/>
      <c r="B605" s="58" t="n"/>
      <c r="C605" s="59" t="n"/>
      <c r="D605" s="59" t="n"/>
      <c r="E605" s="59" t="n"/>
      <c r="F605" s="58" t="n"/>
      <c r="G605" s="60" t="n"/>
      <c r="H605" s="60" t="n"/>
      <c r="I605" s="61" t="n"/>
      <c r="J605" s="61" t="n"/>
      <c r="K605" s="61" t="n"/>
      <c r="L605" s="61" t="n"/>
      <c r="M605" s="61" t="n"/>
      <c r="N605" s="58" t="n"/>
      <c r="O605" s="59" t="n"/>
      <c r="P605" s="62" t="n"/>
      <c r="Q605" s="63" t="n"/>
      <c r="R605" s="61">
        <f>IF($P605&gt;0,CHOOSE(MATCH($B$4,'Служебный лист'!$A$4:$A$8,0),I605,J605,K605,L605,M605),"")</f>
        <v/>
      </c>
      <c r="S605" s="61">
        <f>IFERROR($P605*$R605,0)</f>
        <v/>
      </c>
      <c r="T605" s="61">
        <f>$S605*1.22</f>
        <v/>
      </c>
      <c r="U605" s="64">
        <f>IF($P605&gt;0,COUNTIF($P$11:P605,"&gt;0"),"")</f>
        <v/>
      </c>
    </row>
    <row r="606" ht="14.25" customHeight="1" s="49">
      <c r="A606" s="58" t="n"/>
      <c r="B606" s="58" t="n"/>
      <c r="C606" s="59" t="n"/>
      <c r="D606" s="59" t="n"/>
      <c r="E606" s="59" t="n"/>
      <c r="F606" s="58" t="n"/>
      <c r="G606" s="60" t="n"/>
      <c r="H606" s="60" t="n"/>
      <c r="I606" s="61" t="n"/>
      <c r="J606" s="61" t="n"/>
      <c r="K606" s="61" t="n"/>
      <c r="L606" s="61" t="n"/>
      <c r="M606" s="61" t="n"/>
      <c r="N606" s="58" t="n"/>
      <c r="O606" s="59" t="n"/>
      <c r="P606" s="62" t="n"/>
      <c r="Q606" s="63" t="n"/>
      <c r="R606" s="61">
        <f>IF($P606&gt;0,CHOOSE(MATCH($B$4,'Служебный лист'!$A$4:$A$8,0),I606,J606,K606,L606,M606),"")</f>
        <v/>
      </c>
      <c r="S606" s="61">
        <f>IFERROR($P606*$R606,0)</f>
        <v/>
      </c>
      <c r="T606" s="61">
        <f>$S606*1.22</f>
        <v/>
      </c>
      <c r="U606" s="64">
        <f>IF($P606&gt;0,COUNTIF($P$11:P606,"&gt;0"),"")</f>
        <v/>
      </c>
    </row>
    <row r="607" ht="14.25" customHeight="1" s="49">
      <c r="A607" s="58" t="n"/>
      <c r="B607" s="58" t="n"/>
      <c r="C607" s="59" t="n"/>
      <c r="D607" s="59" t="n"/>
      <c r="E607" s="59" t="n"/>
      <c r="F607" s="58" t="n"/>
      <c r="G607" s="60" t="n"/>
      <c r="H607" s="60" t="n"/>
      <c r="I607" s="61" t="n"/>
      <c r="J607" s="61" t="n"/>
      <c r="K607" s="61" t="n"/>
      <c r="L607" s="61" t="n"/>
      <c r="M607" s="61" t="n"/>
      <c r="N607" s="58" t="n"/>
      <c r="O607" s="59" t="n"/>
      <c r="P607" s="62" t="n"/>
      <c r="Q607" s="63" t="n"/>
      <c r="R607" s="61">
        <f>IF($P607&gt;0,CHOOSE(MATCH($B$4,'Служебный лист'!$A$4:$A$8,0),I607,J607,K607,L607,M607),"")</f>
        <v/>
      </c>
      <c r="S607" s="61">
        <f>IFERROR($P607*$R607,0)</f>
        <v/>
      </c>
      <c r="T607" s="61">
        <f>$S607*1.22</f>
        <v/>
      </c>
      <c r="U607" s="64">
        <f>IF($P607&gt;0,COUNTIF($P$11:P607,"&gt;0"),"")</f>
        <v/>
      </c>
    </row>
    <row r="608" ht="14.25" customHeight="1" s="49">
      <c r="A608" s="58" t="n"/>
      <c r="B608" s="58" t="n"/>
      <c r="C608" s="59" t="n"/>
      <c r="D608" s="59" t="n"/>
      <c r="E608" s="59" t="n"/>
      <c r="F608" s="58" t="n"/>
      <c r="G608" s="60" t="n"/>
      <c r="H608" s="60" t="n"/>
      <c r="I608" s="61" t="n"/>
      <c r="J608" s="61" t="n"/>
      <c r="K608" s="61" t="n"/>
      <c r="L608" s="61" t="n"/>
      <c r="M608" s="61" t="n"/>
      <c r="N608" s="58" t="n"/>
      <c r="O608" s="59" t="n"/>
      <c r="P608" s="62" t="n"/>
      <c r="Q608" s="63" t="n"/>
      <c r="R608" s="61">
        <f>IF($P608&gt;0,CHOOSE(MATCH($B$4,'Служебный лист'!$A$4:$A$8,0),I608,J608,K608,L608,M608),"")</f>
        <v/>
      </c>
      <c r="S608" s="61">
        <f>IFERROR($P608*$R608,0)</f>
        <v/>
      </c>
      <c r="T608" s="61">
        <f>$S608*1.22</f>
        <v/>
      </c>
      <c r="U608" s="64">
        <f>IF($P608&gt;0,COUNTIF($P$11:P608,"&gt;0"),"")</f>
        <v/>
      </c>
    </row>
    <row r="609" ht="14.25" customHeight="1" s="49">
      <c r="A609" s="58" t="n"/>
      <c r="B609" s="58" t="n"/>
      <c r="C609" s="59" t="n"/>
      <c r="D609" s="59" t="n"/>
      <c r="E609" s="59" t="n"/>
      <c r="F609" s="58" t="n"/>
      <c r="G609" s="60" t="n"/>
      <c r="H609" s="60" t="n"/>
      <c r="I609" s="61" t="n"/>
      <c r="J609" s="61" t="n"/>
      <c r="K609" s="61" t="n"/>
      <c r="L609" s="61" t="n"/>
      <c r="M609" s="61" t="n"/>
      <c r="N609" s="58" t="n"/>
      <c r="O609" s="59" t="n"/>
      <c r="P609" s="62" t="n"/>
      <c r="Q609" s="63" t="n"/>
      <c r="R609" s="61">
        <f>IF($P609&gt;0,CHOOSE(MATCH($B$4,'Служебный лист'!$A$4:$A$8,0),I609,J609,K609,L609,M609),"")</f>
        <v/>
      </c>
      <c r="S609" s="61">
        <f>IFERROR($P609*$R609,0)</f>
        <v/>
      </c>
      <c r="T609" s="61">
        <f>$S609*1.22</f>
        <v/>
      </c>
      <c r="U609" s="64">
        <f>IF($P609&gt;0,COUNTIF($P$11:P609,"&gt;0"),"")</f>
        <v/>
      </c>
    </row>
    <row r="610" ht="14.25" customHeight="1" s="49">
      <c r="A610" s="58" t="n"/>
      <c r="B610" s="58" t="n"/>
      <c r="C610" s="59" t="n"/>
      <c r="D610" s="59" t="n"/>
      <c r="E610" s="59" t="n"/>
      <c r="F610" s="58" t="n"/>
      <c r="G610" s="60" t="n"/>
      <c r="H610" s="60" t="n"/>
      <c r="I610" s="61" t="n"/>
      <c r="J610" s="61" t="n"/>
      <c r="K610" s="61" t="n"/>
      <c r="L610" s="61" t="n"/>
      <c r="M610" s="61" t="n"/>
      <c r="N610" s="58" t="n"/>
      <c r="O610" s="59" t="n"/>
      <c r="P610" s="62" t="n"/>
      <c r="Q610" s="63" t="n"/>
      <c r="R610" s="61">
        <f>IF($P610&gt;0,CHOOSE(MATCH($B$4,'Служебный лист'!$A$4:$A$8,0),I610,J610,K610,L610,M610),"")</f>
        <v/>
      </c>
      <c r="S610" s="61">
        <f>IFERROR($P610*$R610,0)</f>
        <v/>
      </c>
      <c r="T610" s="61">
        <f>$S610*1.22</f>
        <v/>
      </c>
      <c r="U610" s="64">
        <f>IF($P610&gt;0,COUNTIF($P$11:P610,"&gt;0"),"")</f>
        <v/>
      </c>
    </row>
    <row r="611" ht="14.25" customHeight="1" s="49">
      <c r="A611" s="58" t="n"/>
      <c r="B611" s="58" t="n"/>
      <c r="C611" s="59" t="n"/>
      <c r="D611" s="59" t="n"/>
      <c r="E611" s="59" t="n"/>
      <c r="F611" s="58" t="n"/>
      <c r="G611" s="60" t="n"/>
      <c r="H611" s="60" t="n"/>
      <c r="I611" s="61" t="n"/>
      <c r="J611" s="61" t="n"/>
      <c r="K611" s="61" t="n"/>
      <c r="L611" s="61" t="n"/>
      <c r="M611" s="61" t="n"/>
      <c r="N611" s="58" t="n"/>
      <c r="O611" s="59" t="n"/>
      <c r="P611" s="62" t="n"/>
      <c r="Q611" s="63" t="n"/>
      <c r="R611" s="61">
        <f>IF($P611&gt;0,CHOOSE(MATCH($B$4,'Служебный лист'!$A$4:$A$8,0),I611,J611,K611,L611,M611),"")</f>
        <v/>
      </c>
      <c r="S611" s="61">
        <f>IFERROR($P611*$R611,0)</f>
        <v/>
      </c>
      <c r="T611" s="61">
        <f>$S611*1.22</f>
        <v/>
      </c>
      <c r="U611" s="64">
        <f>IF($P611&gt;0,COUNTIF($P$11:P611,"&gt;0"),"")</f>
        <v/>
      </c>
    </row>
    <row r="612" ht="14.25" customHeight="1" s="49">
      <c r="A612" s="58" t="n"/>
      <c r="B612" s="58" t="n"/>
      <c r="C612" s="59" t="n"/>
      <c r="D612" s="59" t="n"/>
      <c r="E612" s="59" t="n"/>
      <c r="F612" s="58" t="n"/>
      <c r="G612" s="60" t="n"/>
      <c r="H612" s="60" t="n"/>
      <c r="I612" s="61" t="n"/>
      <c r="J612" s="61" t="n"/>
      <c r="K612" s="61" t="n"/>
      <c r="L612" s="61" t="n"/>
      <c r="M612" s="61" t="n"/>
      <c r="N612" s="58" t="n"/>
      <c r="O612" s="59" t="n"/>
      <c r="P612" s="62" t="n"/>
      <c r="Q612" s="63" t="n"/>
      <c r="R612" s="61">
        <f>IF($P612&gt;0,CHOOSE(MATCH($B$4,'Служебный лист'!$A$4:$A$8,0),I612,J612,K612,L612,M612),"")</f>
        <v/>
      </c>
      <c r="S612" s="61">
        <f>IFERROR($P612*$R612,0)</f>
        <v/>
      </c>
      <c r="T612" s="61">
        <f>$S612*1.22</f>
        <v/>
      </c>
      <c r="U612" s="64">
        <f>IF($P612&gt;0,COUNTIF($P$11:P612,"&gt;0"),"")</f>
        <v/>
      </c>
    </row>
    <row r="613" ht="14.25" customHeight="1" s="49">
      <c r="A613" s="58" t="n"/>
      <c r="B613" s="58" t="n"/>
      <c r="C613" s="59" t="n"/>
      <c r="D613" s="59" t="n"/>
      <c r="E613" s="59" t="n"/>
      <c r="F613" s="58" t="n"/>
      <c r="G613" s="60" t="n"/>
      <c r="H613" s="60" t="n"/>
      <c r="I613" s="61" t="n"/>
      <c r="J613" s="61" t="n"/>
      <c r="K613" s="61" t="n"/>
      <c r="L613" s="61" t="n"/>
      <c r="M613" s="61" t="n"/>
      <c r="N613" s="58" t="n"/>
      <c r="O613" s="59" t="n"/>
      <c r="P613" s="62" t="n"/>
      <c r="Q613" s="63" t="n"/>
      <c r="R613" s="61">
        <f>IF($P613&gt;0,CHOOSE(MATCH($B$4,'Служебный лист'!$A$4:$A$8,0),I613,J613,K613,L613,M613),"")</f>
        <v/>
      </c>
      <c r="S613" s="61">
        <f>IFERROR($P613*$R613,0)</f>
        <v/>
      </c>
      <c r="T613" s="61">
        <f>$S613*1.22</f>
        <v/>
      </c>
      <c r="U613" s="64">
        <f>IF($P613&gt;0,COUNTIF($P$11:P613,"&gt;0"),"")</f>
        <v/>
      </c>
    </row>
    <row r="614" ht="14.25" customHeight="1" s="49">
      <c r="A614" s="58" t="n"/>
      <c r="B614" s="58" t="n"/>
      <c r="C614" s="59" t="n"/>
      <c r="D614" s="59" t="n"/>
      <c r="E614" s="59" t="n"/>
      <c r="F614" s="58" t="n"/>
      <c r="G614" s="60" t="n"/>
      <c r="H614" s="60" t="n"/>
      <c r="I614" s="61" t="n"/>
      <c r="J614" s="61" t="n"/>
      <c r="K614" s="61" t="n"/>
      <c r="L614" s="61" t="n"/>
      <c r="M614" s="61" t="n"/>
      <c r="N614" s="58" t="n"/>
      <c r="O614" s="59" t="n"/>
      <c r="P614" s="62" t="n"/>
      <c r="Q614" s="63" t="n"/>
      <c r="R614" s="61">
        <f>IF($P614&gt;0,CHOOSE(MATCH($B$4,'Служебный лист'!$A$4:$A$8,0),I614,J614,K614,L614,M614),"")</f>
        <v/>
      </c>
      <c r="S614" s="61">
        <f>IFERROR($P614*$R614,0)</f>
        <v/>
      </c>
      <c r="T614" s="61">
        <f>$S614*1.22</f>
        <v/>
      </c>
      <c r="U614" s="64">
        <f>IF($P614&gt;0,COUNTIF($P$11:P614,"&gt;0"),"")</f>
        <v/>
      </c>
    </row>
    <row r="615" ht="14.25" customHeight="1" s="49">
      <c r="A615" s="58" t="n"/>
      <c r="B615" s="58" t="n"/>
      <c r="C615" s="59" t="n"/>
      <c r="D615" s="59" t="n"/>
      <c r="E615" s="59" t="n"/>
      <c r="F615" s="58" t="n"/>
      <c r="G615" s="60" t="n"/>
      <c r="H615" s="60" t="n"/>
      <c r="I615" s="61" t="n"/>
      <c r="J615" s="61" t="n"/>
      <c r="K615" s="61" t="n"/>
      <c r="L615" s="61" t="n"/>
      <c r="M615" s="61" t="n"/>
      <c r="N615" s="58" t="n"/>
      <c r="O615" s="59" t="n"/>
      <c r="P615" s="62" t="n"/>
      <c r="Q615" s="63" t="n"/>
      <c r="R615" s="61">
        <f>IF($P615&gt;0,CHOOSE(MATCH($B$4,'Служебный лист'!$A$4:$A$8,0),I615,J615,K615,L615,M615),"")</f>
        <v/>
      </c>
      <c r="S615" s="61">
        <f>IFERROR($P615*$R615,0)</f>
        <v/>
      </c>
      <c r="T615" s="61">
        <f>$S615*1.22</f>
        <v/>
      </c>
      <c r="U615" s="64">
        <f>IF($P615&gt;0,COUNTIF($P$11:P615,"&gt;0"),"")</f>
        <v/>
      </c>
    </row>
    <row r="616" ht="14.25" customHeight="1" s="49">
      <c r="A616" s="58" t="n"/>
      <c r="B616" s="58" t="n"/>
      <c r="C616" s="59" t="n"/>
      <c r="D616" s="59" t="n"/>
      <c r="E616" s="59" t="n"/>
      <c r="F616" s="58" t="n"/>
      <c r="G616" s="60" t="n"/>
      <c r="H616" s="60" t="n"/>
      <c r="I616" s="61" t="n"/>
      <c r="J616" s="61" t="n"/>
      <c r="K616" s="61" t="n"/>
      <c r="L616" s="61" t="n"/>
      <c r="M616" s="61" t="n"/>
      <c r="N616" s="58" t="n"/>
      <c r="O616" s="59" t="n"/>
      <c r="P616" s="62" t="n"/>
      <c r="Q616" s="63" t="n"/>
      <c r="R616" s="61">
        <f>IF($P616&gt;0,CHOOSE(MATCH($B$4,'Служебный лист'!$A$4:$A$8,0),I616,J616,K616,L616,M616),"")</f>
        <v/>
      </c>
      <c r="S616" s="61">
        <f>IFERROR($P616*$R616,0)</f>
        <v/>
      </c>
      <c r="T616" s="61">
        <f>$S616*1.22</f>
        <v/>
      </c>
      <c r="U616" s="64">
        <f>IF($P616&gt;0,COUNTIF($P$11:P616,"&gt;0"),"")</f>
        <v/>
      </c>
    </row>
    <row r="617" ht="14.25" customHeight="1" s="49">
      <c r="A617" s="58" t="n"/>
      <c r="B617" s="58" t="n"/>
      <c r="C617" s="59" t="n"/>
      <c r="D617" s="59" t="n"/>
      <c r="E617" s="59" t="n"/>
      <c r="F617" s="58" t="n"/>
      <c r="G617" s="60" t="n"/>
      <c r="H617" s="60" t="n"/>
      <c r="I617" s="61" t="n"/>
      <c r="J617" s="61" t="n"/>
      <c r="K617" s="61" t="n"/>
      <c r="L617" s="61" t="n"/>
      <c r="M617" s="61" t="n"/>
      <c r="N617" s="58" t="n"/>
      <c r="O617" s="59" t="n"/>
      <c r="P617" s="62" t="n"/>
      <c r="Q617" s="63" t="n"/>
      <c r="R617" s="61">
        <f>IF($P617&gt;0,CHOOSE(MATCH($B$4,'Служебный лист'!$A$4:$A$8,0),I617,J617,K617,L617,M617),"")</f>
        <v/>
      </c>
      <c r="S617" s="61">
        <f>IFERROR($P617*$R617,0)</f>
        <v/>
      </c>
      <c r="T617" s="61">
        <f>$S617*1.22</f>
        <v/>
      </c>
      <c r="U617" s="64">
        <f>IF($P617&gt;0,COUNTIF($P$11:P617,"&gt;0"),"")</f>
        <v/>
      </c>
    </row>
    <row r="618" ht="14.25" customHeight="1" s="49">
      <c r="A618" s="58" t="n"/>
      <c r="B618" s="58" t="n"/>
      <c r="C618" s="59" t="n"/>
      <c r="D618" s="59" t="n"/>
      <c r="E618" s="59" t="n"/>
      <c r="F618" s="58" t="n"/>
      <c r="G618" s="60" t="n"/>
      <c r="H618" s="60" t="n"/>
      <c r="I618" s="61" t="n"/>
      <c r="J618" s="61" t="n"/>
      <c r="K618" s="61" t="n"/>
      <c r="L618" s="61" t="n"/>
      <c r="M618" s="61" t="n"/>
      <c r="N618" s="58" t="n"/>
      <c r="O618" s="59" t="n"/>
      <c r="P618" s="62" t="n"/>
      <c r="Q618" s="63" t="n"/>
      <c r="R618" s="61">
        <f>IF($P618&gt;0,CHOOSE(MATCH($B$4,'Служебный лист'!$A$4:$A$8,0),I618,J618,K618,L618,M618),"")</f>
        <v/>
      </c>
      <c r="S618" s="61">
        <f>IFERROR($P618*$R618,0)</f>
        <v/>
      </c>
      <c r="T618" s="61">
        <f>$S618*1.22</f>
        <v/>
      </c>
      <c r="U618" s="64">
        <f>IF($P618&gt;0,COUNTIF($P$11:P618,"&gt;0"),"")</f>
        <v/>
      </c>
    </row>
    <row r="619" ht="14.25" customHeight="1" s="49">
      <c r="A619" s="58" t="n"/>
      <c r="B619" s="58" t="n"/>
      <c r="C619" s="59" t="n"/>
      <c r="D619" s="59" t="n"/>
      <c r="E619" s="59" t="n"/>
      <c r="F619" s="58" t="n"/>
      <c r="G619" s="60" t="n"/>
      <c r="H619" s="60" t="n"/>
      <c r="I619" s="61" t="n"/>
      <c r="J619" s="61" t="n"/>
      <c r="K619" s="61" t="n"/>
      <c r="L619" s="61" t="n"/>
      <c r="M619" s="61" t="n"/>
      <c r="N619" s="58" t="n"/>
      <c r="O619" s="59" t="n"/>
      <c r="P619" s="62" t="n"/>
      <c r="Q619" s="63" t="n"/>
      <c r="R619" s="61">
        <f>IF($P619&gt;0,CHOOSE(MATCH($B$4,'Служебный лист'!$A$4:$A$8,0),I619,J619,K619,L619,M619),"")</f>
        <v/>
      </c>
      <c r="S619" s="61">
        <f>IFERROR($P619*$R619,0)</f>
        <v/>
      </c>
      <c r="T619" s="61">
        <f>$S619*1.22</f>
        <v/>
      </c>
      <c r="U619" s="64">
        <f>IF($P619&gt;0,COUNTIF($P$11:P619,"&gt;0"),"")</f>
        <v/>
      </c>
    </row>
    <row r="620" ht="14.25" customHeight="1" s="49">
      <c r="A620" s="58" t="n"/>
      <c r="B620" s="58" t="n"/>
      <c r="C620" s="59" t="n"/>
      <c r="D620" s="59" t="n"/>
      <c r="E620" s="59" t="n"/>
      <c r="F620" s="58" t="n"/>
      <c r="G620" s="60" t="n"/>
      <c r="H620" s="60" t="n"/>
      <c r="I620" s="61" t="n"/>
      <c r="J620" s="61" t="n"/>
      <c r="K620" s="61" t="n"/>
      <c r="L620" s="61" t="n"/>
      <c r="M620" s="61" t="n"/>
      <c r="N620" s="58" t="n"/>
      <c r="O620" s="59" t="n"/>
      <c r="P620" s="62" t="n"/>
      <c r="Q620" s="63" t="n"/>
      <c r="R620" s="61">
        <f>IF($P620&gt;0,CHOOSE(MATCH($B$4,'Служебный лист'!$A$4:$A$8,0),I620,J620,K620,L620,M620),"")</f>
        <v/>
      </c>
      <c r="S620" s="61">
        <f>IFERROR($P620*$R620,0)</f>
        <v/>
      </c>
      <c r="T620" s="61">
        <f>$S620*1.22</f>
        <v/>
      </c>
      <c r="U620" s="64">
        <f>IF($P620&gt;0,COUNTIF($P$11:P620,"&gt;0"),"")</f>
        <v/>
      </c>
    </row>
    <row r="621" ht="14.25" customHeight="1" s="49">
      <c r="A621" s="58" t="n"/>
      <c r="B621" s="58" t="n"/>
      <c r="C621" s="59" t="n"/>
      <c r="D621" s="59" t="n"/>
      <c r="E621" s="59" t="n"/>
      <c r="F621" s="58" t="n"/>
      <c r="G621" s="60" t="n"/>
      <c r="H621" s="60" t="n"/>
      <c r="I621" s="61" t="n"/>
      <c r="J621" s="61" t="n"/>
      <c r="K621" s="61" t="n"/>
      <c r="L621" s="61" t="n"/>
      <c r="M621" s="61" t="n"/>
      <c r="N621" s="58" t="n"/>
      <c r="O621" s="59" t="n"/>
      <c r="P621" s="62" t="n"/>
      <c r="Q621" s="63" t="n"/>
      <c r="R621" s="61">
        <f>IF($P621&gt;0,CHOOSE(MATCH($B$4,'Служебный лист'!$A$4:$A$8,0),I621,J621,K621,L621,M621),"")</f>
        <v/>
      </c>
      <c r="S621" s="61">
        <f>IFERROR($P621*$R621,0)</f>
        <v/>
      </c>
      <c r="T621" s="61">
        <f>$S621*1.22</f>
        <v/>
      </c>
      <c r="U621" s="64">
        <f>IF($P621&gt;0,COUNTIF($P$11:P621,"&gt;0"),"")</f>
        <v/>
      </c>
    </row>
    <row r="622" ht="14.25" customHeight="1" s="49">
      <c r="A622" s="58" t="n"/>
      <c r="B622" s="58" t="n"/>
      <c r="C622" s="59" t="n"/>
      <c r="D622" s="59" t="n"/>
      <c r="E622" s="59" t="n"/>
      <c r="F622" s="58" t="n"/>
      <c r="G622" s="60" t="n"/>
      <c r="H622" s="60" t="n"/>
      <c r="I622" s="61" t="n"/>
      <c r="J622" s="61" t="n"/>
      <c r="K622" s="61" t="n"/>
      <c r="L622" s="61" t="n"/>
      <c r="M622" s="61" t="n"/>
      <c r="N622" s="58" t="n"/>
      <c r="O622" s="59" t="n"/>
      <c r="P622" s="62" t="n"/>
      <c r="Q622" s="63" t="n"/>
      <c r="R622" s="61">
        <f>IF($P622&gt;0,CHOOSE(MATCH($B$4,'Служебный лист'!$A$4:$A$8,0),I622,J622,K622,L622,M622),"")</f>
        <v/>
      </c>
      <c r="S622" s="61">
        <f>IFERROR($P622*$R622,0)</f>
        <v/>
      </c>
      <c r="T622" s="61">
        <f>$S622*1.22</f>
        <v/>
      </c>
      <c r="U622" s="64">
        <f>IF($P622&gt;0,COUNTIF($P$11:P622,"&gt;0"),"")</f>
        <v/>
      </c>
    </row>
    <row r="623" ht="14.25" customHeight="1" s="49">
      <c r="A623" s="58" t="n"/>
      <c r="B623" s="58" t="n"/>
      <c r="C623" s="59" t="n"/>
      <c r="D623" s="59" t="n"/>
      <c r="E623" s="59" t="n"/>
      <c r="F623" s="58" t="n"/>
      <c r="G623" s="60" t="n"/>
      <c r="H623" s="60" t="n"/>
      <c r="I623" s="61" t="n"/>
      <c r="J623" s="61" t="n"/>
      <c r="K623" s="61" t="n"/>
      <c r="L623" s="61" t="n"/>
      <c r="M623" s="61" t="n"/>
      <c r="N623" s="58" t="n"/>
      <c r="O623" s="59" t="n"/>
      <c r="P623" s="62" t="n"/>
      <c r="Q623" s="63" t="n"/>
      <c r="R623" s="61">
        <f>IF($P623&gt;0,CHOOSE(MATCH($B$4,'Служебный лист'!$A$4:$A$8,0),I623,J623,K623,L623,M623),"")</f>
        <v/>
      </c>
      <c r="S623" s="61">
        <f>IFERROR($P623*$R623,0)</f>
        <v/>
      </c>
      <c r="T623" s="61">
        <f>$S623*1.22</f>
        <v/>
      </c>
      <c r="U623" s="64">
        <f>IF($P623&gt;0,COUNTIF($P$11:P623,"&gt;0"),"")</f>
        <v/>
      </c>
    </row>
    <row r="624" ht="14.25" customHeight="1" s="49">
      <c r="A624" s="58" t="n"/>
      <c r="B624" s="58" t="n"/>
      <c r="C624" s="59" t="n"/>
      <c r="D624" s="59" t="n"/>
      <c r="E624" s="59" t="n"/>
      <c r="F624" s="58" t="n"/>
      <c r="G624" s="60" t="n"/>
      <c r="H624" s="60" t="n"/>
      <c r="I624" s="61" t="n"/>
      <c r="J624" s="61" t="n"/>
      <c r="K624" s="61" t="n"/>
      <c r="L624" s="61" t="n"/>
      <c r="M624" s="61" t="n"/>
      <c r="N624" s="58" t="n"/>
      <c r="O624" s="59" t="n"/>
      <c r="P624" s="62" t="n"/>
      <c r="Q624" s="63" t="n"/>
      <c r="R624" s="61">
        <f>IF($P624&gt;0,CHOOSE(MATCH($B$4,'Служебный лист'!$A$4:$A$8,0),I624,J624,K624,L624,M624),"")</f>
        <v/>
      </c>
      <c r="S624" s="61">
        <f>IFERROR($P624*$R624,0)</f>
        <v/>
      </c>
      <c r="T624" s="61">
        <f>$S624*1.22</f>
        <v/>
      </c>
      <c r="U624" s="64">
        <f>IF($P624&gt;0,COUNTIF($P$11:P624,"&gt;0"),"")</f>
        <v/>
      </c>
    </row>
    <row r="625" ht="14.25" customHeight="1" s="49">
      <c r="A625" s="58" t="n"/>
      <c r="B625" s="58" t="n"/>
      <c r="C625" s="59" t="n"/>
      <c r="D625" s="59" t="n"/>
      <c r="E625" s="59" t="n"/>
      <c r="F625" s="58" t="n"/>
      <c r="G625" s="60" t="n"/>
      <c r="H625" s="60" t="n"/>
      <c r="I625" s="61" t="n"/>
      <c r="J625" s="61" t="n"/>
      <c r="K625" s="61" t="n"/>
      <c r="L625" s="61" t="n"/>
      <c r="M625" s="61" t="n"/>
      <c r="N625" s="58" t="n"/>
      <c r="O625" s="59" t="n"/>
      <c r="P625" s="62" t="n"/>
      <c r="Q625" s="63" t="n"/>
      <c r="R625" s="61">
        <f>IF($P625&gt;0,CHOOSE(MATCH($B$4,'Служебный лист'!$A$4:$A$8,0),I625,J625,K625,L625,M625),"")</f>
        <v/>
      </c>
      <c r="S625" s="61">
        <f>IFERROR($P625*$R625,0)</f>
        <v/>
      </c>
      <c r="T625" s="61">
        <f>$S625*1.22</f>
        <v/>
      </c>
      <c r="U625" s="64">
        <f>IF($P625&gt;0,COUNTIF($P$11:P625,"&gt;0"),"")</f>
        <v/>
      </c>
    </row>
    <row r="626" ht="14.25" customHeight="1" s="49">
      <c r="A626" s="58" t="n"/>
      <c r="B626" s="58" t="n"/>
      <c r="C626" s="59" t="n"/>
      <c r="D626" s="59" t="n"/>
      <c r="E626" s="59" t="n"/>
      <c r="F626" s="58" t="n"/>
      <c r="G626" s="60" t="n"/>
      <c r="H626" s="60" t="n"/>
      <c r="I626" s="61" t="n"/>
      <c r="J626" s="61" t="n"/>
      <c r="K626" s="61" t="n"/>
      <c r="L626" s="61" t="n"/>
      <c r="M626" s="61" t="n"/>
      <c r="N626" s="58" t="n"/>
      <c r="O626" s="59" t="n"/>
      <c r="P626" s="62" t="n"/>
      <c r="Q626" s="63" t="n"/>
      <c r="R626" s="61">
        <f>IF($P626&gt;0,CHOOSE(MATCH($B$4,'Служебный лист'!$A$4:$A$8,0),I626,J626,K626,L626,M626),"")</f>
        <v/>
      </c>
      <c r="S626" s="61">
        <f>IFERROR($P626*$R626,0)</f>
        <v/>
      </c>
      <c r="T626" s="61">
        <f>$S626*1.22</f>
        <v/>
      </c>
      <c r="U626" s="64">
        <f>IF($P626&gt;0,COUNTIF($P$11:P626,"&gt;0"),"")</f>
        <v/>
      </c>
    </row>
    <row r="627" ht="14.25" customHeight="1" s="49">
      <c r="A627" s="58" t="n"/>
      <c r="B627" s="58" t="n"/>
      <c r="C627" s="59" t="n"/>
      <c r="D627" s="59" t="n"/>
      <c r="E627" s="59" t="n"/>
      <c r="F627" s="58" t="n"/>
      <c r="G627" s="60" t="n"/>
      <c r="H627" s="60" t="n"/>
      <c r="I627" s="61" t="n"/>
      <c r="J627" s="61" t="n"/>
      <c r="K627" s="61" t="n"/>
      <c r="L627" s="61" t="n"/>
      <c r="M627" s="61" t="n"/>
      <c r="N627" s="58" t="n"/>
      <c r="O627" s="59" t="n"/>
      <c r="P627" s="62" t="n"/>
      <c r="Q627" s="63" t="n"/>
      <c r="R627" s="61">
        <f>IF($P627&gt;0,CHOOSE(MATCH($B$4,'Служебный лист'!$A$4:$A$8,0),I627,J627,K627,L627,M627),"")</f>
        <v/>
      </c>
      <c r="S627" s="61">
        <f>IFERROR($P627*$R627,0)</f>
        <v/>
      </c>
      <c r="T627" s="61">
        <f>$S627*1.22</f>
        <v/>
      </c>
      <c r="U627" s="64">
        <f>IF($P627&gt;0,COUNTIF($P$11:P627,"&gt;0"),"")</f>
        <v/>
      </c>
    </row>
    <row r="628" ht="14.25" customHeight="1" s="49">
      <c r="A628" s="58" t="n"/>
      <c r="B628" s="58" t="n"/>
      <c r="C628" s="59" t="n"/>
      <c r="D628" s="59" t="n"/>
      <c r="E628" s="59" t="n"/>
      <c r="F628" s="58" t="n"/>
      <c r="G628" s="60" t="n"/>
      <c r="H628" s="60" t="n"/>
      <c r="I628" s="61" t="n"/>
      <c r="J628" s="61" t="n"/>
      <c r="K628" s="61" t="n"/>
      <c r="L628" s="61" t="n"/>
      <c r="M628" s="61" t="n"/>
      <c r="N628" s="58" t="n"/>
      <c r="O628" s="59" t="n"/>
      <c r="P628" s="62" t="n"/>
      <c r="Q628" s="63" t="n"/>
      <c r="R628" s="61">
        <f>IF($P628&gt;0,CHOOSE(MATCH($B$4,'Служебный лист'!$A$4:$A$8,0),I628,J628,K628,L628,M628),"")</f>
        <v/>
      </c>
      <c r="S628" s="61">
        <f>IFERROR($P628*$R628,0)</f>
        <v/>
      </c>
      <c r="T628" s="61">
        <f>$S628*1.22</f>
        <v/>
      </c>
      <c r="U628" s="64">
        <f>IF($P628&gt;0,COUNTIF($P$11:P628,"&gt;0"),"")</f>
        <v/>
      </c>
    </row>
    <row r="629" ht="14.25" customHeight="1" s="49">
      <c r="A629" s="58" t="n"/>
      <c r="B629" s="58" t="n"/>
      <c r="C629" s="59" t="n"/>
      <c r="D629" s="59" t="n"/>
      <c r="E629" s="59" t="n"/>
      <c r="F629" s="58" t="n"/>
      <c r="G629" s="60" t="n"/>
      <c r="H629" s="60" t="n"/>
      <c r="I629" s="61" t="n"/>
      <c r="J629" s="61" t="n"/>
      <c r="K629" s="61" t="n"/>
      <c r="L629" s="61" t="n"/>
      <c r="M629" s="61" t="n"/>
      <c r="N629" s="58" t="n"/>
      <c r="O629" s="59" t="n"/>
      <c r="P629" s="62" t="n"/>
      <c r="Q629" s="63" t="n"/>
      <c r="R629" s="61">
        <f>IF($P629&gt;0,CHOOSE(MATCH($B$4,'Служебный лист'!$A$4:$A$8,0),I629,J629,K629,L629,M629),"")</f>
        <v/>
      </c>
      <c r="S629" s="61">
        <f>IFERROR($P629*$R629,0)</f>
        <v/>
      </c>
      <c r="T629" s="61">
        <f>$S629*1.22</f>
        <v/>
      </c>
      <c r="U629" s="64">
        <f>IF($P629&gt;0,COUNTIF($P$11:P629,"&gt;0"),"")</f>
        <v/>
      </c>
    </row>
    <row r="630" ht="14.25" customHeight="1" s="49">
      <c r="A630" s="58" t="n"/>
      <c r="B630" s="58" t="n"/>
      <c r="C630" s="59" t="n"/>
      <c r="D630" s="59" t="n"/>
      <c r="E630" s="59" t="n"/>
      <c r="F630" s="58" t="n"/>
      <c r="G630" s="60" t="n"/>
      <c r="H630" s="60" t="n"/>
      <c r="I630" s="61" t="n"/>
      <c r="J630" s="61" t="n"/>
      <c r="K630" s="61" t="n"/>
      <c r="L630" s="61" t="n"/>
      <c r="M630" s="61" t="n"/>
      <c r="N630" s="58" t="n"/>
      <c r="O630" s="59" t="n"/>
      <c r="P630" s="62" t="n"/>
      <c r="Q630" s="63" t="n"/>
      <c r="R630" s="61">
        <f>IF($P630&gt;0,CHOOSE(MATCH($B$4,'Служебный лист'!$A$4:$A$8,0),I630,J630,K630,L630,M630),"")</f>
        <v/>
      </c>
      <c r="S630" s="61">
        <f>IFERROR($P630*$R630,0)</f>
        <v/>
      </c>
      <c r="T630" s="61">
        <f>$S630*1.22</f>
        <v/>
      </c>
      <c r="U630" s="64">
        <f>IF($P630&gt;0,COUNTIF($P$11:P630,"&gt;0"),"")</f>
        <v/>
      </c>
    </row>
    <row r="631" ht="14.25" customHeight="1" s="49">
      <c r="A631" s="58" t="n"/>
      <c r="B631" s="58" t="n"/>
      <c r="C631" s="59" t="n"/>
      <c r="D631" s="59" t="n"/>
      <c r="E631" s="59" t="n"/>
      <c r="F631" s="58" t="n"/>
      <c r="G631" s="60" t="n"/>
      <c r="H631" s="60" t="n"/>
      <c r="I631" s="61" t="n"/>
      <c r="J631" s="61" t="n"/>
      <c r="K631" s="61" t="n"/>
      <c r="L631" s="61" t="n"/>
      <c r="M631" s="61" t="n"/>
      <c r="N631" s="58" t="n"/>
      <c r="O631" s="59" t="n"/>
      <c r="P631" s="62" t="n"/>
      <c r="Q631" s="63" t="n"/>
      <c r="R631" s="61">
        <f>IF($P631&gt;0,CHOOSE(MATCH($B$4,'Служебный лист'!$A$4:$A$8,0),I631,J631,K631,L631,M631),"")</f>
        <v/>
      </c>
      <c r="S631" s="61">
        <f>IFERROR($P631*$R631,0)</f>
        <v/>
      </c>
      <c r="T631" s="61">
        <f>$S631*1.22</f>
        <v/>
      </c>
      <c r="U631" s="64">
        <f>IF($P631&gt;0,COUNTIF($P$11:P631,"&gt;0"),"")</f>
        <v/>
      </c>
    </row>
    <row r="632" ht="14.25" customHeight="1" s="49">
      <c r="A632" s="58" t="n"/>
      <c r="B632" s="58" t="n"/>
      <c r="C632" s="59" t="n"/>
      <c r="D632" s="59" t="n"/>
      <c r="E632" s="59" t="n"/>
      <c r="F632" s="58" t="n"/>
      <c r="G632" s="60" t="n"/>
      <c r="H632" s="60" t="n"/>
      <c r="I632" s="61" t="n"/>
      <c r="J632" s="61" t="n"/>
      <c r="K632" s="61" t="n"/>
      <c r="L632" s="61" t="n"/>
      <c r="M632" s="61" t="n"/>
      <c r="N632" s="58" t="n"/>
      <c r="O632" s="59" t="n"/>
      <c r="P632" s="62" t="n"/>
      <c r="Q632" s="63" t="n"/>
      <c r="R632" s="61">
        <f>IF($P632&gt;0,CHOOSE(MATCH($B$4,'Служебный лист'!$A$4:$A$8,0),I632,J632,K632,L632,M632),"")</f>
        <v/>
      </c>
      <c r="S632" s="61">
        <f>IFERROR($P632*$R632,0)</f>
        <v/>
      </c>
      <c r="T632" s="61">
        <f>$S632*1.22</f>
        <v/>
      </c>
      <c r="U632" s="64">
        <f>IF($P632&gt;0,COUNTIF($P$11:P632,"&gt;0"),"")</f>
        <v/>
      </c>
    </row>
    <row r="633" ht="14.25" customHeight="1" s="49">
      <c r="A633" s="58" t="n"/>
      <c r="B633" s="58" t="n"/>
      <c r="C633" s="59" t="n"/>
      <c r="D633" s="59" t="n"/>
      <c r="E633" s="59" t="n"/>
      <c r="F633" s="58" t="n"/>
      <c r="G633" s="60" t="n"/>
      <c r="H633" s="60" t="n"/>
      <c r="I633" s="61" t="n"/>
      <c r="J633" s="61" t="n"/>
      <c r="K633" s="61" t="n"/>
      <c r="L633" s="61" t="n"/>
      <c r="M633" s="61" t="n"/>
      <c r="N633" s="58" t="n"/>
      <c r="O633" s="59" t="n"/>
      <c r="P633" s="62" t="n"/>
      <c r="Q633" s="63" t="n"/>
      <c r="R633" s="61">
        <f>IF($P633&gt;0,CHOOSE(MATCH($B$4,'Служебный лист'!$A$4:$A$8,0),I633,J633,K633,L633,M633),"")</f>
        <v/>
      </c>
      <c r="S633" s="61">
        <f>IFERROR($P633*$R633,0)</f>
        <v/>
      </c>
      <c r="T633" s="61">
        <f>$S633*1.22</f>
        <v/>
      </c>
      <c r="U633" s="64">
        <f>IF($P633&gt;0,COUNTIF($P$11:P633,"&gt;0"),"")</f>
        <v/>
      </c>
    </row>
    <row r="634" ht="14.25" customHeight="1" s="49">
      <c r="A634" s="58" t="n"/>
      <c r="B634" s="58" t="n"/>
      <c r="C634" s="59" t="n"/>
      <c r="D634" s="59" t="n"/>
      <c r="E634" s="59" t="n"/>
      <c r="F634" s="58" t="n"/>
      <c r="G634" s="60" t="n"/>
      <c r="H634" s="60" t="n"/>
      <c r="I634" s="61" t="n"/>
      <c r="J634" s="61" t="n"/>
      <c r="K634" s="61" t="n"/>
      <c r="L634" s="61" t="n"/>
      <c r="M634" s="61" t="n"/>
      <c r="N634" s="58" t="n"/>
      <c r="O634" s="59" t="n"/>
      <c r="P634" s="62" t="n"/>
      <c r="Q634" s="63" t="n"/>
      <c r="R634" s="61">
        <f>IF($P634&gt;0,CHOOSE(MATCH($B$4,'Служебный лист'!$A$4:$A$8,0),I634,J634,K634,L634,M634),"")</f>
        <v/>
      </c>
      <c r="S634" s="61">
        <f>IFERROR($P634*$R634,0)</f>
        <v/>
      </c>
      <c r="T634" s="61">
        <f>$S634*1.22</f>
        <v/>
      </c>
      <c r="U634" s="64">
        <f>IF($P634&gt;0,COUNTIF($P$11:P634,"&gt;0"),"")</f>
        <v/>
      </c>
    </row>
    <row r="635" ht="14.25" customHeight="1" s="49">
      <c r="A635" s="58" t="n"/>
      <c r="B635" s="58" t="n"/>
      <c r="C635" s="59" t="n"/>
      <c r="D635" s="59" t="n"/>
      <c r="E635" s="59" t="n"/>
      <c r="F635" s="58" t="n"/>
      <c r="G635" s="60" t="n"/>
      <c r="H635" s="60" t="n"/>
      <c r="I635" s="61" t="n"/>
      <c r="J635" s="61" t="n"/>
      <c r="K635" s="61" t="n"/>
      <c r="L635" s="61" t="n"/>
      <c r="M635" s="61" t="n"/>
      <c r="N635" s="58" t="n"/>
      <c r="O635" s="59" t="n"/>
      <c r="P635" s="62" t="n"/>
      <c r="Q635" s="63" t="n"/>
      <c r="R635" s="61">
        <f>IF($P635&gt;0,CHOOSE(MATCH($B$4,'Служебный лист'!$A$4:$A$8,0),I635,J635,K635,L635,M635),"")</f>
        <v/>
      </c>
      <c r="S635" s="61">
        <f>IFERROR($P635*$R635,0)</f>
        <v/>
      </c>
      <c r="T635" s="61">
        <f>$S635*1.22</f>
        <v/>
      </c>
      <c r="U635" s="64">
        <f>IF($P635&gt;0,COUNTIF($P$11:P635,"&gt;0"),"")</f>
        <v/>
      </c>
    </row>
    <row r="636" ht="14.25" customHeight="1" s="49">
      <c r="A636" s="58" t="n"/>
      <c r="B636" s="58" t="n"/>
      <c r="C636" s="59" t="n"/>
      <c r="D636" s="59" t="n"/>
      <c r="E636" s="59" t="n"/>
      <c r="F636" s="58" t="n"/>
      <c r="G636" s="60" t="n"/>
      <c r="H636" s="60" t="n"/>
      <c r="I636" s="61" t="n"/>
      <c r="J636" s="61" t="n"/>
      <c r="K636" s="61" t="n"/>
      <c r="L636" s="61" t="n"/>
      <c r="M636" s="61" t="n"/>
      <c r="N636" s="58" t="n"/>
      <c r="O636" s="59" t="n"/>
      <c r="P636" s="62" t="n"/>
      <c r="Q636" s="63" t="n"/>
      <c r="R636" s="61">
        <f>IF($P636&gt;0,CHOOSE(MATCH($B$4,'Служебный лист'!$A$4:$A$8,0),I636,J636,K636,L636,M636),"")</f>
        <v/>
      </c>
      <c r="S636" s="61">
        <f>IFERROR($P636*$R636,0)</f>
        <v/>
      </c>
      <c r="T636" s="61">
        <f>$S636*1.22</f>
        <v/>
      </c>
      <c r="U636" s="64">
        <f>IF($P636&gt;0,COUNTIF($P$11:P636,"&gt;0"),"")</f>
        <v/>
      </c>
    </row>
    <row r="637" ht="14.25" customHeight="1" s="49">
      <c r="A637" s="58" t="n"/>
      <c r="B637" s="58" t="n"/>
      <c r="C637" s="59" t="n"/>
      <c r="D637" s="59" t="n"/>
      <c r="E637" s="59" t="n"/>
      <c r="F637" s="58" t="n"/>
      <c r="G637" s="60" t="n"/>
      <c r="H637" s="60" t="n"/>
      <c r="I637" s="61" t="n"/>
      <c r="J637" s="61" t="n"/>
      <c r="K637" s="61" t="n"/>
      <c r="L637" s="61" t="n"/>
      <c r="M637" s="61" t="n"/>
      <c r="N637" s="58" t="n"/>
      <c r="O637" s="59" t="n"/>
      <c r="P637" s="62" t="n"/>
      <c r="Q637" s="63" t="n"/>
      <c r="R637" s="61">
        <f>IF($P637&gt;0,CHOOSE(MATCH($B$4,'Служебный лист'!$A$4:$A$8,0),I637,J637,K637,L637,M637),"")</f>
        <v/>
      </c>
      <c r="S637" s="61">
        <f>IFERROR($P637*$R637,0)</f>
        <v/>
      </c>
      <c r="T637" s="61">
        <f>$S637*1.22</f>
        <v/>
      </c>
      <c r="U637" s="64">
        <f>IF($P637&gt;0,COUNTIF($P$11:P637,"&gt;0"),"")</f>
        <v/>
      </c>
    </row>
    <row r="638" ht="14.25" customHeight="1" s="49">
      <c r="A638" s="58" t="n"/>
      <c r="B638" s="58" t="n"/>
      <c r="C638" s="59" t="n"/>
      <c r="D638" s="59" t="n"/>
      <c r="E638" s="59" t="n"/>
      <c r="F638" s="58" t="n"/>
      <c r="G638" s="60" t="n"/>
      <c r="H638" s="60" t="n"/>
      <c r="I638" s="61" t="n"/>
      <c r="J638" s="61" t="n"/>
      <c r="K638" s="61" t="n"/>
      <c r="L638" s="61" t="n"/>
      <c r="M638" s="61" t="n"/>
      <c r="N638" s="58" t="n"/>
      <c r="O638" s="59" t="n"/>
      <c r="P638" s="62" t="n"/>
      <c r="Q638" s="63" t="n"/>
      <c r="R638" s="61">
        <f>IF($P638&gt;0,CHOOSE(MATCH($B$4,'Служебный лист'!$A$4:$A$8,0),I638,J638,K638,L638,M638),"")</f>
        <v/>
      </c>
      <c r="S638" s="61">
        <f>IFERROR($P638*$R638,0)</f>
        <v/>
      </c>
      <c r="T638" s="61">
        <f>$S638*1.22</f>
        <v/>
      </c>
      <c r="U638" s="64">
        <f>IF($P638&gt;0,COUNTIF($P$11:P638,"&gt;0"),"")</f>
        <v/>
      </c>
    </row>
    <row r="639" ht="14.25" customHeight="1" s="49">
      <c r="A639" s="58" t="n"/>
      <c r="B639" s="58" t="n"/>
      <c r="C639" s="59" t="n"/>
      <c r="D639" s="59" t="n"/>
      <c r="E639" s="59" t="n"/>
      <c r="F639" s="58" t="n"/>
      <c r="G639" s="60" t="n"/>
      <c r="H639" s="60" t="n"/>
      <c r="I639" s="61" t="n"/>
      <c r="J639" s="61" t="n"/>
      <c r="K639" s="61" t="n"/>
      <c r="L639" s="61" t="n"/>
      <c r="M639" s="61" t="n"/>
      <c r="N639" s="58" t="n"/>
      <c r="O639" s="59" t="n"/>
      <c r="P639" s="62" t="n"/>
      <c r="Q639" s="63" t="n"/>
      <c r="R639" s="61">
        <f>IF($P639&gt;0,CHOOSE(MATCH($B$4,'Служебный лист'!$A$4:$A$8,0),I639,J639,K639,L639,M639),"")</f>
        <v/>
      </c>
      <c r="S639" s="61">
        <f>IFERROR($P639*$R639,0)</f>
        <v/>
      </c>
      <c r="T639" s="61">
        <f>$S639*1.22</f>
        <v/>
      </c>
      <c r="U639" s="64">
        <f>IF($P639&gt;0,COUNTIF($P$11:P639,"&gt;0"),"")</f>
        <v/>
      </c>
    </row>
    <row r="640" ht="14.25" customHeight="1" s="49">
      <c r="A640" s="58" t="n"/>
      <c r="B640" s="58" t="n"/>
      <c r="C640" s="59" t="n"/>
      <c r="D640" s="59" t="n"/>
      <c r="E640" s="59" t="n"/>
      <c r="F640" s="58" t="n"/>
      <c r="G640" s="60" t="n"/>
      <c r="H640" s="60" t="n"/>
      <c r="I640" s="61" t="n"/>
      <c r="J640" s="61" t="n"/>
      <c r="K640" s="61" t="n"/>
      <c r="L640" s="61" t="n"/>
      <c r="M640" s="61" t="n"/>
      <c r="N640" s="58" t="n"/>
      <c r="O640" s="59" t="n"/>
      <c r="P640" s="62" t="n"/>
      <c r="Q640" s="63" t="n"/>
      <c r="R640" s="61">
        <f>IF($P640&gt;0,CHOOSE(MATCH($B$4,'Служебный лист'!$A$4:$A$8,0),I640,J640,K640,L640,M640),"")</f>
        <v/>
      </c>
      <c r="S640" s="61">
        <f>IFERROR($P640*$R640,0)</f>
        <v/>
      </c>
      <c r="T640" s="61">
        <f>$S640*1.22</f>
        <v/>
      </c>
      <c r="U640" s="64">
        <f>IF($P640&gt;0,COUNTIF($P$11:P640,"&gt;0"),"")</f>
        <v/>
      </c>
    </row>
    <row r="641" ht="14.25" customHeight="1" s="49">
      <c r="A641" s="58" t="n"/>
      <c r="B641" s="58" t="n"/>
      <c r="C641" s="59" t="n"/>
      <c r="D641" s="59" t="n"/>
      <c r="E641" s="59" t="n"/>
      <c r="F641" s="58" t="n"/>
      <c r="G641" s="60" t="n"/>
      <c r="H641" s="60" t="n"/>
      <c r="I641" s="61" t="n"/>
      <c r="J641" s="61" t="n"/>
      <c r="K641" s="61" t="n"/>
      <c r="L641" s="61" t="n"/>
      <c r="M641" s="61" t="n"/>
      <c r="N641" s="58" t="n"/>
      <c r="O641" s="59" t="n"/>
      <c r="P641" s="62" t="n"/>
      <c r="Q641" s="63" t="n"/>
      <c r="R641" s="61">
        <f>IF($P641&gt;0,CHOOSE(MATCH($B$4,'Служебный лист'!$A$4:$A$8,0),I641,J641,K641,L641,M641),"")</f>
        <v/>
      </c>
      <c r="S641" s="61">
        <f>IFERROR($P641*$R641,0)</f>
        <v/>
      </c>
      <c r="T641" s="61">
        <f>$S641*1.22</f>
        <v/>
      </c>
      <c r="U641" s="64">
        <f>IF($P641&gt;0,COUNTIF($P$11:P641,"&gt;0"),"")</f>
        <v/>
      </c>
    </row>
    <row r="642" ht="14.25" customHeight="1" s="49">
      <c r="A642" s="58" t="n"/>
      <c r="B642" s="58" t="n"/>
      <c r="C642" s="59" t="n"/>
      <c r="D642" s="59" t="n"/>
      <c r="E642" s="59" t="n"/>
      <c r="F642" s="58" t="n"/>
      <c r="G642" s="60" t="n"/>
      <c r="H642" s="60" t="n"/>
      <c r="I642" s="61" t="n"/>
      <c r="J642" s="61" t="n"/>
      <c r="K642" s="61" t="n"/>
      <c r="L642" s="61" t="n"/>
      <c r="M642" s="61" t="n"/>
      <c r="N642" s="58" t="n"/>
      <c r="O642" s="59" t="n"/>
      <c r="P642" s="62" t="n"/>
      <c r="Q642" s="63" t="n"/>
      <c r="R642" s="61">
        <f>IF($P642&gt;0,CHOOSE(MATCH($B$4,'Служебный лист'!$A$4:$A$8,0),I642,J642,K642,L642,M642),"")</f>
        <v/>
      </c>
      <c r="S642" s="61">
        <f>IFERROR($P642*$R642,0)</f>
        <v/>
      </c>
      <c r="T642" s="61">
        <f>$S642*1.22</f>
        <v/>
      </c>
      <c r="U642" s="64">
        <f>IF($P642&gt;0,COUNTIF($P$11:P642,"&gt;0"),"")</f>
        <v/>
      </c>
    </row>
    <row r="643" ht="14.25" customHeight="1" s="49">
      <c r="A643" s="58" t="n"/>
      <c r="B643" s="58" t="n"/>
      <c r="C643" s="59" t="n"/>
      <c r="D643" s="59" t="n"/>
      <c r="E643" s="59" t="n"/>
      <c r="F643" s="58" t="n"/>
      <c r="G643" s="60" t="n"/>
      <c r="H643" s="60" t="n"/>
      <c r="I643" s="61" t="n"/>
      <c r="J643" s="61" t="n"/>
      <c r="K643" s="61" t="n"/>
      <c r="L643" s="61" t="n"/>
      <c r="M643" s="61" t="n"/>
      <c r="N643" s="58" t="n"/>
      <c r="O643" s="59" t="n"/>
      <c r="P643" s="62" t="n"/>
      <c r="Q643" s="63" t="n"/>
      <c r="R643" s="61">
        <f>IF($P643&gt;0,CHOOSE(MATCH($B$4,'Служебный лист'!$A$4:$A$8,0),I643,J643,K643,L643,M643),"")</f>
        <v/>
      </c>
      <c r="S643" s="61">
        <f>IFERROR($P643*$R643,0)</f>
        <v/>
      </c>
      <c r="T643" s="61">
        <f>$S643*1.22</f>
        <v/>
      </c>
      <c r="U643" s="64">
        <f>IF($P643&gt;0,COUNTIF($P$11:P643,"&gt;0"),"")</f>
        <v/>
      </c>
    </row>
    <row r="644" ht="14.25" customHeight="1" s="49">
      <c r="A644" s="58" t="n"/>
      <c r="B644" s="58" t="n"/>
      <c r="C644" s="59" t="n"/>
      <c r="D644" s="59" t="n"/>
      <c r="E644" s="59" t="n"/>
      <c r="F644" s="58" t="n"/>
      <c r="G644" s="60" t="n"/>
      <c r="H644" s="60" t="n"/>
      <c r="I644" s="61" t="n"/>
      <c r="J644" s="61" t="n"/>
      <c r="K644" s="61" t="n"/>
      <c r="L644" s="61" t="n"/>
      <c r="M644" s="61" t="n"/>
      <c r="N644" s="58" t="n"/>
      <c r="O644" s="59" t="n"/>
      <c r="P644" s="62" t="n"/>
      <c r="Q644" s="63" t="n"/>
      <c r="R644" s="61">
        <f>IF($P644&gt;0,CHOOSE(MATCH($B$4,'Служебный лист'!$A$4:$A$8,0),I644,J644,K644,L644,M644),"")</f>
        <v/>
      </c>
      <c r="S644" s="61">
        <f>IFERROR($P644*$R644,0)</f>
        <v/>
      </c>
      <c r="T644" s="61">
        <f>$S644*1.22</f>
        <v/>
      </c>
      <c r="U644" s="64">
        <f>IF($P644&gt;0,COUNTIF($P$11:P644,"&gt;0"),"")</f>
        <v/>
      </c>
    </row>
    <row r="645" ht="14.25" customHeight="1" s="49">
      <c r="A645" s="58" t="n"/>
      <c r="B645" s="58" t="n"/>
      <c r="C645" s="59" t="n"/>
      <c r="D645" s="59" t="n"/>
      <c r="E645" s="59" t="n"/>
      <c r="F645" s="58" t="n"/>
      <c r="G645" s="60" t="n"/>
      <c r="H645" s="60" t="n"/>
      <c r="I645" s="61" t="n"/>
      <c r="J645" s="61" t="n"/>
      <c r="K645" s="61" t="n"/>
      <c r="L645" s="61" t="n"/>
      <c r="M645" s="61" t="n"/>
      <c r="N645" s="58" t="n"/>
      <c r="O645" s="59" t="n"/>
      <c r="P645" s="62" t="n"/>
      <c r="Q645" s="63" t="n"/>
      <c r="R645" s="61">
        <f>IF($P645&gt;0,CHOOSE(MATCH($B$4,'Служебный лист'!$A$4:$A$8,0),I645,J645,K645,L645,M645),"")</f>
        <v/>
      </c>
      <c r="S645" s="61">
        <f>IFERROR($P645*$R645,0)</f>
        <v/>
      </c>
      <c r="T645" s="61">
        <f>$S645*1.22</f>
        <v/>
      </c>
      <c r="U645" s="64">
        <f>IF($P645&gt;0,COUNTIF($P$11:P645,"&gt;0"),"")</f>
        <v/>
      </c>
    </row>
    <row r="646" ht="14.25" customHeight="1" s="49">
      <c r="A646" s="58" t="n"/>
      <c r="B646" s="58" t="n"/>
      <c r="C646" s="59" t="n"/>
      <c r="D646" s="59" t="n"/>
      <c r="E646" s="59" t="n"/>
      <c r="F646" s="58" t="n"/>
      <c r="G646" s="60" t="n"/>
      <c r="H646" s="60" t="n"/>
      <c r="I646" s="61" t="n"/>
      <c r="J646" s="61" t="n"/>
      <c r="K646" s="61" t="n"/>
      <c r="L646" s="61" t="n"/>
      <c r="M646" s="61" t="n"/>
      <c r="N646" s="58" t="n"/>
      <c r="O646" s="59" t="n"/>
      <c r="P646" s="62" t="n"/>
      <c r="Q646" s="63" t="n"/>
      <c r="R646" s="61">
        <f>IF($P646&gt;0,CHOOSE(MATCH($B$4,'Служебный лист'!$A$4:$A$8,0),I646,J646,K646,L646,M646),"")</f>
        <v/>
      </c>
      <c r="S646" s="61">
        <f>IFERROR($P646*$R646,0)</f>
        <v/>
      </c>
      <c r="T646" s="61">
        <f>$S646*1.22</f>
        <v/>
      </c>
      <c r="U646" s="64">
        <f>IF($P646&gt;0,COUNTIF($P$11:P646,"&gt;0"),"")</f>
        <v/>
      </c>
    </row>
    <row r="647" ht="14.25" customHeight="1" s="49">
      <c r="A647" s="58" t="n"/>
      <c r="B647" s="58" t="n"/>
      <c r="C647" s="59" t="n"/>
      <c r="D647" s="59" t="n"/>
      <c r="E647" s="59" t="n"/>
      <c r="F647" s="58" t="n"/>
      <c r="G647" s="60" t="n"/>
      <c r="H647" s="60" t="n"/>
      <c r="I647" s="61" t="n"/>
      <c r="J647" s="61" t="n"/>
      <c r="K647" s="61" t="n"/>
      <c r="L647" s="61" t="n"/>
      <c r="M647" s="61" t="n"/>
      <c r="N647" s="58" t="n"/>
      <c r="O647" s="59" t="n"/>
      <c r="P647" s="62" t="n"/>
      <c r="Q647" s="63" t="n"/>
      <c r="R647" s="61">
        <f>IF($P647&gt;0,CHOOSE(MATCH($B$4,'Служебный лист'!$A$4:$A$8,0),I647,J647,K647,L647,M647),"")</f>
        <v/>
      </c>
      <c r="S647" s="61">
        <f>IFERROR($P647*$R647,0)</f>
        <v/>
      </c>
      <c r="T647" s="61">
        <f>$S647*1.22</f>
        <v/>
      </c>
      <c r="U647" s="64">
        <f>IF($P647&gt;0,COUNTIF($P$11:P647,"&gt;0"),"")</f>
        <v/>
      </c>
    </row>
    <row r="648" ht="14.25" customHeight="1" s="49">
      <c r="A648" s="58" t="n"/>
      <c r="B648" s="58" t="n"/>
      <c r="C648" s="59" t="n"/>
      <c r="D648" s="59" t="n"/>
      <c r="E648" s="59" t="n"/>
      <c r="F648" s="58" t="n"/>
      <c r="G648" s="60" t="n"/>
      <c r="H648" s="60" t="n"/>
      <c r="I648" s="61" t="n"/>
      <c r="J648" s="61" t="n"/>
      <c r="K648" s="61" t="n"/>
      <c r="L648" s="61" t="n"/>
      <c r="M648" s="61" t="n"/>
      <c r="N648" s="58" t="n"/>
      <c r="O648" s="59" t="n"/>
      <c r="P648" s="62" t="n"/>
      <c r="Q648" s="63" t="n"/>
      <c r="R648" s="61">
        <f>IF($P648&gt;0,CHOOSE(MATCH($B$4,'Служебный лист'!$A$4:$A$8,0),I648,J648,K648,L648,M648),"")</f>
        <v/>
      </c>
      <c r="S648" s="61">
        <f>IFERROR($P648*$R648,0)</f>
        <v/>
      </c>
      <c r="T648" s="61">
        <f>$S648*1.22</f>
        <v/>
      </c>
      <c r="U648" s="64">
        <f>IF($P648&gt;0,COUNTIF($P$11:P648,"&gt;0"),"")</f>
        <v/>
      </c>
    </row>
    <row r="649" ht="14.25" customHeight="1" s="49">
      <c r="A649" s="58" t="n"/>
      <c r="B649" s="58" t="n"/>
      <c r="C649" s="59" t="n"/>
      <c r="D649" s="59" t="n"/>
      <c r="E649" s="59" t="n"/>
      <c r="F649" s="58" t="n"/>
      <c r="G649" s="60" t="n"/>
      <c r="H649" s="60" t="n"/>
      <c r="I649" s="61" t="n"/>
      <c r="J649" s="61" t="n"/>
      <c r="K649" s="61" t="n"/>
      <c r="L649" s="61" t="n"/>
      <c r="M649" s="61" t="n"/>
      <c r="N649" s="58" t="n"/>
      <c r="O649" s="59" t="n"/>
      <c r="P649" s="62" t="n"/>
      <c r="Q649" s="63" t="n"/>
      <c r="R649" s="61">
        <f>IF($P649&gt;0,CHOOSE(MATCH($B$4,'Служебный лист'!$A$4:$A$8,0),I649,J649,K649,L649,M649),"")</f>
        <v/>
      </c>
      <c r="S649" s="61">
        <f>IFERROR($P649*$R649,0)</f>
        <v/>
      </c>
      <c r="T649" s="61">
        <f>$S649*1.22</f>
        <v/>
      </c>
      <c r="U649" s="64">
        <f>IF($P649&gt;0,COUNTIF($P$11:P649,"&gt;0"),"")</f>
        <v/>
      </c>
    </row>
    <row r="650" ht="14.25" customHeight="1" s="49">
      <c r="A650" s="58" t="n"/>
      <c r="B650" s="58" t="n"/>
      <c r="C650" s="59" t="n"/>
      <c r="D650" s="59" t="n"/>
      <c r="E650" s="59" t="n"/>
      <c r="F650" s="58" t="n"/>
      <c r="G650" s="60" t="n"/>
      <c r="H650" s="60" t="n"/>
      <c r="I650" s="61" t="n"/>
      <c r="J650" s="61" t="n"/>
      <c r="K650" s="61" t="n"/>
      <c r="L650" s="61" t="n"/>
      <c r="M650" s="61" t="n"/>
      <c r="N650" s="58" t="n"/>
      <c r="O650" s="59" t="n"/>
      <c r="P650" s="62" t="n"/>
      <c r="Q650" s="63" t="n"/>
      <c r="R650" s="61">
        <f>IF($P650&gt;0,CHOOSE(MATCH($B$4,'Служебный лист'!$A$4:$A$8,0),I650,J650,K650,L650,M650),"")</f>
        <v/>
      </c>
      <c r="S650" s="61">
        <f>IFERROR($P650*$R650,0)</f>
        <v/>
      </c>
      <c r="T650" s="61">
        <f>$S650*1.22</f>
        <v/>
      </c>
      <c r="U650" s="64">
        <f>IF($P650&gt;0,COUNTIF($P$11:P650,"&gt;0"),"")</f>
        <v/>
      </c>
    </row>
    <row r="651" ht="14.25" customHeight="1" s="49">
      <c r="A651" s="58" t="n"/>
      <c r="B651" s="58" t="n"/>
      <c r="C651" s="59" t="n"/>
      <c r="D651" s="59" t="n"/>
      <c r="E651" s="59" t="n"/>
      <c r="F651" s="58" t="n"/>
      <c r="G651" s="60" t="n"/>
      <c r="H651" s="60" t="n"/>
      <c r="I651" s="61" t="n"/>
      <c r="J651" s="61" t="n"/>
      <c r="K651" s="61" t="n"/>
      <c r="L651" s="61" t="n"/>
      <c r="M651" s="61" t="n"/>
      <c r="N651" s="58" t="n"/>
      <c r="O651" s="59" t="n"/>
      <c r="P651" s="62" t="n"/>
      <c r="Q651" s="63" t="n"/>
      <c r="R651" s="61">
        <f>IF($P651&gt;0,CHOOSE(MATCH($B$4,'Служебный лист'!$A$4:$A$8,0),I651,J651,K651,L651,M651),"")</f>
        <v/>
      </c>
      <c r="S651" s="61">
        <f>IFERROR($P651*$R651,0)</f>
        <v/>
      </c>
      <c r="T651" s="61">
        <f>$S651*1.22</f>
        <v/>
      </c>
      <c r="U651" s="64">
        <f>IF($P651&gt;0,COUNTIF($P$11:P651,"&gt;0"),"")</f>
        <v/>
      </c>
    </row>
    <row r="652" ht="14.25" customHeight="1" s="49">
      <c r="A652" s="58" t="n"/>
      <c r="B652" s="58" t="n"/>
      <c r="C652" s="59" t="n"/>
      <c r="D652" s="59" t="n"/>
      <c r="E652" s="59" t="n"/>
      <c r="F652" s="58" t="n"/>
      <c r="G652" s="60" t="n"/>
      <c r="H652" s="60" t="n"/>
      <c r="I652" s="61" t="n"/>
      <c r="J652" s="61" t="n"/>
      <c r="K652" s="61" t="n"/>
      <c r="L652" s="61" t="n"/>
      <c r="M652" s="61" t="n"/>
      <c r="N652" s="58" t="n"/>
      <c r="O652" s="59" t="n"/>
      <c r="P652" s="62" t="n"/>
      <c r="Q652" s="63" t="n"/>
      <c r="R652" s="61">
        <f>IF($P652&gt;0,CHOOSE(MATCH($B$4,'Служебный лист'!$A$4:$A$8,0),I652,J652,K652,L652,M652),"")</f>
        <v/>
      </c>
      <c r="S652" s="61">
        <f>IFERROR($P652*$R652,0)</f>
        <v/>
      </c>
      <c r="T652" s="61">
        <f>$S652*1.22</f>
        <v/>
      </c>
      <c r="U652" s="64">
        <f>IF($P652&gt;0,COUNTIF($P$11:P652,"&gt;0"),"")</f>
        <v/>
      </c>
    </row>
    <row r="653" ht="14.25" customHeight="1" s="49">
      <c r="A653" s="58" t="n"/>
      <c r="B653" s="58" t="n"/>
      <c r="C653" s="59" t="n"/>
      <c r="D653" s="59" t="n"/>
      <c r="E653" s="59" t="n"/>
      <c r="F653" s="58" t="n"/>
      <c r="G653" s="60" t="n"/>
      <c r="H653" s="60" t="n"/>
      <c r="I653" s="61" t="n"/>
      <c r="J653" s="61" t="n"/>
      <c r="K653" s="61" t="n"/>
      <c r="L653" s="61" t="n"/>
      <c r="M653" s="61" t="n"/>
      <c r="N653" s="58" t="n"/>
      <c r="O653" s="59" t="n"/>
      <c r="P653" s="62" t="n"/>
      <c r="Q653" s="63" t="n"/>
      <c r="R653" s="61">
        <f>IF($P653&gt;0,CHOOSE(MATCH($B$4,'Служебный лист'!$A$4:$A$8,0),I653,J653,K653,L653,M653),"")</f>
        <v/>
      </c>
      <c r="S653" s="61">
        <f>IFERROR($P653*$R653,0)</f>
        <v/>
      </c>
      <c r="T653" s="61">
        <f>$S653*1.22</f>
        <v/>
      </c>
      <c r="U653" s="64">
        <f>IF($P653&gt;0,COUNTIF($P$11:P653,"&gt;0"),"")</f>
        <v/>
      </c>
    </row>
    <row r="654" ht="14.25" customHeight="1" s="49">
      <c r="A654" s="58" t="n"/>
      <c r="B654" s="58" t="n"/>
      <c r="C654" s="59" t="n"/>
      <c r="D654" s="59" t="n"/>
      <c r="E654" s="59" t="n"/>
      <c r="F654" s="58" t="n"/>
      <c r="G654" s="60" t="n"/>
      <c r="H654" s="60" t="n"/>
      <c r="I654" s="61" t="n"/>
      <c r="J654" s="61" t="n"/>
      <c r="K654" s="61" t="n"/>
      <c r="L654" s="61" t="n"/>
      <c r="M654" s="61" t="n"/>
      <c r="N654" s="58" t="n"/>
      <c r="O654" s="59" t="n"/>
      <c r="P654" s="62" t="n"/>
      <c r="Q654" s="63" t="n"/>
      <c r="R654" s="61">
        <f>IF($P654&gt;0,CHOOSE(MATCH($B$4,'Служебный лист'!$A$4:$A$8,0),I654,J654,K654,L654,M654),"")</f>
        <v/>
      </c>
      <c r="S654" s="61">
        <f>IFERROR($P654*$R654,0)</f>
        <v/>
      </c>
      <c r="T654" s="61">
        <f>$S654*1.22</f>
        <v/>
      </c>
      <c r="U654" s="64">
        <f>IF($P654&gt;0,COUNTIF($P$11:P654,"&gt;0"),"")</f>
        <v/>
      </c>
    </row>
    <row r="655" ht="14.25" customHeight="1" s="49">
      <c r="A655" s="58" t="n"/>
      <c r="B655" s="58" t="n"/>
      <c r="C655" s="59" t="n"/>
      <c r="D655" s="59" t="n"/>
      <c r="E655" s="59" t="n"/>
      <c r="F655" s="58" t="n"/>
      <c r="G655" s="60" t="n"/>
      <c r="H655" s="60" t="n"/>
      <c r="I655" s="61" t="n"/>
      <c r="J655" s="61" t="n"/>
      <c r="K655" s="61" t="n"/>
      <c r="L655" s="61" t="n"/>
      <c r="M655" s="61" t="n"/>
      <c r="N655" s="58" t="n"/>
      <c r="O655" s="59" t="n"/>
      <c r="P655" s="62" t="n"/>
      <c r="Q655" s="63" t="n"/>
      <c r="R655" s="61">
        <f>IF($P655&gt;0,CHOOSE(MATCH($B$4,'Служебный лист'!$A$4:$A$8,0),I655,J655,K655,L655,M655),"")</f>
        <v/>
      </c>
      <c r="S655" s="61">
        <f>IFERROR($P655*$R655,0)</f>
        <v/>
      </c>
      <c r="T655" s="61">
        <f>$S655*1.22</f>
        <v/>
      </c>
      <c r="U655" s="64">
        <f>IF($P655&gt;0,COUNTIF($P$11:P655,"&gt;0"),"")</f>
        <v/>
      </c>
    </row>
    <row r="656" ht="14.25" customHeight="1" s="49">
      <c r="A656" s="58" t="n"/>
      <c r="B656" s="58" t="n"/>
      <c r="C656" s="59" t="n"/>
      <c r="D656" s="59" t="n"/>
      <c r="E656" s="59" t="n"/>
      <c r="F656" s="58" t="n"/>
      <c r="G656" s="60" t="n"/>
      <c r="H656" s="60" t="n"/>
      <c r="I656" s="61" t="n"/>
      <c r="J656" s="61" t="n"/>
      <c r="K656" s="61" t="n"/>
      <c r="L656" s="61" t="n"/>
      <c r="M656" s="61" t="n"/>
      <c r="N656" s="58" t="n"/>
      <c r="O656" s="59" t="n"/>
      <c r="P656" s="62" t="n"/>
      <c r="Q656" s="63" t="n"/>
      <c r="R656" s="61">
        <f>IF($P656&gt;0,CHOOSE(MATCH($B$4,'Служебный лист'!$A$4:$A$8,0),I656,J656,K656,L656,M656),"")</f>
        <v/>
      </c>
      <c r="S656" s="61">
        <f>IFERROR($P656*$R656,0)</f>
        <v/>
      </c>
      <c r="T656" s="61">
        <f>$S656*1.22</f>
        <v/>
      </c>
      <c r="U656" s="64">
        <f>IF($P656&gt;0,COUNTIF($P$11:P656,"&gt;0"),"")</f>
        <v/>
      </c>
    </row>
    <row r="657" ht="14.25" customHeight="1" s="49">
      <c r="A657" s="58" t="n"/>
      <c r="B657" s="58" t="n"/>
      <c r="C657" s="59" t="n"/>
      <c r="D657" s="59" t="n"/>
      <c r="E657" s="59" t="n"/>
      <c r="F657" s="58" t="n"/>
      <c r="G657" s="60" t="n"/>
      <c r="H657" s="60" t="n"/>
      <c r="I657" s="61" t="n"/>
      <c r="J657" s="61" t="n"/>
      <c r="K657" s="61" t="n"/>
      <c r="L657" s="61" t="n"/>
      <c r="M657" s="61" t="n"/>
      <c r="N657" s="58" t="n"/>
      <c r="O657" s="59" t="n"/>
      <c r="P657" s="62" t="n"/>
      <c r="Q657" s="63" t="n"/>
      <c r="R657" s="61">
        <f>IF($P657&gt;0,CHOOSE(MATCH($B$4,'Служебный лист'!$A$4:$A$8,0),I657,J657,K657,L657,M657),"")</f>
        <v/>
      </c>
      <c r="S657" s="61">
        <f>IFERROR($P657*$R657,0)</f>
        <v/>
      </c>
      <c r="T657" s="61">
        <f>$S657*1.22</f>
        <v/>
      </c>
      <c r="U657" s="64">
        <f>IF($P657&gt;0,COUNTIF($P$11:P657,"&gt;0"),"")</f>
        <v/>
      </c>
    </row>
    <row r="658" ht="14.25" customHeight="1" s="49">
      <c r="A658" s="58" t="n"/>
      <c r="B658" s="58" t="n"/>
      <c r="C658" s="59" t="n"/>
      <c r="D658" s="59" t="n"/>
      <c r="E658" s="59" t="n"/>
      <c r="F658" s="58" t="n"/>
      <c r="G658" s="60" t="n"/>
      <c r="H658" s="60" t="n"/>
      <c r="I658" s="61" t="n"/>
      <c r="J658" s="61" t="n"/>
      <c r="K658" s="61" t="n"/>
      <c r="L658" s="61" t="n"/>
      <c r="M658" s="61" t="n"/>
      <c r="N658" s="58" t="n"/>
      <c r="O658" s="59" t="n"/>
      <c r="P658" s="62" t="n"/>
      <c r="Q658" s="63" t="n"/>
      <c r="R658" s="61">
        <f>IF($P658&gt;0,CHOOSE(MATCH($B$4,'Служебный лист'!$A$4:$A$8,0),I658,J658,K658,L658,M658),"")</f>
        <v/>
      </c>
      <c r="S658" s="61">
        <f>IFERROR($P658*$R658,0)</f>
        <v/>
      </c>
      <c r="T658" s="61">
        <f>$S658*1.22</f>
        <v/>
      </c>
      <c r="U658" s="64">
        <f>IF($P658&gt;0,COUNTIF($P$11:P658,"&gt;0"),"")</f>
        <v/>
      </c>
    </row>
    <row r="659" ht="14.25" customHeight="1" s="49">
      <c r="A659" s="58" t="n"/>
      <c r="B659" s="58" t="n"/>
      <c r="C659" s="59" t="n"/>
      <c r="D659" s="59" t="n"/>
      <c r="E659" s="59" t="n"/>
      <c r="F659" s="58" t="n"/>
      <c r="G659" s="60" t="n"/>
      <c r="H659" s="60" t="n"/>
      <c r="I659" s="61" t="n"/>
      <c r="J659" s="61" t="n"/>
      <c r="K659" s="61" t="n"/>
      <c r="L659" s="61" t="n"/>
      <c r="M659" s="61" t="n"/>
      <c r="N659" s="58" t="n"/>
      <c r="O659" s="59" t="n"/>
      <c r="P659" s="62" t="n"/>
      <c r="Q659" s="63" t="n"/>
      <c r="R659" s="61">
        <f>IF($P659&gt;0,CHOOSE(MATCH($B$4,'Служебный лист'!$A$4:$A$8,0),I659,J659,K659,L659,M659),"")</f>
        <v/>
      </c>
      <c r="S659" s="61">
        <f>IFERROR($P659*$R659,0)</f>
        <v/>
      </c>
      <c r="T659" s="61">
        <f>$S659*1.22</f>
        <v/>
      </c>
      <c r="U659" s="64">
        <f>IF($P659&gt;0,COUNTIF($P$11:P659,"&gt;0"),"")</f>
        <v/>
      </c>
    </row>
    <row r="660" ht="14.25" customHeight="1" s="49">
      <c r="A660" s="58" t="n"/>
      <c r="B660" s="58" t="n"/>
      <c r="C660" s="59" t="n"/>
      <c r="D660" s="59" t="n"/>
      <c r="E660" s="59" t="n"/>
      <c r="F660" s="58" t="n"/>
      <c r="G660" s="60" t="n"/>
      <c r="H660" s="60" t="n"/>
      <c r="I660" s="61" t="n"/>
      <c r="J660" s="61" t="n"/>
      <c r="K660" s="61" t="n"/>
      <c r="L660" s="61" t="n"/>
      <c r="M660" s="61" t="n"/>
      <c r="N660" s="58" t="n"/>
      <c r="O660" s="59" t="n"/>
      <c r="P660" s="62" t="n"/>
      <c r="Q660" s="63" t="n"/>
      <c r="R660" s="61">
        <f>IF($P660&gt;0,CHOOSE(MATCH($B$4,'Служебный лист'!$A$4:$A$8,0),I660,J660,K660,L660,M660),"")</f>
        <v/>
      </c>
      <c r="S660" s="61">
        <f>IFERROR($P660*$R660,0)</f>
        <v/>
      </c>
      <c r="T660" s="61">
        <f>$S660*1.22</f>
        <v/>
      </c>
      <c r="U660" s="64">
        <f>IF($P660&gt;0,COUNTIF($P$11:P660,"&gt;0"),"")</f>
        <v/>
      </c>
    </row>
    <row r="661" ht="14.25" customHeight="1" s="49">
      <c r="A661" s="58" t="n"/>
      <c r="B661" s="58" t="n"/>
      <c r="C661" s="59" t="n"/>
      <c r="D661" s="59" t="n"/>
      <c r="E661" s="59" t="n"/>
      <c r="F661" s="58" t="n"/>
      <c r="G661" s="60" t="n"/>
      <c r="H661" s="60" t="n"/>
      <c r="I661" s="61" t="n"/>
      <c r="J661" s="61" t="n"/>
      <c r="K661" s="61" t="n"/>
      <c r="L661" s="61" t="n"/>
      <c r="M661" s="61" t="n"/>
      <c r="N661" s="58" t="n"/>
      <c r="O661" s="59" t="n"/>
      <c r="P661" s="62" t="n"/>
      <c r="Q661" s="63" t="n"/>
      <c r="R661" s="61">
        <f>IF($P661&gt;0,CHOOSE(MATCH($B$4,'Служебный лист'!$A$4:$A$8,0),I661,J661,K661,L661,M661),"")</f>
        <v/>
      </c>
      <c r="S661" s="61">
        <f>IFERROR($P661*$R661,0)</f>
        <v/>
      </c>
      <c r="T661" s="61">
        <f>$S661*1.22</f>
        <v/>
      </c>
      <c r="U661" s="64">
        <f>IF($P661&gt;0,COUNTIF($P$11:P661,"&gt;0"),"")</f>
        <v/>
      </c>
    </row>
    <row r="662" ht="14.25" customHeight="1" s="49">
      <c r="A662" s="58" t="n"/>
      <c r="B662" s="58" t="n"/>
      <c r="C662" s="59" t="n"/>
      <c r="D662" s="59" t="n"/>
      <c r="E662" s="59" t="n"/>
      <c r="F662" s="58" t="n"/>
      <c r="G662" s="60" t="n"/>
      <c r="H662" s="60" t="n"/>
      <c r="I662" s="61" t="n"/>
      <c r="J662" s="61" t="n"/>
      <c r="K662" s="61" t="n"/>
      <c r="L662" s="61" t="n"/>
      <c r="M662" s="61" t="n"/>
      <c r="N662" s="58" t="n"/>
      <c r="O662" s="59" t="n"/>
      <c r="P662" s="62" t="n"/>
      <c r="Q662" s="63" t="n"/>
      <c r="R662" s="61">
        <f>IF($P662&gt;0,CHOOSE(MATCH($B$4,'Служебный лист'!$A$4:$A$8,0),I662,J662,K662,L662,M662),"")</f>
        <v/>
      </c>
      <c r="S662" s="61">
        <f>IFERROR($P662*$R662,0)</f>
        <v/>
      </c>
      <c r="T662" s="61">
        <f>$S662*1.22</f>
        <v/>
      </c>
      <c r="U662" s="64">
        <f>IF($P662&gt;0,COUNTIF($P$11:P662,"&gt;0"),"")</f>
        <v/>
      </c>
    </row>
    <row r="663" ht="14.25" customHeight="1" s="49">
      <c r="A663" s="58" t="n"/>
      <c r="B663" s="58" t="n"/>
      <c r="C663" s="59" t="n"/>
      <c r="D663" s="59" t="n"/>
      <c r="E663" s="59" t="n"/>
      <c r="F663" s="58" t="n"/>
      <c r="G663" s="60" t="n"/>
      <c r="H663" s="60" t="n"/>
      <c r="I663" s="61" t="n"/>
      <c r="J663" s="61" t="n"/>
      <c r="K663" s="61" t="n"/>
      <c r="L663" s="61" t="n"/>
      <c r="M663" s="61" t="n"/>
      <c r="N663" s="58" t="n"/>
      <c r="O663" s="59" t="n"/>
      <c r="P663" s="62" t="n"/>
      <c r="Q663" s="63" t="n"/>
      <c r="R663" s="61">
        <f>IF($P663&gt;0,CHOOSE(MATCH($B$4,'Служебный лист'!$A$4:$A$8,0),I663,J663,K663,L663,M663),"")</f>
        <v/>
      </c>
      <c r="S663" s="61">
        <f>IFERROR($P663*$R663,0)</f>
        <v/>
      </c>
      <c r="T663" s="61">
        <f>$S663*1.22</f>
        <v/>
      </c>
      <c r="U663" s="64">
        <f>IF($P663&gt;0,COUNTIF($P$11:P663,"&gt;0"),"")</f>
        <v/>
      </c>
    </row>
    <row r="664" ht="14.25" customHeight="1" s="49">
      <c r="A664" s="58" t="n"/>
      <c r="B664" s="58" t="n"/>
      <c r="C664" s="59" t="n"/>
      <c r="D664" s="59" t="n"/>
      <c r="E664" s="59" t="n"/>
      <c r="F664" s="58" t="n"/>
      <c r="G664" s="60" t="n"/>
      <c r="H664" s="60" t="n"/>
      <c r="I664" s="61" t="n"/>
      <c r="J664" s="61" t="n"/>
      <c r="K664" s="61" t="n"/>
      <c r="L664" s="61" t="n"/>
      <c r="M664" s="61" t="n"/>
      <c r="N664" s="58" t="n"/>
      <c r="O664" s="59" t="n"/>
      <c r="P664" s="62" t="n"/>
      <c r="Q664" s="63" t="n"/>
      <c r="R664" s="61">
        <f>IF($P664&gt;0,CHOOSE(MATCH($B$4,'Служебный лист'!$A$4:$A$8,0),I664,J664,K664,L664,M664),"")</f>
        <v/>
      </c>
      <c r="S664" s="61">
        <f>IFERROR($P664*$R664,0)</f>
        <v/>
      </c>
      <c r="T664" s="61">
        <f>$S664*1.22</f>
        <v/>
      </c>
      <c r="U664" s="64">
        <f>IF($P664&gt;0,COUNTIF($P$11:P664,"&gt;0"),"")</f>
        <v/>
      </c>
    </row>
    <row r="665" ht="14.25" customHeight="1" s="49">
      <c r="A665" s="58" t="n"/>
      <c r="B665" s="58" t="n"/>
      <c r="C665" s="59" t="n"/>
      <c r="D665" s="59" t="n"/>
      <c r="E665" s="59" t="n"/>
      <c r="F665" s="58" t="n"/>
      <c r="G665" s="60" t="n"/>
      <c r="H665" s="60" t="n"/>
      <c r="I665" s="61" t="n"/>
      <c r="J665" s="61" t="n"/>
      <c r="K665" s="61" t="n"/>
      <c r="L665" s="61" t="n"/>
      <c r="M665" s="61" t="n"/>
      <c r="N665" s="58" t="n"/>
      <c r="O665" s="59" t="n"/>
      <c r="P665" s="62" t="n"/>
      <c r="Q665" s="63" t="n"/>
      <c r="R665" s="61">
        <f>IF($P665&gt;0,CHOOSE(MATCH($B$4,'Служебный лист'!$A$4:$A$8,0),I665,J665,K665,L665,M665),"")</f>
        <v/>
      </c>
      <c r="S665" s="61">
        <f>IFERROR($P665*$R665,0)</f>
        <v/>
      </c>
      <c r="T665" s="61">
        <f>$S665*1.22</f>
        <v/>
      </c>
      <c r="U665" s="64">
        <f>IF($P665&gt;0,COUNTIF($P$11:P665,"&gt;0"),"")</f>
        <v/>
      </c>
    </row>
    <row r="666" ht="14.25" customHeight="1" s="49">
      <c r="A666" s="58" t="n"/>
      <c r="B666" s="58" t="n"/>
      <c r="C666" s="59" t="n"/>
      <c r="D666" s="59" t="n"/>
      <c r="E666" s="59" t="n"/>
      <c r="F666" s="58" t="n"/>
      <c r="G666" s="60" t="n"/>
      <c r="H666" s="60" t="n"/>
      <c r="I666" s="61" t="n"/>
      <c r="J666" s="61" t="n"/>
      <c r="K666" s="61" t="n"/>
      <c r="L666" s="61" t="n"/>
      <c r="M666" s="61" t="n"/>
      <c r="N666" s="58" t="n"/>
      <c r="O666" s="59" t="n"/>
      <c r="P666" s="62" t="n"/>
      <c r="Q666" s="63" t="n"/>
      <c r="R666" s="61">
        <f>IF($P666&gt;0,CHOOSE(MATCH($B$4,'Служебный лист'!$A$4:$A$8,0),I666,J666,K666,L666,M666),"")</f>
        <v/>
      </c>
      <c r="S666" s="61">
        <f>IFERROR($P666*$R666,0)</f>
        <v/>
      </c>
      <c r="T666" s="61">
        <f>$S666*1.22</f>
        <v/>
      </c>
      <c r="U666" s="64">
        <f>IF($P666&gt;0,COUNTIF($P$11:P666,"&gt;0"),"")</f>
        <v/>
      </c>
    </row>
    <row r="667" ht="14.25" customHeight="1" s="49">
      <c r="A667" s="58" t="n"/>
      <c r="B667" s="58" t="n"/>
      <c r="C667" s="59" t="n"/>
      <c r="D667" s="59" t="n"/>
      <c r="E667" s="59" t="n"/>
      <c r="F667" s="58" t="n"/>
      <c r="G667" s="60" t="n"/>
      <c r="H667" s="60" t="n"/>
      <c r="I667" s="61" t="n"/>
      <c r="J667" s="61" t="n"/>
      <c r="K667" s="61" t="n"/>
      <c r="L667" s="61" t="n"/>
      <c r="M667" s="61" t="n"/>
      <c r="N667" s="58" t="n"/>
      <c r="O667" s="59" t="n"/>
      <c r="P667" s="62" t="n"/>
      <c r="Q667" s="63" t="n"/>
      <c r="R667" s="61">
        <f>IF($P667&gt;0,CHOOSE(MATCH($B$4,'Служебный лист'!$A$4:$A$8,0),I667,J667,K667,L667,M667),"")</f>
        <v/>
      </c>
      <c r="S667" s="61">
        <f>IFERROR($P667*$R667,0)</f>
        <v/>
      </c>
      <c r="T667" s="61">
        <f>$S667*1.22</f>
        <v/>
      </c>
      <c r="U667" s="64">
        <f>IF($P667&gt;0,COUNTIF($P$11:P667,"&gt;0"),"")</f>
        <v/>
      </c>
    </row>
    <row r="668" ht="14.25" customHeight="1" s="49">
      <c r="A668" s="58" t="n"/>
      <c r="B668" s="58" t="n"/>
      <c r="C668" s="59" t="n"/>
      <c r="D668" s="59" t="n"/>
      <c r="E668" s="59" t="n"/>
      <c r="F668" s="58" t="n"/>
      <c r="G668" s="60" t="n"/>
      <c r="H668" s="60" t="n"/>
      <c r="I668" s="61" t="n"/>
      <c r="J668" s="61" t="n"/>
      <c r="K668" s="61" t="n"/>
      <c r="L668" s="61" t="n"/>
      <c r="M668" s="61" t="n"/>
      <c r="N668" s="58" t="n"/>
      <c r="O668" s="59" t="n"/>
      <c r="P668" s="62" t="n"/>
      <c r="Q668" s="63" t="n"/>
      <c r="R668" s="61">
        <f>IF($P668&gt;0,CHOOSE(MATCH($B$4,'Служебный лист'!$A$4:$A$8,0),I668,J668,K668,L668,M668),"")</f>
        <v/>
      </c>
      <c r="S668" s="61">
        <f>IFERROR($P668*$R668,0)</f>
        <v/>
      </c>
      <c r="T668" s="61">
        <f>$S668*1.22</f>
        <v/>
      </c>
      <c r="U668" s="64">
        <f>IF($P668&gt;0,COUNTIF($P$11:P668,"&gt;0"),"")</f>
        <v/>
      </c>
    </row>
    <row r="669" ht="14.25" customHeight="1" s="49">
      <c r="A669" s="58" t="n"/>
      <c r="B669" s="58" t="n"/>
      <c r="C669" s="59" t="n"/>
      <c r="D669" s="59" t="n"/>
      <c r="E669" s="59" t="n"/>
      <c r="F669" s="58" t="n"/>
      <c r="G669" s="60" t="n"/>
      <c r="H669" s="60" t="n"/>
      <c r="I669" s="61" t="n"/>
      <c r="J669" s="61" t="n"/>
      <c r="K669" s="61" t="n"/>
      <c r="L669" s="61" t="n"/>
      <c r="M669" s="61" t="n"/>
      <c r="N669" s="58" t="n"/>
      <c r="O669" s="59" t="n"/>
      <c r="P669" s="62" t="n"/>
      <c r="Q669" s="63" t="n"/>
      <c r="R669" s="61">
        <f>IF($P669&gt;0,CHOOSE(MATCH($B$4,'Служебный лист'!$A$4:$A$8,0),I669,J669,K669,L669,M669),"")</f>
        <v/>
      </c>
      <c r="S669" s="61">
        <f>IFERROR($P669*$R669,0)</f>
        <v/>
      </c>
      <c r="T669" s="61">
        <f>$S669*1.22</f>
        <v/>
      </c>
      <c r="U669" s="64">
        <f>IF($P669&gt;0,COUNTIF($P$11:P669,"&gt;0"),"")</f>
        <v/>
      </c>
    </row>
    <row r="670" ht="14.25" customHeight="1" s="49">
      <c r="A670" s="58" t="n"/>
      <c r="B670" s="58" t="n"/>
      <c r="C670" s="59" t="n"/>
      <c r="D670" s="59" t="n"/>
      <c r="E670" s="59" t="n"/>
      <c r="F670" s="58" t="n"/>
      <c r="G670" s="60" t="n"/>
      <c r="H670" s="60" t="n"/>
      <c r="I670" s="61" t="n"/>
      <c r="J670" s="61" t="n"/>
      <c r="K670" s="61" t="n"/>
      <c r="L670" s="61" t="n"/>
      <c r="M670" s="61" t="n"/>
      <c r="N670" s="58" t="n"/>
      <c r="O670" s="59" t="n"/>
      <c r="P670" s="62" t="n"/>
      <c r="Q670" s="63" t="n"/>
      <c r="R670" s="61">
        <f>IF($P670&gt;0,CHOOSE(MATCH($B$4,'Служебный лист'!$A$4:$A$8,0),I670,J670,K670,L670,M670),"")</f>
        <v/>
      </c>
      <c r="S670" s="61">
        <f>IFERROR($P670*$R670,0)</f>
        <v/>
      </c>
      <c r="T670" s="61">
        <f>$S670*1.22</f>
        <v/>
      </c>
      <c r="U670" s="64">
        <f>IF($P670&gt;0,COUNTIF($P$11:P670,"&gt;0"),"")</f>
        <v/>
      </c>
    </row>
    <row r="671" ht="14.25" customHeight="1" s="49">
      <c r="A671" s="58" t="n"/>
      <c r="B671" s="58" t="n"/>
      <c r="C671" s="59" t="n"/>
      <c r="D671" s="59" t="n"/>
      <c r="E671" s="59" t="n"/>
      <c r="F671" s="58" t="n"/>
      <c r="G671" s="60" t="n"/>
      <c r="H671" s="60" t="n"/>
      <c r="I671" s="61" t="n"/>
      <c r="J671" s="61" t="n"/>
      <c r="K671" s="61" t="n"/>
      <c r="L671" s="61" t="n"/>
      <c r="M671" s="61" t="n"/>
      <c r="N671" s="58" t="n"/>
      <c r="O671" s="59" t="n"/>
      <c r="P671" s="62" t="n"/>
      <c r="Q671" s="63" t="n"/>
      <c r="R671" s="61">
        <f>IF($P671&gt;0,CHOOSE(MATCH($B$4,'Служебный лист'!$A$4:$A$8,0),I671,J671,K671,L671,M671),"")</f>
        <v/>
      </c>
      <c r="S671" s="61">
        <f>IFERROR($P671*$R671,0)</f>
        <v/>
      </c>
      <c r="T671" s="61">
        <f>$S671*1.22</f>
        <v/>
      </c>
      <c r="U671" s="64">
        <f>IF($P671&gt;0,COUNTIF($P$11:P671,"&gt;0"),"")</f>
        <v/>
      </c>
    </row>
    <row r="672" ht="14.25" customHeight="1" s="49">
      <c r="A672" s="58" t="n"/>
      <c r="B672" s="58" t="n"/>
      <c r="C672" s="59" t="n"/>
      <c r="D672" s="59" t="n"/>
      <c r="E672" s="59" t="n"/>
      <c r="F672" s="58" t="n"/>
      <c r="G672" s="60" t="n"/>
      <c r="H672" s="60" t="n"/>
      <c r="I672" s="61" t="n"/>
      <c r="J672" s="61" t="n"/>
      <c r="K672" s="61" t="n"/>
      <c r="L672" s="61" t="n"/>
      <c r="M672" s="61" t="n"/>
      <c r="N672" s="58" t="n"/>
      <c r="O672" s="59" t="n"/>
      <c r="P672" s="62" t="n"/>
      <c r="Q672" s="63" t="n"/>
      <c r="R672" s="61">
        <f>IF($P672&gt;0,CHOOSE(MATCH($B$4,'Служебный лист'!$A$4:$A$8,0),I672,J672,K672,L672,M672),"")</f>
        <v/>
      </c>
      <c r="S672" s="61">
        <f>IFERROR($P672*$R672,0)</f>
        <v/>
      </c>
      <c r="T672" s="61">
        <f>$S672*1.22</f>
        <v/>
      </c>
      <c r="U672" s="64">
        <f>IF($P672&gt;0,COUNTIF($P$11:P672,"&gt;0"),"")</f>
        <v/>
      </c>
    </row>
    <row r="673" ht="14.25" customHeight="1" s="49">
      <c r="A673" s="58" t="n"/>
      <c r="B673" s="58" t="n"/>
      <c r="C673" s="59" t="n"/>
      <c r="D673" s="59" t="n"/>
      <c r="E673" s="59" t="n"/>
      <c r="F673" s="58" t="n"/>
      <c r="G673" s="60" t="n"/>
      <c r="H673" s="60" t="n"/>
      <c r="I673" s="61" t="n"/>
      <c r="J673" s="61" t="n"/>
      <c r="K673" s="61" t="n"/>
      <c r="L673" s="61" t="n"/>
      <c r="M673" s="61" t="n"/>
      <c r="N673" s="58" t="n"/>
      <c r="O673" s="59" t="n"/>
      <c r="P673" s="62" t="n"/>
      <c r="Q673" s="63" t="n"/>
      <c r="R673" s="61">
        <f>IF($P673&gt;0,CHOOSE(MATCH($B$4,'Служебный лист'!$A$4:$A$8,0),I673,J673,K673,L673,M673),"")</f>
        <v/>
      </c>
      <c r="S673" s="61">
        <f>IFERROR($P673*$R673,0)</f>
        <v/>
      </c>
      <c r="T673" s="61">
        <f>$S673*1.22</f>
        <v/>
      </c>
      <c r="U673" s="64">
        <f>IF($P673&gt;0,COUNTIF($P$11:P673,"&gt;0"),"")</f>
        <v/>
      </c>
    </row>
    <row r="674" ht="14.25" customHeight="1" s="49">
      <c r="A674" s="58" t="n"/>
      <c r="B674" s="58" t="n"/>
      <c r="C674" s="59" t="n"/>
      <c r="D674" s="59" t="n"/>
      <c r="E674" s="59" t="n"/>
      <c r="F674" s="58" t="n"/>
      <c r="G674" s="60" t="n"/>
      <c r="H674" s="60" t="n"/>
      <c r="I674" s="61" t="n"/>
      <c r="J674" s="61" t="n"/>
      <c r="K674" s="61" t="n"/>
      <c r="L674" s="61" t="n"/>
      <c r="M674" s="61" t="n"/>
      <c r="N674" s="58" t="n"/>
      <c r="O674" s="59" t="n"/>
      <c r="P674" s="62" t="n"/>
      <c r="Q674" s="63" t="n"/>
      <c r="R674" s="61">
        <f>IF($P674&gt;0,CHOOSE(MATCH($B$4,'Служебный лист'!$A$4:$A$8,0),I674,J674,K674,L674,M674),"")</f>
        <v/>
      </c>
      <c r="S674" s="61">
        <f>IFERROR($P674*$R674,0)</f>
        <v/>
      </c>
      <c r="T674" s="61">
        <f>$S674*1.22</f>
        <v/>
      </c>
      <c r="U674" s="64">
        <f>IF($P674&gt;0,COUNTIF($P$11:P674,"&gt;0"),"")</f>
        <v/>
      </c>
    </row>
    <row r="675" ht="14.25" customHeight="1" s="49">
      <c r="A675" s="58" t="n"/>
      <c r="B675" s="58" t="n"/>
      <c r="C675" s="59" t="n"/>
      <c r="D675" s="59" t="n"/>
      <c r="E675" s="59" t="n"/>
      <c r="F675" s="58" t="n"/>
      <c r="G675" s="60" t="n"/>
      <c r="H675" s="60" t="n"/>
      <c r="I675" s="61" t="n"/>
      <c r="J675" s="61" t="n"/>
      <c r="K675" s="61" t="n"/>
      <c r="L675" s="61" t="n"/>
      <c r="M675" s="61" t="n"/>
      <c r="N675" s="58" t="n"/>
      <c r="O675" s="59" t="n"/>
      <c r="P675" s="62" t="n"/>
      <c r="Q675" s="63" t="n"/>
      <c r="R675" s="61">
        <f>IF($P675&gt;0,CHOOSE(MATCH($B$4,'Служебный лист'!$A$4:$A$8,0),I675,J675,K675,L675,M675),"")</f>
        <v/>
      </c>
      <c r="S675" s="61">
        <f>IFERROR($P675*$R675,0)</f>
        <v/>
      </c>
      <c r="T675" s="61">
        <f>$S675*1.22</f>
        <v/>
      </c>
      <c r="U675" s="64">
        <f>IF($P675&gt;0,COUNTIF($P$11:P675,"&gt;0"),"")</f>
        <v/>
      </c>
    </row>
    <row r="676" ht="14.25" customHeight="1" s="49">
      <c r="A676" s="58" t="n"/>
      <c r="B676" s="58" t="n"/>
      <c r="C676" s="59" t="n"/>
      <c r="D676" s="59" t="n"/>
      <c r="E676" s="59" t="n"/>
      <c r="F676" s="58" t="n"/>
      <c r="G676" s="60" t="n"/>
      <c r="H676" s="60" t="n"/>
      <c r="I676" s="61" t="n"/>
      <c r="J676" s="61" t="n"/>
      <c r="K676" s="61" t="n"/>
      <c r="L676" s="61" t="n"/>
      <c r="M676" s="61" t="n"/>
      <c r="N676" s="58" t="n"/>
      <c r="O676" s="59" t="n"/>
      <c r="P676" s="62" t="n"/>
      <c r="Q676" s="63" t="n"/>
      <c r="R676" s="61">
        <f>IF($P676&gt;0,CHOOSE(MATCH($B$4,'Служебный лист'!$A$4:$A$8,0),I676,J676,K676,L676,M676),"")</f>
        <v/>
      </c>
      <c r="S676" s="61">
        <f>IFERROR($P676*$R676,0)</f>
        <v/>
      </c>
      <c r="T676" s="61">
        <f>$S676*1.22</f>
        <v/>
      </c>
      <c r="U676" s="64">
        <f>IF($P676&gt;0,COUNTIF($P$11:P676,"&gt;0"),"")</f>
        <v/>
      </c>
    </row>
    <row r="677" ht="14.25" customHeight="1" s="49">
      <c r="A677" s="58" t="n"/>
      <c r="B677" s="58" t="n"/>
      <c r="C677" s="59" t="n"/>
      <c r="D677" s="59" t="n"/>
      <c r="E677" s="59" t="n"/>
      <c r="F677" s="58" t="n"/>
      <c r="G677" s="60" t="n"/>
      <c r="H677" s="60" t="n"/>
      <c r="I677" s="61" t="n"/>
      <c r="J677" s="61" t="n"/>
      <c r="K677" s="61" t="n"/>
      <c r="L677" s="61" t="n"/>
      <c r="M677" s="61" t="n"/>
      <c r="N677" s="58" t="n"/>
      <c r="O677" s="59" t="n"/>
      <c r="P677" s="62" t="n"/>
      <c r="Q677" s="63" t="n"/>
      <c r="R677" s="61">
        <f>IF($P677&gt;0,CHOOSE(MATCH($B$4,'Служебный лист'!$A$4:$A$8,0),I677,J677,K677,L677,M677),"")</f>
        <v/>
      </c>
      <c r="S677" s="61">
        <f>IFERROR($P677*$R677,0)</f>
        <v/>
      </c>
      <c r="T677" s="61">
        <f>$S677*1.22</f>
        <v/>
      </c>
      <c r="U677" s="64">
        <f>IF($P677&gt;0,COUNTIF($P$11:P677,"&gt;0"),"")</f>
        <v/>
      </c>
    </row>
    <row r="678" ht="14.25" customHeight="1" s="49">
      <c r="A678" s="58" t="n"/>
      <c r="B678" s="58" t="n"/>
      <c r="C678" s="59" t="n"/>
      <c r="D678" s="59" t="n"/>
      <c r="E678" s="59" t="n"/>
      <c r="F678" s="58" t="n"/>
      <c r="G678" s="60" t="n"/>
      <c r="H678" s="60" t="n"/>
      <c r="I678" s="61" t="n"/>
      <c r="J678" s="61" t="n"/>
      <c r="K678" s="61" t="n"/>
      <c r="L678" s="61" t="n"/>
      <c r="M678" s="61" t="n"/>
      <c r="N678" s="58" t="n"/>
      <c r="O678" s="59" t="n"/>
      <c r="P678" s="62" t="n"/>
      <c r="Q678" s="63" t="n"/>
      <c r="R678" s="61">
        <f>IF($P678&gt;0,CHOOSE(MATCH($B$4,'Служебный лист'!$A$4:$A$8,0),I678,J678,K678,L678,M678),"")</f>
        <v/>
      </c>
      <c r="S678" s="61">
        <f>IFERROR($P678*$R678,0)</f>
        <v/>
      </c>
      <c r="T678" s="61">
        <f>$S678*1.22</f>
        <v/>
      </c>
      <c r="U678" s="64">
        <f>IF($P678&gt;0,COUNTIF($P$11:P678,"&gt;0"),"")</f>
        <v/>
      </c>
    </row>
    <row r="679" ht="14.25" customHeight="1" s="49">
      <c r="A679" s="58" t="n"/>
      <c r="B679" s="58" t="n"/>
      <c r="C679" s="59" t="n"/>
      <c r="D679" s="59" t="n"/>
      <c r="E679" s="59" t="n"/>
      <c r="F679" s="58" t="n"/>
      <c r="G679" s="60" t="n"/>
      <c r="H679" s="60" t="n"/>
      <c r="I679" s="61" t="n"/>
      <c r="J679" s="61" t="n"/>
      <c r="K679" s="61" t="n"/>
      <c r="L679" s="61" t="n"/>
      <c r="M679" s="61" t="n"/>
      <c r="N679" s="58" t="n"/>
      <c r="O679" s="59" t="n"/>
      <c r="P679" s="62" t="n"/>
      <c r="Q679" s="63" t="n"/>
      <c r="R679" s="61">
        <f>IF($P679&gt;0,CHOOSE(MATCH($B$4,'Служебный лист'!$A$4:$A$8,0),I679,J679,K679,L679,M679),"")</f>
        <v/>
      </c>
      <c r="S679" s="61">
        <f>IFERROR($P679*$R679,0)</f>
        <v/>
      </c>
      <c r="T679" s="61">
        <f>$S679*1.22</f>
        <v/>
      </c>
      <c r="U679" s="64">
        <f>IF($P679&gt;0,COUNTIF($P$11:P679,"&gt;0"),"")</f>
        <v/>
      </c>
    </row>
    <row r="680" ht="14.25" customHeight="1" s="49">
      <c r="A680" s="58" t="n"/>
      <c r="B680" s="58" t="n"/>
      <c r="C680" s="59" t="n"/>
      <c r="D680" s="59" t="n"/>
      <c r="E680" s="59" t="n"/>
      <c r="F680" s="58" t="n"/>
      <c r="G680" s="60" t="n"/>
      <c r="H680" s="60" t="n"/>
      <c r="I680" s="61" t="n"/>
      <c r="J680" s="61" t="n"/>
      <c r="K680" s="61" t="n"/>
      <c r="L680" s="61" t="n"/>
      <c r="M680" s="61" t="n"/>
      <c r="N680" s="58" t="n"/>
      <c r="O680" s="59" t="n"/>
      <c r="P680" s="62" t="n"/>
      <c r="Q680" s="63" t="n"/>
      <c r="R680" s="61">
        <f>IF($P680&gt;0,CHOOSE(MATCH($B$4,'Служебный лист'!$A$4:$A$8,0),I680,J680,K680,L680,M680),"")</f>
        <v/>
      </c>
      <c r="S680" s="61">
        <f>IFERROR($P680*$R680,0)</f>
        <v/>
      </c>
      <c r="T680" s="61">
        <f>$S680*1.22</f>
        <v/>
      </c>
      <c r="U680" s="64">
        <f>IF($P680&gt;0,COUNTIF($P$11:P680,"&gt;0"),"")</f>
        <v/>
      </c>
    </row>
    <row r="681" ht="14.25" customHeight="1" s="49">
      <c r="A681" s="58" t="n"/>
      <c r="B681" s="58" t="n"/>
      <c r="C681" s="59" t="n"/>
      <c r="D681" s="59" t="n"/>
      <c r="E681" s="59" t="n"/>
      <c r="F681" s="58" t="n"/>
      <c r="G681" s="60" t="n"/>
      <c r="H681" s="60" t="n"/>
      <c r="I681" s="61" t="n"/>
      <c r="J681" s="61" t="n"/>
      <c r="K681" s="61" t="n"/>
      <c r="L681" s="61" t="n"/>
      <c r="M681" s="61" t="n"/>
      <c r="N681" s="58" t="n"/>
      <c r="O681" s="59" t="n"/>
      <c r="P681" s="62" t="n"/>
      <c r="Q681" s="63" t="n"/>
      <c r="R681" s="61">
        <f>IF($P681&gt;0,CHOOSE(MATCH($B$4,'Служебный лист'!$A$4:$A$8,0),I681,J681,K681,L681,M681),"")</f>
        <v/>
      </c>
      <c r="S681" s="61">
        <f>IFERROR($P681*$R681,0)</f>
        <v/>
      </c>
      <c r="T681" s="61">
        <f>$S681*1.22</f>
        <v/>
      </c>
      <c r="U681" s="64">
        <f>IF($P681&gt;0,COUNTIF($P$11:P681,"&gt;0"),"")</f>
        <v/>
      </c>
    </row>
    <row r="682" ht="14.25" customHeight="1" s="49">
      <c r="A682" s="58" t="n"/>
      <c r="B682" s="58" t="n"/>
      <c r="C682" s="59" t="n"/>
      <c r="D682" s="59" t="n"/>
      <c r="E682" s="59" t="n"/>
      <c r="F682" s="58" t="n"/>
      <c r="G682" s="60" t="n"/>
      <c r="H682" s="60" t="n"/>
      <c r="I682" s="61" t="n"/>
      <c r="J682" s="61" t="n"/>
      <c r="K682" s="61" t="n"/>
      <c r="L682" s="61" t="n"/>
      <c r="M682" s="61" t="n"/>
      <c r="N682" s="58" t="n"/>
      <c r="O682" s="59" t="n"/>
      <c r="P682" s="62" t="n"/>
      <c r="Q682" s="63" t="n"/>
      <c r="R682" s="61">
        <f>IF($P682&gt;0,CHOOSE(MATCH($B$4,'Служебный лист'!$A$4:$A$8,0),I682,J682,K682,L682,M682),"")</f>
        <v/>
      </c>
      <c r="S682" s="61">
        <f>IFERROR($P682*$R682,0)</f>
        <v/>
      </c>
      <c r="T682" s="61">
        <f>$S682*1.22</f>
        <v/>
      </c>
      <c r="U682" s="64">
        <f>IF($P682&gt;0,COUNTIF($P$11:P682,"&gt;0"),"")</f>
        <v/>
      </c>
    </row>
    <row r="683" ht="14.25" customHeight="1" s="49">
      <c r="A683" s="58" t="n"/>
      <c r="B683" s="58" t="n"/>
      <c r="C683" s="59" t="n"/>
      <c r="D683" s="59" t="n"/>
      <c r="E683" s="59" t="n"/>
      <c r="F683" s="58" t="n"/>
      <c r="G683" s="60" t="n"/>
      <c r="H683" s="60" t="n"/>
      <c r="I683" s="61" t="n"/>
      <c r="J683" s="61" t="n"/>
      <c r="K683" s="61" t="n"/>
      <c r="L683" s="61" t="n"/>
      <c r="M683" s="61" t="n"/>
      <c r="N683" s="58" t="n"/>
      <c r="O683" s="59" t="n"/>
      <c r="P683" s="62" t="n"/>
      <c r="Q683" s="63" t="n"/>
      <c r="R683" s="61">
        <f>IF($P683&gt;0,CHOOSE(MATCH($B$4,'Служебный лист'!$A$4:$A$8,0),I683,J683,K683,L683,M683),"")</f>
        <v/>
      </c>
      <c r="S683" s="61">
        <f>IFERROR($P683*$R683,0)</f>
        <v/>
      </c>
      <c r="T683" s="61">
        <f>$S683*1.22</f>
        <v/>
      </c>
      <c r="U683" s="64">
        <f>IF($P683&gt;0,COUNTIF($P$11:P683,"&gt;0"),"")</f>
        <v/>
      </c>
    </row>
    <row r="684" ht="14.25" customHeight="1" s="49">
      <c r="A684" s="58" t="n"/>
      <c r="B684" s="58" t="n"/>
      <c r="C684" s="59" t="n"/>
      <c r="D684" s="59" t="n"/>
      <c r="E684" s="59" t="n"/>
      <c r="F684" s="58" t="n"/>
      <c r="G684" s="60" t="n"/>
      <c r="H684" s="60" t="n"/>
      <c r="I684" s="61" t="n"/>
      <c r="J684" s="61" t="n"/>
      <c r="K684" s="61" t="n"/>
      <c r="L684" s="61" t="n"/>
      <c r="M684" s="61" t="n"/>
      <c r="N684" s="58" t="n"/>
      <c r="O684" s="59" t="n"/>
      <c r="P684" s="62" t="n"/>
      <c r="Q684" s="63" t="n"/>
      <c r="R684" s="61">
        <f>IF($P684&gt;0,CHOOSE(MATCH($B$4,'Служебный лист'!$A$4:$A$8,0),I684,J684,K684,L684,M684),"")</f>
        <v/>
      </c>
      <c r="S684" s="61">
        <f>IFERROR($P684*$R684,0)</f>
        <v/>
      </c>
      <c r="T684" s="61">
        <f>$S684*1.22</f>
        <v/>
      </c>
      <c r="U684" s="64">
        <f>IF($P684&gt;0,COUNTIF($P$11:P684,"&gt;0"),"")</f>
        <v/>
      </c>
    </row>
    <row r="685" ht="14.25" customHeight="1" s="49">
      <c r="A685" s="58" t="n"/>
      <c r="B685" s="58" t="n"/>
      <c r="C685" s="59" t="n"/>
      <c r="D685" s="59" t="n"/>
      <c r="E685" s="59" t="n"/>
      <c r="F685" s="58" t="n"/>
      <c r="G685" s="60" t="n"/>
      <c r="H685" s="60" t="n"/>
      <c r="I685" s="61" t="n"/>
      <c r="J685" s="61" t="n"/>
      <c r="K685" s="61" t="n"/>
      <c r="L685" s="61" t="n"/>
      <c r="M685" s="61" t="n"/>
      <c r="N685" s="58" t="n"/>
      <c r="O685" s="59" t="n"/>
      <c r="P685" s="62" t="n"/>
      <c r="Q685" s="63" t="n"/>
      <c r="R685" s="61">
        <f>IF($P685&gt;0,CHOOSE(MATCH($B$4,'Служебный лист'!$A$4:$A$8,0),I685,J685,K685,L685,M685),"")</f>
        <v/>
      </c>
      <c r="S685" s="61">
        <f>IFERROR($P685*$R685,0)</f>
        <v/>
      </c>
      <c r="T685" s="61">
        <f>$S685*1.22</f>
        <v/>
      </c>
      <c r="U685" s="64">
        <f>IF($P685&gt;0,COUNTIF($P$11:P685,"&gt;0"),"")</f>
        <v/>
      </c>
    </row>
    <row r="686" ht="14.25" customHeight="1" s="49">
      <c r="A686" s="58" t="n"/>
      <c r="B686" s="58" t="n"/>
      <c r="C686" s="59" t="n"/>
      <c r="D686" s="59" t="n"/>
      <c r="E686" s="59" t="n"/>
      <c r="F686" s="58" t="n"/>
      <c r="G686" s="60" t="n"/>
      <c r="H686" s="60" t="n"/>
      <c r="I686" s="61" t="n"/>
      <c r="J686" s="61" t="n"/>
      <c r="K686" s="61" t="n"/>
      <c r="L686" s="61" t="n"/>
      <c r="M686" s="61" t="n"/>
      <c r="N686" s="58" t="n"/>
      <c r="O686" s="59" t="n"/>
      <c r="P686" s="62" t="n"/>
      <c r="Q686" s="63" t="n"/>
      <c r="R686" s="61">
        <f>IF($P686&gt;0,CHOOSE(MATCH($B$4,'Служебный лист'!$A$4:$A$8,0),I686,J686,K686,L686,M686),"")</f>
        <v/>
      </c>
      <c r="S686" s="61">
        <f>IFERROR($P686*$R686,0)</f>
        <v/>
      </c>
      <c r="T686" s="61">
        <f>$S686*1.22</f>
        <v/>
      </c>
      <c r="U686" s="64">
        <f>IF($P686&gt;0,COUNTIF($P$11:P686,"&gt;0"),"")</f>
        <v/>
      </c>
    </row>
    <row r="687" ht="14.25" customHeight="1" s="49">
      <c r="A687" s="58" t="n"/>
      <c r="B687" s="58" t="n"/>
      <c r="C687" s="59" t="n"/>
      <c r="D687" s="59" t="n"/>
      <c r="E687" s="59" t="n"/>
      <c r="F687" s="58" t="n"/>
      <c r="G687" s="60" t="n"/>
      <c r="H687" s="60" t="n"/>
      <c r="I687" s="61" t="n"/>
      <c r="J687" s="61" t="n"/>
      <c r="K687" s="61" t="n"/>
      <c r="L687" s="61" t="n"/>
      <c r="M687" s="61" t="n"/>
      <c r="N687" s="58" t="n"/>
      <c r="O687" s="59" t="n"/>
      <c r="P687" s="62" t="n"/>
      <c r="Q687" s="63" t="n"/>
      <c r="R687" s="61">
        <f>IF($P687&gt;0,CHOOSE(MATCH($B$4,'Служебный лист'!$A$4:$A$8,0),I687,J687,K687,L687,M687),"")</f>
        <v/>
      </c>
      <c r="S687" s="61">
        <f>IFERROR($P687*$R687,0)</f>
        <v/>
      </c>
      <c r="T687" s="61">
        <f>$S687*1.22</f>
        <v/>
      </c>
      <c r="U687" s="64">
        <f>IF($P687&gt;0,COUNTIF($P$11:P687,"&gt;0"),"")</f>
        <v/>
      </c>
    </row>
    <row r="688" ht="14.25" customHeight="1" s="49">
      <c r="A688" s="58" t="n"/>
      <c r="B688" s="58" t="n"/>
      <c r="C688" s="59" t="n"/>
      <c r="D688" s="59" t="n"/>
      <c r="E688" s="59" t="n"/>
      <c r="F688" s="58" t="n"/>
      <c r="G688" s="60" t="n"/>
      <c r="H688" s="60" t="n"/>
      <c r="I688" s="61" t="n"/>
      <c r="J688" s="61" t="n"/>
      <c r="K688" s="61" t="n"/>
      <c r="L688" s="61" t="n"/>
      <c r="M688" s="61" t="n"/>
      <c r="N688" s="58" t="n"/>
      <c r="O688" s="59" t="n"/>
      <c r="P688" s="62" t="n"/>
      <c r="Q688" s="63" t="n"/>
      <c r="R688" s="61">
        <f>IF($P688&gt;0,CHOOSE(MATCH($B$4,'Служебный лист'!$A$4:$A$8,0),I688,J688,K688,L688,M688),"")</f>
        <v/>
      </c>
      <c r="S688" s="61">
        <f>IFERROR($P688*$R688,0)</f>
        <v/>
      </c>
      <c r="T688" s="61">
        <f>$S688*1.22</f>
        <v/>
      </c>
      <c r="U688" s="64">
        <f>IF($P688&gt;0,COUNTIF($P$11:P688,"&gt;0"),"")</f>
        <v/>
      </c>
    </row>
    <row r="689" ht="14.25" customHeight="1" s="49">
      <c r="A689" s="58" t="n"/>
      <c r="B689" s="58" t="n"/>
      <c r="C689" s="59" t="n"/>
      <c r="D689" s="59" t="n"/>
      <c r="E689" s="59" t="n"/>
      <c r="F689" s="58" t="n"/>
      <c r="G689" s="60" t="n"/>
      <c r="H689" s="60" t="n"/>
      <c r="I689" s="61" t="n"/>
      <c r="J689" s="61" t="n"/>
      <c r="K689" s="61" t="n"/>
      <c r="L689" s="61" t="n"/>
      <c r="M689" s="61" t="n"/>
      <c r="N689" s="58" t="n"/>
      <c r="O689" s="59" t="n"/>
      <c r="P689" s="62" t="n"/>
      <c r="Q689" s="63" t="n"/>
      <c r="R689" s="61">
        <f>IF($P689&gt;0,CHOOSE(MATCH($B$4,'Служебный лист'!$A$4:$A$8,0),I689,J689,K689,L689,M689),"")</f>
        <v/>
      </c>
      <c r="S689" s="61">
        <f>IFERROR($P689*$R689,0)</f>
        <v/>
      </c>
      <c r="T689" s="61">
        <f>$S689*1.22</f>
        <v/>
      </c>
      <c r="U689" s="64">
        <f>IF($P689&gt;0,COUNTIF($P$11:P689,"&gt;0"),"")</f>
        <v/>
      </c>
    </row>
    <row r="690" ht="14.25" customHeight="1" s="49">
      <c r="A690" s="58" t="n"/>
      <c r="B690" s="58" t="n"/>
      <c r="C690" s="59" t="n"/>
      <c r="D690" s="59" t="n"/>
      <c r="E690" s="59" t="n"/>
      <c r="F690" s="58" t="n"/>
      <c r="G690" s="60" t="n"/>
      <c r="H690" s="60" t="n"/>
      <c r="I690" s="61" t="n"/>
      <c r="J690" s="61" t="n"/>
      <c r="K690" s="61" t="n"/>
      <c r="L690" s="61" t="n"/>
      <c r="M690" s="61" t="n"/>
      <c r="N690" s="58" t="n"/>
      <c r="O690" s="59" t="n"/>
      <c r="P690" s="62" t="n"/>
      <c r="Q690" s="63" t="n"/>
      <c r="R690" s="61">
        <f>IF($P690&gt;0,CHOOSE(MATCH($B$4,'Служебный лист'!$A$4:$A$8,0),I690,J690,K690,L690,M690),"")</f>
        <v/>
      </c>
      <c r="S690" s="61">
        <f>IFERROR($P690*$R690,0)</f>
        <v/>
      </c>
      <c r="T690" s="61">
        <f>$S690*1.22</f>
        <v/>
      </c>
      <c r="U690" s="64">
        <f>IF($P690&gt;0,COUNTIF($P$11:P690,"&gt;0"),"")</f>
        <v/>
      </c>
    </row>
    <row r="691" ht="14.25" customHeight="1" s="49">
      <c r="A691" s="58" t="n"/>
      <c r="B691" s="58" t="n"/>
      <c r="C691" s="59" t="n"/>
      <c r="D691" s="59" t="n"/>
      <c r="E691" s="59" t="n"/>
      <c r="F691" s="58" t="n"/>
      <c r="G691" s="60" t="n"/>
      <c r="H691" s="60" t="n"/>
      <c r="I691" s="61" t="n"/>
      <c r="J691" s="61" t="n"/>
      <c r="K691" s="61" t="n"/>
      <c r="L691" s="61" t="n"/>
      <c r="M691" s="61" t="n"/>
      <c r="N691" s="58" t="n"/>
      <c r="O691" s="59" t="n"/>
      <c r="P691" s="62" t="n"/>
      <c r="Q691" s="63" t="n"/>
      <c r="R691" s="61">
        <f>IF($P691&gt;0,CHOOSE(MATCH($B$4,'Служебный лист'!$A$4:$A$8,0),I691,J691,K691,L691,M691),"")</f>
        <v/>
      </c>
      <c r="S691" s="61">
        <f>IFERROR($P691*$R691,0)</f>
        <v/>
      </c>
      <c r="T691" s="61">
        <f>$S691*1.22</f>
        <v/>
      </c>
      <c r="U691" s="64">
        <f>IF($P691&gt;0,COUNTIF($P$11:P691,"&gt;0"),"")</f>
        <v/>
      </c>
    </row>
    <row r="692" ht="14.25" customHeight="1" s="49">
      <c r="A692" s="58" t="n"/>
      <c r="B692" s="58" t="n"/>
      <c r="C692" s="59" t="n"/>
      <c r="D692" s="59" t="n"/>
      <c r="E692" s="59" t="n"/>
      <c r="F692" s="58" t="n"/>
      <c r="G692" s="60" t="n"/>
      <c r="H692" s="60" t="n"/>
      <c r="I692" s="61" t="n"/>
      <c r="J692" s="61" t="n"/>
      <c r="K692" s="61" t="n"/>
      <c r="L692" s="61" t="n"/>
      <c r="M692" s="61" t="n"/>
      <c r="N692" s="58" t="n"/>
      <c r="O692" s="59" t="n"/>
      <c r="P692" s="62" t="n"/>
      <c r="Q692" s="63" t="n"/>
      <c r="R692" s="61">
        <f>IF($P692&gt;0,CHOOSE(MATCH($B$4,'Служебный лист'!$A$4:$A$8,0),I692,J692,K692,L692,M692),"")</f>
        <v/>
      </c>
      <c r="S692" s="61">
        <f>IFERROR($P692*$R692,0)</f>
        <v/>
      </c>
      <c r="T692" s="61">
        <f>$S692*1.22</f>
        <v/>
      </c>
      <c r="U692" s="64">
        <f>IF($P692&gt;0,COUNTIF($P$11:P692,"&gt;0"),"")</f>
        <v/>
      </c>
    </row>
    <row r="693" ht="14.25" customHeight="1" s="49">
      <c r="A693" s="58" t="n"/>
      <c r="B693" s="58" t="n"/>
      <c r="C693" s="59" t="n"/>
      <c r="D693" s="59" t="n"/>
      <c r="E693" s="59" t="n"/>
      <c r="F693" s="58" t="n"/>
      <c r="G693" s="60" t="n"/>
      <c r="H693" s="60" t="n"/>
      <c r="I693" s="61" t="n"/>
      <c r="J693" s="61" t="n"/>
      <c r="K693" s="61" t="n"/>
      <c r="L693" s="61" t="n"/>
      <c r="M693" s="61" t="n"/>
      <c r="N693" s="58" t="n"/>
      <c r="O693" s="59" t="n"/>
      <c r="P693" s="62" t="n"/>
      <c r="Q693" s="63" t="n"/>
      <c r="R693" s="61">
        <f>IF($P693&gt;0,CHOOSE(MATCH($B$4,'Служебный лист'!$A$4:$A$8,0),I693,J693,K693,L693,M693),"")</f>
        <v/>
      </c>
      <c r="S693" s="61">
        <f>IFERROR($P693*$R693,0)</f>
        <v/>
      </c>
      <c r="T693" s="61">
        <f>$S693*1.22</f>
        <v/>
      </c>
      <c r="U693" s="64">
        <f>IF($P693&gt;0,COUNTIF($P$11:P693,"&gt;0"),"")</f>
        <v/>
      </c>
    </row>
    <row r="694" ht="14.25" customHeight="1" s="49">
      <c r="A694" s="58" t="n"/>
      <c r="B694" s="58" t="n"/>
      <c r="C694" s="59" t="n"/>
      <c r="D694" s="59" t="n"/>
      <c r="E694" s="59" t="n"/>
      <c r="F694" s="58" t="n"/>
      <c r="G694" s="60" t="n"/>
      <c r="H694" s="60" t="n"/>
      <c r="I694" s="61" t="n"/>
      <c r="J694" s="61" t="n"/>
      <c r="K694" s="61" t="n"/>
      <c r="L694" s="61" t="n"/>
      <c r="M694" s="61" t="n"/>
      <c r="N694" s="58" t="n"/>
      <c r="O694" s="59" t="n"/>
      <c r="P694" s="62" t="n"/>
      <c r="Q694" s="63" t="n"/>
      <c r="R694" s="61">
        <f>IF($P694&gt;0,CHOOSE(MATCH($B$4,'Служебный лист'!$A$4:$A$8,0),I694,J694,K694,L694,M694),"")</f>
        <v/>
      </c>
      <c r="S694" s="61">
        <f>IFERROR($P694*$R694,0)</f>
        <v/>
      </c>
      <c r="T694" s="61">
        <f>$S694*1.22</f>
        <v/>
      </c>
      <c r="U694" s="64">
        <f>IF($P694&gt;0,COUNTIF($P$11:P694,"&gt;0"),"")</f>
        <v/>
      </c>
    </row>
    <row r="695" ht="14.25" customHeight="1" s="49">
      <c r="A695" s="58" t="n"/>
      <c r="B695" s="58" t="n"/>
      <c r="C695" s="59" t="n"/>
      <c r="D695" s="59" t="n"/>
      <c r="E695" s="59" t="n"/>
      <c r="F695" s="58" t="n"/>
      <c r="G695" s="60" t="n"/>
      <c r="H695" s="60" t="n"/>
      <c r="I695" s="61" t="n"/>
      <c r="J695" s="61" t="n"/>
      <c r="K695" s="61" t="n"/>
      <c r="L695" s="61" t="n"/>
      <c r="M695" s="61" t="n"/>
      <c r="N695" s="58" t="n"/>
      <c r="O695" s="59" t="n"/>
      <c r="P695" s="62" t="n"/>
      <c r="Q695" s="63" t="n"/>
      <c r="R695" s="61">
        <f>IF($P695&gt;0,CHOOSE(MATCH($B$4,'Служебный лист'!$A$4:$A$8,0),I695,J695,K695,L695,M695),"")</f>
        <v/>
      </c>
      <c r="S695" s="61">
        <f>IFERROR($P695*$R695,0)</f>
        <v/>
      </c>
      <c r="T695" s="61">
        <f>$S695*1.22</f>
        <v/>
      </c>
      <c r="U695" s="64">
        <f>IF($P695&gt;0,COUNTIF($P$11:P695,"&gt;0"),"")</f>
        <v/>
      </c>
    </row>
    <row r="696" ht="14.25" customHeight="1" s="49">
      <c r="A696" s="58" t="n"/>
      <c r="B696" s="58" t="n"/>
      <c r="C696" s="59" t="n"/>
      <c r="D696" s="59" t="n"/>
      <c r="E696" s="59" t="n"/>
      <c r="F696" s="58" t="n"/>
      <c r="G696" s="60" t="n"/>
      <c r="H696" s="60" t="n"/>
      <c r="I696" s="61" t="n"/>
      <c r="J696" s="61" t="n"/>
      <c r="K696" s="61" t="n"/>
      <c r="L696" s="61" t="n"/>
      <c r="M696" s="61" t="n"/>
      <c r="N696" s="58" t="n"/>
      <c r="O696" s="59" t="n"/>
      <c r="P696" s="62" t="n"/>
      <c r="Q696" s="63" t="n"/>
      <c r="R696" s="61">
        <f>IF($P696&gt;0,CHOOSE(MATCH($B$4,'Служебный лист'!$A$4:$A$8,0),I696,J696,K696,L696,M696),"")</f>
        <v/>
      </c>
      <c r="S696" s="61">
        <f>IFERROR($P696*$R696,0)</f>
        <v/>
      </c>
      <c r="T696" s="61">
        <f>$S696*1.22</f>
        <v/>
      </c>
      <c r="U696" s="64">
        <f>IF($P696&gt;0,COUNTIF($P$11:P696,"&gt;0"),"")</f>
        <v/>
      </c>
    </row>
    <row r="697" ht="14.25" customHeight="1" s="49">
      <c r="A697" s="58" t="n"/>
      <c r="B697" s="58" t="n"/>
      <c r="C697" s="59" t="n"/>
      <c r="D697" s="59" t="n"/>
      <c r="E697" s="59" t="n"/>
      <c r="F697" s="58" t="n"/>
      <c r="G697" s="60" t="n"/>
      <c r="H697" s="60" t="n"/>
      <c r="I697" s="61" t="n"/>
      <c r="J697" s="61" t="n"/>
      <c r="K697" s="61" t="n"/>
      <c r="L697" s="61" t="n"/>
      <c r="M697" s="61" t="n"/>
      <c r="N697" s="58" t="n"/>
      <c r="O697" s="59" t="n"/>
      <c r="P697" s="62" t="n"/>
      <c r="Q697" s="63" t="n"/>
      <c r="R697" s="61">
        <f>IF($P697&gt;0,CHOOSE(MATCH($B$4,'Служебный лист'!$A$4:$A$8,0),I697,J697,K697,L697,M697),"")</f>
        <v/>
      </c>
      <c r="S697" s="61">
        <f>IFERROR($P697*$R697,0)</f>
        <v/>
      </c>
      <c r="T697" s="61">
        <f>$S697*1.22</f>
        <v/>
      </c>
      <c r="U697" s="64">
        <f>IF($P697&gt;0,COUNTIF($P$11:P697,"&gt;0"),"")</f>
        <v/>
      </c>
    </row>
    <row r="698" ht="14.25" customHeight="1" s="49">
      <c r="A698" s="58" t="n"/>
      <c r="B698" s="58" t="n"/>
      <c r="C698" s="59" t="n"/>
      <c r="D698" s="59" t="n"/>
      <c r="E698" s="59" t="n"/>
      <c r="F698" s="58" t="n"/>
      <c r="G698" s="60" t="n"/>
      <c r="H698" s="60" t="n"/>
      <c r="I698" s="61" t="n"/>
      <c r="J698" s="61" t="n"/>
      <c r="K698" s="61" t="n"/>
      <c r="L698" s="61" t="n"/>
      <c r="M698" s="61" t="n"/>
      <c r="N698" s="58" t="n"/>
      <c r="O698" s="59" t="n"/>
      <c r="P698" s="62" t="n"/>
      <c r="Q698" s="63" t="n"/>
      <c r="R698" s="61">
        <f>IF($P698&gt;0,CHOOSE(MATCH($B$4,'Служебный лист'!$A$4:$A$8,0),I698,J698,K698,L698,M698),"")</f>
        <v/>
      </c>
      <c r="S698" s="61">
        <f>IFERROR($P698*$R698,0)</f>
        <v/>
      </c>
      <c r="T698" s="61">
        <f>$S698*1.22</f>
        <v/>
      </c>
      <c r="U698" s="64">
        <f>IF($P698&gt;0,COUNTIF($P$11:P698,"&gt;0"),"")</f>
        <v/>
      </c>
    </row>
    <row r="699" ht="14.25" customHeight="1" s="49">
      <c r="A699" s="58" t="n"/>
      <c r="B699" s="58" t="n"/>
      <c r="C699" s="59" t="n"/>
      <c r="D699" s="59" t="n"/>
      <c r="E699" s="59" t="n"/>
      <c r="F699" s="58" t="n"/>
      <c r="G699" s="60" t="n"/>
      <c r="H699" s="60" t="n"/>
      <c r="I699" s="61" t="n"/>
      <c r="J699" s="61" t="n"/>
      <c r="K699" s="61" t="n"/>
      <c r="L699" s="61" t="n"/>
      <c r="M699" s="61" t="n"/>
      <c r="N699" s="58" t="n"/>
      <c r="O699" s="59" t="n"/>
      <c r="P699" s="62" t="n"/>
      <c r="Q699" s="63" t="n"/>
      <c r="R699" s="61">
        <f>IF($P699&gt;0,CHOOSE(MATCH($B$4,'Служебный лист'!$A$4:$A$8,0),I699,J699,K699,L699,M699),"")</f>
        <v/>
      </c>
      <c r="S699" s="61">
        <f>IFERROR($P699*$R699,0)</f>
        <v/>
      </c>
      <c r="T699" s="61">
        <f>$S699*1.22</f>
        <v/>
      </c>
      <c r="U699" s="64">
        <f>IF($P699&gt;0,COUNTIF($P$11:P699,"&gt;0"),"")</f>
        <v/>
      </c>
    </row>
    <row r="700" ht="14.25" customHeight="1" s="49">
      <c r="A700" s="58" t="n"/>
      <c r="B700" s="58" t="n"/>
      <c r="C700" s="59" t="n"/>
      <c r="D700" s="59" t="n"/>
      <c r="E700" s="59" t="n"/>
      <c r="F700" s="58" t="n"/>
      <c r="G700" s="60" t="n"/>
      <c r="H700" s="60" t="n"/>
      <c r="I700" s="61" t="n"/>
      <c r="J700" s="61" t="n"/>
      <c r="K700" s="61" t="n"/>
      <c r="L700" s="61" t="n"/>
      <c r="M700" s="61" t="n"/>
      <c r="N700" s="58" t="n"/>
      <c r="O700" s="59" t="n"/>
      <c r="P700" s="62" t="n"/>
      <c r="Q700" s="63" t="n"/>
      <c r="R700" s="61">
        <f>IF($P700&gt;0,CHOOSE(MATCH($B$4,'Служебный лист'!$A$4:$A$8,0),I700,J700,K700,L700,M700),"")</f>
        <v/>
      </c>
      <c r="S700" s="61">
        <f>IFERROR($P700*$R700,0)</f>
        <v/>
      </c>
      <c r="T700" s="61">
        <f>$S700*1.22</f>
        <v/>
      </c>
      <c r="U700" s="64">
        <f>IF($P700&gt;0,COUNTIF($P$11:P700,"&gt;0"),"")</f>
        <v/>
      </c>
    </row>
    <row r="701" ht="14.25" customHeight="1" s="49">
      <c r="A701" s="58" t="n"/>
      <c r="B701" s="58" t="n"/>
      <c r="C701" s="59" t="n"/>
      <c r="D701" s="59" t="n"/>
      <c r="E701" s="59" t="n"/>
      <c r="F701" s="58" t="n"/>
      <c r="G701" s="60" t="n"/>
      <c r="H701" s="60" t="n"/>
      <c r="I701" s="61" t="n"/>
      <c r="J701" s="61" t="n"/>
      <c r="K701" s="61" t="n"/>
      <c r="L701" s="61" t="n"/>
      <c r="M701" s="61" t="n"/>
      <c r="N701" s="58" t="n"/>
      <c r="O701" s="59" t="n"/>
      <c r="P701" s="62" t="n"/>
      <c r="Q701" s="63" t="n"/>
      <c r="R701" s="61">
        <f>IF($P701&gt;0,CHOOSE(MATCH($B$4,'Служебный лист'!$A$4:$A$8,0),I701,J701,K701,L701,M701),"")</f>
        <v/>
      </c>
      <c r="S701" s="61">
        <f>IFERROR($P701*$R701,0)</f>
        <v/>
      </c>
      <c r="T701" s="61">
        <f>$S701*1.22</f>
        <v/>
      </c>
      <c r="U701" s="64">
        <f>IF($P701&gt;0,COUNTIF($P$11:P701,"&gt;0"),"")</f>
        <v/>
      </c>
    </row>
    <row r="702" ht="14.25" customHeight="1" s="49">
      <c r="A702" s="58" t="n"/>
      <c r="B702" s="58" t="n"/>
      <c r="C702" s="59" t="n"/>
      <c r="D702" s="59" t="n"/>
      <c r="E702" s="59" t="n"/>
      <c r="F702" s="58" t="n"/>
      <c r="G702" s="60" t="n"/>
      <c r="H702" s="60" t="n"/>
      <c r="I702" s="61" t="n"/>
      <c r="J702" s="61" t="n"/>
      <c r="K702" s="61" t="n"/>
      <c r="L702" s="61" t="n"/>
      <c r="M702" s="61" t="n"/>
      <c r="N702" s="58" t="n"/>
      <c r="O702" s="59" t="n"/>
      <c r="P702" s="62" t="n"/>
      <c r="Q702" s="63" t="n"/>
      <c r="R702" s="61">
        <f>IF($P702&gt;0,CHOOSE(MATCH($B$4,'Служебный лист'!$A$4:$A$8,0),I702,J702,K702,L702,M702),"")</f>
        <v/>
      </c>
      <c r="S702" s="61">
        <f>IFERROR($P702*$R702,0)</f>
        <v/>
      </c>
      <c r="T702" s="61">
        <f>$S702*1.22</f>
        <v/>
      </c>
      <c r="U702" s="64">
        <f>IF($P702&gt;0,COUNTIF($P$11:P702,"&gt;0"),"")</f>
        <v/>
      </c>
    </row>
    <row r="703" ht="14.25" customHeight="1" s="49">
      <c r="A703" s="58" t="n"/>
      <c r="B703" s="58" t="n"/>
      <c r="C703" s="59" t="n"/>
      <c r="D703" s="59" t="n"/>
      <c r="E703" s="59" t="n"/>
      <c r="F703" s="58" t="n"/>
      <c r="G703" s="60" t="n"/>
      <c r="H703" s="60" t="n"/>
      <c r="I703" s="61" t="n"/>
      <c r="J703" s="61" t="n"/>
      <c r="K703" s="61" t="n"/>
      <c r="L703" s="61" t="n"/>
      <c r="M703" s="61" t="n"/>
      <c r="N703" s="58" t="n"/>
      <c r="O703" s="59" t="n"/>
      <c r="P703" s="62" t="n"/>
      <c r="Q703" s="63" t="n"/>
      <c r="R703" s="61">
        <f>IF($P703&gt;0,CHOOSE(MATCH($B$4,'Служебный лист'!$A$4:$A$8,0),I703,J703,K703,L703,M703),"")</f>
        <v/>
      </c>
      <c r="S703" s="61">
        <f>IFERROR($P703*$R703,0)</f>
        <v/>
      </c>
      <c r="T703" s="61">
        <f>$S703*1.22</f>
        <v/>
      </c>
      <c r="U703" s="64">
        <f>IF($P703&gt;0,COUNTIF($P$11:P703,"&gt;0"),"")</f>
        <v/>
      </c>
    </row>
    <row r="704" ht="14.25" customHeight="1" s="49">
      <c r="A704" s="58" t="n"/>
      <c r="B704" s="58" t="n"/>
      <c r="C704" s="59" t="n"/>
      <c r="D704" s="59" t="n"/>
      <c r="E704" s="59" t="n"/>
      <c r="F704" s="58" t="n"/>
      <c r="G704" s="60" t="n"/>
      <c r="H704" s="60" t="n"/>
      <c r="I704" s="61" t="n"/>
      <c r="J704" s="61" t="n"/>
      <c r="K704" s="61" t="n"/>
      <c r="L704" s="61" t="n"/>
      <c r="M704" s="61" t="n"/>
      <c r="N704" s="58" t="n"/>
      <c r="O704" s="59" t="n"/>
      <c r="P704" s="62" t="n"/>
      <c r="Q704" s="63" t="n"/>
      <c r="R704" s="61">
        <f>IF($P704&gt;0,CHOOSE(MATCH($B$4,'Служебный лист'!$A$4:$A$8,0),I704,J704,K704,L704,M704),"")</f>
        <v/>
      </c>
      <c r="S704" s="61">
        <f>IFERROR($P704*$R704,0)</f>
        <v/>
      </c>
      <c r="T704" s="61">
        <f>$S704*1.22</f>
        <v/>
      </c>
      <c r="U704" s="64">
        <f>IF($P704&gt;0,COUNTIF($P$11:P704,"&gt;0"),"")</f>
        <v/>
      </c>
    </row>
    <row r="705" ht="14.25" customHeight="1" s="49">
      <c r="A705" s="58" t="n"/>
      <c r="B705" s="58" t="n"/>
      <c r="C705" s="59" t="n"/>
      <c r="D705" s="59" t="n"/>
      <c r="E705" s="59" t="n"/>
      <c r="F705" s="58" t="n"/>
      <c r="G705" s="60" t="n"/>
      <c r="H705" s="60" t="n"/>
      <c r="I705" s="61" t="n"/>
      <c r="J705" s="61" t="n"/>
      <c r="K705" s="61" t="n"/>
      <c r="L705" s="61" t="n"/>
      <c r="M705" s="61" t="n"/>
      <c r="N705" s="58" t="n"/>
      <c r="O705" s="59" t="n"/>
      <c r="P705" s="62" t="n"/>
      <c r="Q705" s="63" t="n"/>
      <c r="R705" s="61">
        <f>IF($P705&gt;0,CHOOSE(MATCH($B$4,'Служебный лист'!$A$4:$A$8,0),I705,J705,K705,L705,M705),"")</f>
        <v/>
      </c>
      <c r="S705" s="61">
        <f>IFERROR($P705*$R705,0)</f>
        <v/>
      </c>
      <c r="T705" s="61">
        <f>$S705*1.22</f>
        <v/>
      </c>
      <c r="U705" s="64">
        <f>IF($P705&gt;0,COUNTIF($P$11:P705,"&gt;0"),"")</f>
        <v/>
      </c>
    </row>
    <row r="706" ht="14.25" customHeight="1" s="49">
      <c r="A706" s="58" t="n"/>
      <c r="B706" s="58" t="n"/>
      <c r="C706" s="59" t="n"/>
      <c r="D706" s="59" t="n"/>
      <c r="E706" s="59" t="n"/>
      <c r="F706" s="58" t="n"/>
      <c r="G706" s="60" t="n"/>
      <c r="H706" s="60" t="n"/>
      <c r="I706" s="61" t="n"/>
      <c r="J706" s="61" t="n"/>
      <c r="K706" s="61" t="n"/>
      <c r="L706" s="61" t="n"/>
      <c r="M706" s="61" t="n"/>
      <c r="N706" s="58" t="n"/>
      <c r="O706" s="59" t="n"/>
      <c r="P706" s="62" t="n"/>
      <c r="Q706" s="63" t="n"/>
      <c r="R706" s="61">
        <f>IF($P706&gt;0,CHOOSE(MATCH($B$4,'Служебный лист'!$A$4:$A$8,0),I706,J706,K706,L706,M706),"")</f>
        <v/>
      </c>
      <c r="S706" s="61">
        <f>IFERROR($P706*$R706,0)</f>
        <v/>
      </c>
      <c r="T706" s="61">
        <f>$S706*1.22</f>
        <v/>
      </c>
      <c r="U706" s="64">
        <f>IF($P706&gt;0,COUNTIF($P$11:P706,"&gt;0"),"")</f>
        <v/>
      </c>
    </row>
    <row r="707" ht="14.25" customHeight="1" s="49">
      <c r="A707" s="58" t="n"/>
      <c r="B707" s="58" t="n"/>
      <c r="C707" s="59" t="n"/>
      <c r="D707" s="59" t="n"/>
      <c r="E707" s="59" t="n"/>
      <c r="F707" s="58" t="n"/>
      <c r="G707" s="60" t="n"/>
      <c r="H707" s="60" t="n"/>
      <c r="I707" s="61" t="n"/>
      <c r="J707" s="61" t="n"/>
      <c r="K707" s="61" t="n"/>
      <c r="L707" s="61" t="n"/>
      <c r="M707" s="61" t="n"/>
      <c r="N707" s="58" t="n"/>
      <c r="O707" s="59" t="n"/>
      <c r="P707" s="62" t="n"/>
      <c r="Q707" s="63" t="n"/>
      <c r="R707" s="61">
        <f>IF($P707&gt;0,CHOOSE(MATCH($B$4,'Служебный лист'!$A$4:$A$8,0),I707,J707,K707,L707,M707),"")</f>
        <v/>
      </c>
      <c r="S707" s="61">
        <f>IFERROR($P707*$R707,0)</f>
        <v/>
      </c>
      <c r="T707" s="61">
        <f>$S707*1.22</f>
        <v/>
      </c>
      <c r="U707" s="64">
        <f>IF($P707&gt;0,COUNTIF($P$11:P707,"&gt;0"),"")</f>
        <v/>
      </c>
    </row>
    <row r="708" ht="14.25" customHeight="1" s="49">
      <c r="A708" s="58" t="n"/>
      <c r="B708" s="58" t="n"/>
      <c r="C708" s="59" t="n"/>
      <c r="D708" s="59" t="n"/>
      <c r="E708" s="59" t="n"/>
      <c r="F708" s="58" t="n"/>
      <c r="G708" s="60" t="n"/>
      <c r="H708" s="60" t="n"/>
      <c r="I708" s="61" t="n"/>
      <c r="J708" s="61" t="n"/>
      <c r="K708" s="61" t="n"/>
      <c r="L708" s="61" t="n"/>
      <c r="M708" s="61" t="n"/>
      <c r="N708" s="58" t="n"/>
      <c r="O708" s="59" t="n"/>
      <c r="P708" s="62" t="n"/>
      <c r="Q708" s="63" t="n"/>
      <c r="R708" s="61">
        <f>IF($P708&gt;0,CHOOSE(MATCH($B$4,'Служебный лист'!$A$4:$A$8,0),I708,J708,K708,L708,M708),"")</f>
        <v/>
      </c>
      <c r="S708" s="61">
        <f>IFERROR($P708*$R708,0)</f>
        <v/>
      </c>
      <c r="T708" s="61">
        <f>$S708*1.22</f>
        <v/>
      </c>
      <c r="U708" s="64">
        <f>IF($P708&gt;0,COUNTIF($P$11:P708,"&gt;0"),"")</f>
        <v/>
      </c>
    </row>
    <row r="709" ht="14.25" customHeight="1" s="49">
      <c r="A709" s="58" t="n"/>
      <c r="B709" s="58" t="n"/>
      <c r="C709" s="59" t="n"/>
      <c r="D709" s="59" t="n"/>
      <c r="E709" s="59" t="n"/>
      <c r="F709" s="58" t="n"/>
      <c r="G709" s="60" t="n"/>
      <c r="H709" s="60" t="n"/>
      <c r="I709" s="61" t="n"/>
      <c r="J709" s="61" t="n"/>
      <c r="K709" s="61" t="n"/>
      <c r="L709" s="61" t="n"/>
      <c r="M709" s="61" t="n"/>
      <c r="N709" s="58" t="n"/>
      <c r="O709" s="59" t="n"/>
      <c r="P709" s="62" t="n"/>
      <c r="Q709" s="63" t="n"/>
      <c r="R709" s="61">
        <f>IF($P709&gt;0,CHOOSE(MATCH($B$4,'Служебный лист'!$A$4:$A$8,0),I709,J709,K709,L709,M709),"")</f>
        <v/>
      </c>
      <c r="S709" s="61">
        <f>IFERROR($P709*$R709,0)</f>
        <v/>
      </c>
      <c r="T709" s="61">
        <f>$S709*1.22</f>
        <v/>
      </c>
      <c r="U709" s="64">
        <f>IF($P709&gt;0,COUNTIF($P$11:P709,"&gt;0"),"")</f>
        <v/>
      </c>
    </row>
    <row r="710" ht="14.25" customHeight="1" s="49">
      <c r="A710" s="58" t="n"/>
      <c r="B710" s="58" t="n"/>
      <c r="C710" s="59" t="n"/>
      <c r="D710" s="59" t="n"/>
      <c r="E710" s="59" t="n"/>
      <c r="F710" s="58" t="n"/>
      <c r="G710" s="60" t="n"/>
      <c r="H710" s="60" t="n"/>
      <c r="I710" s="61" t="n"/>
      <c r="J710" s="61" t="n"/>
      <c r="K710" s="61" t="n"/>
      <c r="L710" s="61" t="n"/>
      <c r="M710" s="61" t="n"/>
      <c r="N710" s="58" t="n"/>
      <c r="O710" s="59" t="n"/>
      <c r="P710" s="62" t="n"/>
      <c r="Q710" s="63" t="n"/>
      <c r="R710" s="61">
        <f>IF($P710&gt;0,CHOOSE(MATCH($B$4,'Служебный лист'!$A$4:$A$8,0),I710,J710,K710,L710,M710),"")</f>
        <v/>
      </c>
      <c r="S710" s="61">
        <f>IFERROR($P710*$R710,0)</f>
        <v/>
      </c>
      <c r="T710" s="61">
        <f>$S710*1.22</f>
        <v/>
      </c>
      <c r="U710" s="64">
        <f>IF($P710&gt;0,COUNTIF($P$11:P710,"&gt;0"),"")</f>
        <v/>
      </c>
    </row>
    <row r="711" ht="14.25" customHeight="1" s="49">
      <c r="A711" s="58" t="n"/>
      <c r="B711" s="58" t="n"/>
      <c r="C711" s="59" t="n"/>
      <c r="D711" s="59" t="n"/>
      <c r="E711" s="59" t="n"/>
      <c r="F711" s="58" t="n"/>
      <c r="G711" s="60" t="n"/>
      <c r="H711" s="60" t="n"/>
      <c r="I711" s="61" t="n"/>
      <c r="J711" s="61" t="n"/>
      <c r="K711" s="61" t="n"/>
      <c r="L711" s="61" t="n"/>
      <c r="M711" s="61" t="n"/>
      <c r="N711" s="58" t="n"/>
      <c r="O711" s="59" t="n"/>
      <c r="P711" s="62" t="n"/>
      <c r="Q711" s="63" t="n"/>
      <c r="R711" s="61">
        <f>IF($P711&gt;0,CHOOSE(MATCH($B$4,'Служебный лист'!$A$4:$A$8,0),I711,J711,K711,L711,M711),"")</f>
        <v/>
      </c>
      <c r="S711" s="61">
        <f>IFERROR($P711*$R711,0)</f>
        <v/>
      </c>
      <c r="T711" s="61">
        <f>$S711*1.22</f>
        <v/>
      </c>
      <c r="U711" s="64">
        <f>IF($P711&gt;0,COUNTIF($P$11:P711,"&gt;0"),"")</f>
        <v/>
      </c>
    </row>
    <row r="712" ht="14.25" customHeight="1" s="49">
      <c r="A712" s="58" t="n"/>
      <c r="B712" s="58" t="n"/>
      <c r="C712" s="59" t="n"/>
      <c r="D712" s="59" t="n"/>
      <c r="E712" s="59" t="n"/>
      <c r="F712" s="58" t="n"/>
      <c r="G712" s="60" t="n"/>
      <c r="H712" s="60" t="n"/>
      <c r="I712" s="61" t="n"/>
      <c r="J712" s="61" t="n"/>
      <c r="K712" s="61" t="n"/>
      <c r="L712" s="61" t="n"/>
      <c r="M712" s="61" t="n"/>
      <c r="N712" s="58" t="n"/>
      <c r="O712" s="59" t="n"/>
      <c r="P712" s="62" t="n"/>
      <c r="Q712" s="63" t="n"/>
      <c r="R712" s="61">
        <f>IF($P712&gt;0,CHOOSE(MATCH($B$4,'Служебный лист'!$A$4:$A$8,0),I712,J712,K712,L712,M712),"")</f>
        <v/>
      </c>
      <c r="S712" s="61">
        <f>IFERROR($P712*$R712,0)</f>
        <v/>
      </c>
      <c r="T712" s="61">
        <f>$S712*1.22</f>
        <v/>
      </c>
      <c r="U712" s="64">
        <f>IF($P712&gt;0,COUNTIF($P$11:P712,"&gt;0"),"")</f>
        <v/>
      </c>
    </row>
    <row r="713" ht="14.25" customHeight="1" s="49">
      <c r="A713" s="58" t="n"/>
      <c r="B713" s="58" t="n"/>
      <c r="C713" s="59" t="n"/>
      <c r="D713" s="59" t="n"/>
      <c r="E713" s="59" t="n"/>
      <c r="F713" s="58" t="n"/>
      <c r="G713" s="60" t="n"/>
      <c r="H713" s="60" t="n"/>
      <c r="I713" s="61" t="n"/>
      <c r="J713" s="61" t="n"/>
      <c r="K713" s="61" t="n"/>
      <c r="L713" s="61" t="n"/>
      <c r="M713" s="61" t="n"/>
      <c r="N713" s="58" t="n"/>
      <c r="O713" s="59" t="n"/>
      <c r="P713" s="62" t="n"/>
      <c r="Q713" s="63" t="n"/>
      <c r="R713" s="61">
        <f>IF($P713&gt;0,CHOOSE(MATCH($B$4,'Служебный лист'!$A$4:$A$8,0),I713,J713,K713,L713,M713),"")</f>
        <v/>
      </c>
      <c r="S713" s="61">
        <f>IFERROR($P713*$R713,0)</f>
        <v/>
      </c>
      <c r="T713" s="61">
        <f>$S713*1.22</f>
        <v/>
      </c>
      <c r="U713" s="64">
        <f>IF($P713&gt;0,COUNTIF($P$11:P713,"&gt;0"),"")</f>
        <v/>
      </c>
    </row>
    <row r="714" ht="14.25" customHeight="1" s="49">
      <c r="A714" s="58" t="n"/>
      <c r="B714" s="58" t="n"/>
      <c r="C714" s="59" t="n"/>
      <c r="D714" s="59" t="n"/>
      <c r="E714" s="59" t="n"/>
      <c r="F714" s="58" t="n"/>
      <c r="G714" s="60" t="n"/>
      <c r="H714" s="60" t="n"/>
      <c r="I714" s="61" t="n"/>
      <c r="J714" s="61" t="n"/>
      <c r="K714" s="61" t="n"/>
      <c r="L714" s="61" t="n"/>
      <c r="M714" s="61" t="n"/>
      <c r="N714" s="58" t="n"/>
      <c r="O714" s="59" t="n"/>
      <c r="P714" s="62" t="n"/>
      <c r="Q714" s="63" t="n"/>
      <c r="R714" s="61">
        <f>IF($P714&gt;0,CHOOSE(MATCH($B$4,'Служебный лист'!$A$4:$A$8,0),I714,J714,K714,L714,M714),"")</f>
        <v/>
      </c>
      <c r="S714" s="61">
        <f>IFERROR($P714*$R714,0)</f>
        <v/>
      </c>
      <c r="T714" s="61">
        <f>$S714*1.22</f>
        <v/>
      </c>
      <c r="U714" s="64">
        <f>IF($P714&gt;0,COUNTIF($P$11:P714,"&gt;0"),"")</f>
        <v/>
      </c>
    </row>
    <row r="715" ht="14.25" customHeight="1" s="49">
      <c r="A715" s="58" t="n"/>
      <c r="B715" s="58" t="n"/>
      <c r="C715" s="59" t="n"/>
      <c r="D715" s="59" t="n"/>
      <c r="E715" s="59" t="n"/>
      <c r="F715" s="58" t="n"/>
      <c r="G715" s="60" t="n"/>
      <c r="H715" s="60" t="n"/>
      <c r="I715" s="61" t="n"/>
      <c r="J715" s="61" t="n"/>
      <c r="K715" s="61" t="n"/>
      <c r="L715" s="61" t="n"/>
      <c r="M715" s="61" t="n"/>
      <c r="N715" s="58" t="n"/>
      <c r="O715" s="59" t="n"/>
      <c r="P715" s="62" t="n"/>
      <c r="Q715" s="63" t="n"/>
      <c r="R715" s="61">
        <f>IF($P715&gt;0,CHOOSE(MATCH($B$4,'Служебный лист'!$A$4:$A$8,0),I715,J715,K715,L715,M715),"")</f>
        <v/>
      </c>
      <c r="S715" s="61">
        <f>IFERROR($P715*$R715,0)</f>
        <v/>
      </c>
      <c r="T715" s="61">
        <f>$S715*1.22</f>
        <v/>
      </c>
      <c r="U715" s="64">
        <f>IF($P715&gt;0,COUNTIF($P$11:P715,"&gt;0"),"")</f>
        <v/>
      </c>
    </row>
    <row r="716" ht="14.25" customHeight="1" s="49">
      <c r="A716" s="58" t="n"/>
      <c r="B716" s="58" t="n"/>
      <c r="C716" s="59" t="n"/>
      <c r="D716" s="59" t="n"/>
      <c r="E716" s="59" t="n"/>
      <c r="F716" s="58" t="n"/>
      <c r="G716" s="60" t="n"/>
      <c r="H716" s="60" t="n"/>
      <c r="I716" s="61" t="n"/>
      <c r="J716" s="61" t="n"/>
      <c r="K716" s="61" t="n"/>
      <c r="L716" s="61" t="n"/>
      <c r="M716" s="61" t="n"/>
      <c r="N716" s="58" t="n"/>
      <c r="O716" s="59" t="n"/>
      <c r="P716" s="62" t="n"/>
      <c r="Q716" s="63" t="n"/>
      <c r="R716" s="61">
        <f>IF($P716&gt;0,CHOOSE(MATCH($B$4,'Служебный лист'!$A$4:$A$8,0),I716,J716,K716,L716,M716),"")</f>
        <v/>
      </c>
      <c r="S716" s="61">
        <f>IFERROR($P716*$R716,0)</f>
        <v/>
      </c>
      <c r="T716" s="61">
        <f>$S716*1.22</f>
        <v/>
      </c>
      <c r="U716" s="64">
        <f>IF($P716&gt;0,COUNTIF($P$11:P716,"&gt;0"),"")</f>
        <v/>
      </c>
    </row>
    <row r="717" ht="14.25" customHeight="1" s="49">
      <c r="A717" s="58" t="n"/>
      <c r="B717" s="58" t="n"/>
      <c r="C717" s="59" t="n"/>
      <c r="D717" s="59" t="n"/>
      <c r="E717" s="59" t="n"/>
      <c r="F717" s="58" t="n"/>
      <c r="G717" s="60" t="n"/>
      <c r="H717" s="60" t="n"/>
      <c r="I717" s="61" t="n"/>
      <c r="J717" s="61" t="n"/>
      <c r="K717" s="61" t="n"/>
      <c r="L717" s="61" t="n"/>
      <c r="M717" s="61" t="n"/>
      <c r="N717" s="58" t="n"/>
      <c r="O717" s="59" t="n"/>
      <c r="P717" s="62" t="n"/>
      <c r="Q717" s="63" t="n"/>
      <c r="R717" s="61">
        <f>IF($P717&gt;0,CHOOSE(MATCH($B$4,'Служебный лист'!$A$4:$A$8,0),I717,J717,K717,L717,M717),"")</f>
        <v/>
      </c>
      <c r="S717" s="61">
        <f>IFERROR($P717*$R717,0)</f>
        <v/>
      </c>
      <c r="T717" s="61">
        <f>$S717*1.22</f>
        <v/>
      </c>
      <c r="U717" s="64">
        <f>IF($P717&gt;0,COUNTIF($P$11:P717,"&gt;0"),"")</f>
        <v/>
      </c>
    </row>
    <row r="718" ht="14.25" customHeight="1" s="49">
      <c r="A718" s="58" t="n"/>
      <c r="B718" s="58" t="n"/>
      <c r="C718" s="59" t="n"/>
      <c r="D718" s="59" t="n"/>
      <c r="E718" s="59" t="n"/>
      <c r="F718" s="58" t="n"/>
      <c r="G718" s="60" t="n"/>
      <c r="H718" s="60" t="n"/>
      <c r="I718" s="61" t="n"/>
      <c r="J718" s="61" t="n"/>
      <c r="K718" s="61" t="n"/>
      <c r="L718" s="61" t="n"/>
      <c r="M718" s="61" t="n"/>
      <c r="N718" s="58" t="n"/>
      <c r="O718" s="59" t="n"/>
      <c r="P718" s="62" t="n"/>
      <c r="Q718" s="63" t="n"/>
      <c r="R718" s="61">
        <f>IF($P718&gt;0,CHOOSE(MATCH($B$4,'Служебный лист'!$A$4:$A$8,0),I718,J718,K718,L718,M718),"")</f>
        <v/>
      </c>
      <c r="S718" s="61">
        <f>IFERROR($P718*$R718,0)</f>
        <v/>
      </c>
      <c r="T718" s="61">
        <f>$S718*1.22</f>
        <v/>
      </c>
      <c r="U718" s="64">
        <f>IF($P718&gt;0,COUNTIF($P$11:P718,"&gt;0"),"")</f>
        <v/>
      </c>
    </row>
    <row r="719" ht="14.25" customHeight="1" s="49">
      <c r="A719" s="58" t="n"/>
      <c r="B719" s="58" t="n"/>
      <c r="C719" s="59" t="n"/>
      <c r="D719" s="59" t="n"/>
      <c r="E719" s="59" t="n"/>
      <c r="F719" s="58" t="n"/>
      <c r="G719" s="60" t="n"/>
      <c r="H719" s="60" t="n"/>
      <c r="I719" s="61" t="n"/>
      <c r="J719" s="61" t="n"/>
      <c r="K719" s="61" t="n"/>
      <c r="L719" s="61" t="n"/>
      <c r="M719" s="61" t="n"/>
      <c r="N719" s="58" t="n"/>
      <c r="O719" s="59" t="n"/>
      <c r="P719" s="62" t="n"/>
      <c r="Q719" s="63" t="n"/>
      <c r="R719" s="61">
        <f>IF($P719&gt;0,CHOOSE(MATCH($B$4,'Служебный лист'!$A$4:$A$8,0),I719,J719,K719,L719,M719),"")</f>
        <v/>
      </c>
      <c r="S719" s="61">
        <f>IFERROR($P719*$R719,0)</f>
        <v/>
      </c>
      <c r="T719" s="61">
        <f>$S719*1.22</f>
        <v/>
      </c>
      <c r="U719" s="64">
        <f>IF($P719&gt;0,COUNTIF($P$11:P719,"&gt;0"),"")</f>
        <v/>
      </c>
    </row>
    <row r="720" ht="14.25" customHeight="1" s="49">
      <c r="A720" s="58" t="n"/>
      <c r="B720" s="58" t="n"/>
      <c r="C720" s="59" t="n"/>
      <c r="D720" s="59" t="n"/>
      <c r="E720" s="59" t="n"/>
      <c r="F720" s="58" t="n"/>
      <c r="G720" s="60" t="n"/>
      <c r="H720" s="60" t="n"/>
      <c r="I720" s="61" t="n"/>
      <c r="J720" s="61" t="n"/>
      <c r="K720" s="61" t="n"/>
      <c r="L720" s="61" t="n"/>
      <c r="M720" s="61" t="n"/>
      <c r="N720" s="58" t="n"/>
      <c r="O720" s="59" t="n"/>
      <c r="P720" s="62" t="n"/>
      <c r="Q720" s="63" t="n"/>
      <c r="R720" s="61">
        <f>IF($P720&gt;0,CHOOSE(MATCH($B$4,'Служебный лист'!$A$4:$A$8,0),I720,J720,K720,L720,M720),"")</f>
        <v/>
      </c>
      <c r="S720" s="61">
        <f>IFERROR($P720*$R720,0)</f>
        <v/>
      </c>
      <c r="T720" s="61">
        <f>$S720*1.22</f>
        <v/>
      </c>
      <c r="U720" s="64">
        <f>IF($P720&gt;0,COUNTIF($P$11:P720,"&gt;0"),"")</f>
        <v/>
      </c>
    </row>
    <row r="721" ht="14.25" customHeight="1" s="49">
      <c r="A721" s="58" t="n"/>
      <c r="B721" s="58" t="n"/>
      <c r="C721" s="59" t="n"/>
      <c r="D721" s="59" t="n"/>
      <c r="E721" s="59" t="n"/>
      <c r="F721" s="58" t="n"/>
      <c r="G721" s="60" t="n"/>
      <c r="H721" s="60" t="n"/>
      <c r="I721" s="61" t="n"/>
      <c r="J721" s="61" t="n"/>
      <c r="K721" s="61" t="n"/>
      <c r="L721" s="61" t="n"/>
      <c r="M721" s="61" t="n"/>
      <c r="N721" s="58" t="n"/>
      <c r="O721" s="59" t="n"/>
      <c r="P721" s="62" t="n"/>
      <c r="Q721" s="63" t="n"/>
      <c r="R721" s="61">
        <f>IF($P721&gt;0,CHOOSE(MATCH($B$4,'Служебный лист'!$A$4:$A$8,0),I721,J721,K721,L721,M721),"")</f>
        <v/>
      </c>
      <c r="S721" s="61">
        <f>IFERROR($P721*$R721,0)</f>
        <v/>
      </c>
      <c r="T721" s="61">
        <f>$S721*1.22</f>
        <v/>
      </c>
      <c r="U721" s="64">
        <f>IF($P721&gt;0,COUNTIF($P$11:P721,"&gt;0"),"")</f>
        <v/>
      </c>
    </row>
    <row r="722" ht="14.25" customHeight="1" s="49">
      <c r="A722" s="58" t="n"/>
      <c r="B722" s="58" t="n"/>
      <c r="C722" s="59" t="n"/>
      <c r="D722" s="59" t="n"/>
      <c r="E722" s="59" t="n"/>
      <c r="F722" s="58" t="n"/>
      <c r="G722" s="60" t="n"/>
      <c r="H722" s="60" t="n"/>
      <c r="I722" s="61" t="n"/>
      <c r="J722" s="61" t="n"/>
      <c r="K722" s="61" t="n"/>
      <c r="L722" s="61" t="n"/>
      <c r="M722" s="61" t="n"/>
      <c r="N722" s="58" t="n"/>
      <c r="O722" s="59" t="n"/>
      <c r="P722" s="62" t="n"/>
      <c r="Q722" s="63" t="n"/>
      <c r="R722" s="61">
        <f>IF($P722&gt;0,CHOOSE(MATCH($B$4,'Служебный лист'!$A$4:$A$8,0),I722,J722,K722,L722,M722),"")</f>
        <v/>
      </c>
      <c r="S722" s="61">
        <f>IFERROR($P722*$R722,0)</f>
        <v/>
      </c>
      <c r="T722" s="61">
        <f>$S722*1.22</f>
        <v/>
      </c>
      <c r="U722" s="64">
        <f>IF($P722&gt;0,COUNTIF($P$11:P722,"&gt;0"),"")</f>
        <v/>
      </c>
    </row>
    <row r="723" ht="14.25" customHeight="1" s="49">
      <c r="A723" s="58" t="n"/>
      <c r="B723" s="58" t="n"/>
      <c r="C723" s="59" t="n"/>
      <c r="D723" s="59" t="n"/>
      <c r="E723" s="59" t="n"/>
      <c r="F723" s="58" t="n"/>
      <c r="G723" s="60" t="n"/>
      <c r="H723" s="60" t="n"/>
      <c r="I723" s="61" t="n"/>
      <c r="J723" s="61" t="n"/>
      <c r="K723" s="61" t="n"/>
      <c r="L723" s="61" t="n"/>
      <c r="M723" s="61" t="n"/>
      <c r="N723" s="58" t="n"/>
      <c r="O723" s="59" t="n"/>
      <c r="P723" s="62" t="n"/>
      <c r="Q723" s="63" t="n"/>
      <c r="R723" s="61">
        <f>IF($P723&gt;0,CHOOSE(MATCH($B$4,'Служебный лист'!$A$4:$A$8,0),I723,J723,K723,L723,M723),"")</f>
        <v/>
      </c>
      <c r="S723" s="61">
        <f>IFERROR($P723*$R723,0)</f>
        <v/>
      </c>
      <c r="T723" s="61">
        <f>$S723*1.22</f>
        <v/>
      </c>
      <c r="U723" s="64">
        <f>IF($P723&gt;0,COUNTIF($P$11:P723,"&gt;0"),"")</f>
        <v/>
      </c>
    </row>
    <row r="724" ht="14.25" customHeight="1" s="49">
      <c r="A724" s="58" t="n"/>
      <c r="B724" s="58" t="n"/>
      <c r="C724" s="59" t="n"/>
      <c r="D724" s="59" t="n"/>
      <c r="E724" s="59" t="n"/>
      <c r="F724" s="58" t="n"/>
      <c r="G724" s="60" t="n"/>
      <c r="H724" s="60" t="n"/>
      <c r="I724" s="61" t="n"/>
      <c r="J724" s="61" t="n"/>
      <c r="K724" s="61" t="n"/>
      <c r="L724" s="61" t="n"/>
      <c r="M724" s="61" t="n"/>
      <c r="N724" s="58" t="n"/>
      <c r="O724" s="59" t="n"/>
      <c r="P724" s="62" t="n"/>
      <c r="Q724" s="63" t="n"/>
      <c r="R724" s="61">
        <f>IF($P724&gt;0,CHOOSE(MATCH($B$4,'Служебный лист'!$A$4:$A$8,0),I724,J724,K724,L724,M724),"")</f>
        <v/>
      </c>
      <c r="S724" s="61">
        <f>IFERROR($P724*$R724,0)</f>
        <v/>
      </c>
      <c r="T724" s="61">
        <f>$S724*1.22</f>
        <v/>
      </c>
      <c r="U724" s="64">
        <f>IF($P724&gt;0,COUNTIF($P$11:P724,"&gt;0"),"")</f>
        <v/>
      </c>
    </row>
    <row r="725" ht="14.25" customHeight="1" s="49">
      <c r="A725" s="58" t="n"/>
      <c r="B725" s="58" t="n"/>
      <c r="C725" s="59" t="n"/>
      <c r="D725" s="59" t="n"/>
      <c r="E725" s="59" t="n"/>
      <c r="F725" s="58" t="n"/>
      <c r="G725" s="60" t="n"/>
      <c r="H725" s="60" t="n"/>
      <c r="I725" s="61" t="n"/>
      <c r="J725" s="61" t="n"/>
      <c r="K725" s="61" t="n"/>
      <c r="L725" s="61" t="n"/>
      <c r="M725" s="61" t="n"/>
      <c r="N725" s="58" t="n"/>
      <c r="O725" s="59" t="n"/>
      <c r="P725" s="62" t="n"/>
      <c r="Q725" s="63" t="n"/>
      <c r="R725" s="61">
        <f>IF($P725&gt;0,CHOOSE(MATCH($B$4,'Служебный лист'!$A$4:$A$8,0),I725,J725,K725,L725,M725),"")</f>
        <v/>
      </c>
      <c r="S725" s="61">
        <f>IFERROR($P725*$R725,0)</f>
        <v/>
      </c>
      <c r="T725" s="61">
        <f>$S725*1.22</f>
        <v/>
      </c>
      <c r="U725" s="64">
        <f>IF($P725&gt;0,COUNTIF($P$11:P725,"&gt;0"),"")</f>
        <v/>
      </c>
    </row>
    <row r="726" ht="14.25" customHeight="1" s="49">
      <c r="A726" s="58" t="n"/>
      <c r="B726" s="58" t="n"/>
      <c r="C726" s="59" t="n"/>
      <c r="D726" s="59" t="n"/>
      <c r="E726" s="59" t="n"/>
      <c r="F726" s="58" t="n"/>
      <c r="G726" s="60" t="n"/>
      <c r="H726" s="60" t="n"/>
      <c r="I726" s="61" t="n"/>
      <c r="J726" s="61" t="n"/>
      <c r="K726" s="61" t="n"/>
      <c r="L726" s="61" t="n"/>
      <c r="M726" s="61" t="n"/>
      <c r="N726" s="58" t="n"/>
      <c r="O726" s="59" t="n"/>
      <c r="P726" s="62" t="n"/>
      <c r="Q726" s="63" t="n"/>
      <c r="R726" s="61">
        <f>IF($P726&gt;0,CHOOSE(MATCH($B$4,'Служебный лист'!$A$4:$A$8,0),I726,J726,K726,L726,M726),"")</f>
        <v/>
      </c>
      <c r="S726" s="61">
        <f>IFERROR($P726*$R726,0)</f>
        <v/>
      </c>
      <c r="T726" s="61">
        <f>$S726*1.22</f>
        <v/>
      </c>
      <c r="U726" s="64">
        <f>IF($P726&gt;0,COUNTIF($P$11:P726,"&gt;0"),"")</f>
        <v/>
      </c>
    </row>
    <row r="727" ht="14.25" customHeight="1" s="49">
      <c r="A727" s="58" t="n"/>
      <c r="B727" s="58" t="n"/>
      <c r="C727" s="59" t="n"/>
      <c r="D727" s="59" t="n"/>
      <c r="E727" s="59" t="n"/>
      <c r="F727" s="58" t="n"/>
      <c r="G727" s="60" t="n"/>
      <c r="H727" s="60" t="n"/>
      <c r="I727" s="61" t="n"/>
      <c r="J727" s="61" t="n"/>
      <c r="K727" s="61" t="n"/>
      <c r="L727" s="61" t="n"/>
      <c r="M727" s="61" t="n"/>
      <c r="N727" s="58" t="n"/>
      <c r="O727" s="59" t="n"/>
      <c r="P727" s="62" t="n"/>
      <c r="Q727" s="63" t="n"/>
      <c r="R727" s="61">
        <f>IF($P727&gt;0,CHOOSE(MATCH($B$4,'Служебный лист'!$A$4:$A$8,0),I727,J727,K727,L727,M727),"")</f>
        <v/>
      </c>
      <c r="S727" s="61">
        <f>IFERROR($P727*$R727,0)</f>
        <v/>
      </c>
      <c r="T727" s="61">
        <f>$S727*1.22</f>
        <v/>
      </c>
      <c r="U727" s="64">
        <f>IF($P727&gt;0,COUNTIF($P$11:P727,"&gt;0"),"")</f>
        <v/>
      </c>
    </row>
    <row r="728" ht="14.25" customHeight="1" s="49">
      <c r="A728" s="58" t="n"/>
      <c r="B728" s="58" t="n"/>
      <c r="C728" s="59" t="n"/>
      <c r="D728" s="59" t="n"/>
      <c r="E728" s="59" t="n"/>
      <c r="F728" s="58" t="n"/>
      <c r="G728" s="60" t="n"/>
      <c r="H728" s="60" t="n"/>
      <c r="I728" s="61" t="n"/>
      <c r="J728" s="61" t="n"/>
      <c r="K728" s="61" t="n"/>
      <c r="L728" s="61" t="n"/>
      <c r="M728" s="61" t="n"/>
      <c r="N728" s="58" t="n"/>
      <c r="O728" s="59" t="n"/>
      <c r="P728" s="62" t="n"/>
      <c r="Q728" s="63" t="n"/>
      <c r="R728" s="61">
        <f>IF($P728&gt;0,CHOOSE(MATCH($B$4,'Служебный лист'!$A$4:$A$8,0),I728,J728,K728,L728,M728),"")</f>
        <v/>
      </c>
      <c r="S728" s="61">
        <f>IFERROR($P728*$R728,0)</f>
        <v/>
      </c>
      <c r="T728" s="61">
        <f>$S728*1.22</f>
        <v/>
      </c>
      <c r="U728" s="64">
        <f>IF($P728&gt;0,COUNTIF($P$11:P728,"&gt;0"),"")</f>
        <v/>
      </c>
    </row>
    <row r="729" ht="14.25" customHeight="1" s="49">
      <c r="A729" s="58" t="n"/>
      <c r="B729" s="58" t="n"/>
      <c r="C729" s="59" t="n"/>
      <c r="D729" s="59" t="n"/>
      <c r="E729" s="59" t="n"/>
      <c r="F729" s="58" t="n"/>
      <c r="G729" s="60" t="n"/>
      <c r="H729" s="60" t="n"/>
      <c r="I729" s="61" t="n"/>
      <c r="J729" s="61" t="n"/>
      <c r="K729" s="61" t="n"/>
      <c r="L729" s="61" t="n"/>
      <c r="M729" s="61" t="n"/>
      <c r="N729" s="58" t="n"/>
      <c r="O729" s="59" t="n"/>
      <c r="P729" s="62" t="n"/>
      <c r="Q729" s="63" t="n"/>
      <c r="R729" s="61">
        <f>IF($P729&gt;0,CHOOSE(MATCH($B$4,'Служебный лист'!$A$4:$A$8,0),I729,J729,K729,L729,M729),"")</f>
        <v/>
      </c>
      <c r="S729" s="61">
        <f>IFERROR($P729*$R729,0)</f>
        <v/>
      </c>
      <c r="T729" s="61">
        <f>$S729*1.22</f>
        <v/>
      </c>
      <c r="U729" s="64">
        <f>IF($P729&gt;0,COUNTIF($P$11:P729,"&gt;0"),"")</f>
        <v/>
      </c>
    </row>
    <row r="730" ht="14.25" customHeight="1" s="49">
      <c r="A730" s="58" t="n"/>
      <c r="B730" s="58" t="n"/>
      <c r="C730" s="59" t="n"/>
      <c r="D730" s="59" t="n"/>
      <c r="E730" s="59" t="n"/>
      <c r="F730" s="58" t="n"/>
      <c r="G730" s="60" t="n"/>
      <c r="H730" s="60" t="n"/>
      <c r="I730" s="61" t="n"/>
      <c r="J730" s="61" t="n"/>
      <c r="K730" s="61" t="n"/>
      <c r="L730" s="61" t="n"/>
      <c r="M730" s="61" t="n"/>
      <c r="N730" s="58" t="n"/>
      <c r="O730" s="59" t="n"/>
      <c r="P730" s="62" t="n"/>
      <c r="Q730" s="63" t="n"/>
      <c r="R730" s="61">
        <f>IF($P730&gt;0,CHOOSE(MATCH($B$4,'Служебный лист'!$A$4:$A$8,0),I730,J730,K730,L730,M730),"")</f>
        <v/>
      </c>
      <c r="S730" s="61">
        <f>IFERROR($P730*$R730,0)</f>
        <v/>
      </c>
      <c r="T730" s="61">
        <f>$S730*1.22</f>
        <v/>
      </c>
      <c r="U730" s="64">
        <f>IF($P730&gt;0,COUNTIF($P$11:P730,"&gt;0"),"")</f>
        <v/>
      </c>
    </row>
    <row r="731" ht="14.25" customHeight="1" s="49">
      <c r="A731" s="58" t="n"/>
      <c r="B731" s="58" t="n"/>
      <c r="C731" s="59" t="n"/>
      <c r="D731" s="59" t="n"/>
      <c r="E731" s="59" t="n"/>
      <c r="F731" s="58" t="n"/>
      <c r="G731" s="60" t="n"/>
      <c r="H731" s="60" t="n"/>
      <c r="I731" s="61" t="n"/>
      <c r="J731" s="61" t="n"/>
      <c r="K731" s="61" t="n"/>
      <c r="L731" s="61" t="n"/>
      <c r="M731" s="61" t="n"/>
      <c r="N731" s="58" t="n"/>
      <c r="O731" s="59" t="n"/>
      <c r="P731" s="62" t="n"/>
      <c r="Q731" s="63" t="n"/>
      <c r="R731" s="61">
        <f>IF($P731&gt;0,CHOOSE(MATCH($B$4,'Служебный лист'!$A$4:$A$8,0),I731,J731,K731,L731,M731),"")</f>
        <v/>
      </c>
      <c r="S731" s="61">
        <f>IFERROR($P731*$R731,0)</f>
        <v/>
      </c>
      <c r="T731" s="61">
        <f>$S731*1.22</f>
        <v/>
      </c>
      <c r="U731" s="64">
        <f>IF($P731&gt;0,COUNTIF($P$11:P731,"&gt;0"),"")</f>
        <v/>
      </c>
    </row>
    <row r="732" ht="14.25" customHeight="1" s="49">
      <c r="A732" s="58" t="n"/>
      <c r="B732" s="58" t="n"/>
      <c r="C732" s="59" t="n"/>
      <c r="D732" s="59" t="n"/>
      <c r="E732" s="59" t="n"/>
      <c r="F732" s="58" t="n"/>
      <c r="G732" s="60" t="n"/>
      <c r="H732" s="60" t="n"/>
      <c r="I732" s="61" t="n"/>
      <c r="J732" s="61" t="n"/>
      <c r="K732" s="61" t="n"/>
      <c r="L732" s="61" t="n"/>
      <c r="M732" s="61" t="n"/>
      <c r="N732" s="58" t="n"/>
      <c r="O732" s="59" t="n"/>
      <c r="P732" s="62" t="n"/>
      <c r="Q732" s="63" t="n"/>
      <c r="R732" s="61">
        <f>IF($P732&gt;0,CHOOSE(MATCH($B$4,'Служебный лист'!$A$4:$A$8,0),I732,J732,K732,L732,M732),"")</f>
        <v/>
      </c>
      <c r="S732" s="61">
        <f>IFERROR($P732*$R732,0)</f>
        <v/>
      </c>
      <c r="T732" s="61">
        <f>$S732*1.22</f>
        <v/>
      </c>
      <c r="U732" s="64">
        <f>IF($P732&gt;0,COUNTIF($P$11:P732,"&gt;0"),"")</f>
        <v/>
      </c>
    </row>
    <row r="733" ht="14.25" customHeight="1" s="49">
      <c r="A733" s="58" t="n"/>
      <c r="B733" s="58" t="n"/>
      <c r="C733" s="59" t="n"/>
      <c r="D733" s="59" t="n"/>
      <c r="E733" s="59" t="n"/>
      <c r="F733" s="58" t="n"/>
      <c r="G733" s="60" t="n"/>
      <c r="H733" s="60" t="n"/>
      <c r="I733" s="61" t="n"/>
      <c r="J733" s="61" t="n"/>
      <c r="K733" s="61" t="n"/>
      <c r="L733" s="61" t="n"/>
      <c r="M733" s="61" t="n"/>
      <c r="N733" s="58" t="n"/>
      <c r="O733" s="59" t="n"/>
      <c r="P733" s="62" t="n"/>
      <c r="Q733" s="63" t="n"/>
      <c r="R733" s="61">
        <f>IF($P733&gt;0,CHOOSE(MATCH($B$4,'Служебный лист'!$A$4:$A$8,0),I733,J733,K733,L733,M733),"")</f>
        <v/>
      </c>
      <c r="S733" s="61">
        <f>IFERROR($P733*$R733,0)</f>
        <v/>
      </c>
      <c r="T733" s="61">
        <f>$S733*1.22</f>
        <v/>
      </c>
      <c r="U733" s="64">
        <f>IF($P733&gt;0,COUNTIF($P$11:P733,"&gt;0"),"")</f>
        <v/>
      </c>
    </row>
    <row r="734" ht="14.25" customHeight="1" s="49">
      <c r="A734" s="58" t="n"/>
      <c r="B734" s="58" t="n"/>
      <c r="C734" s="59" t="n"/>
      <c r="D734" s="59" t="n"/>
      <c r="E734" s="59" t="n"/>
      <c r="F734" s="58" t="n"/>
      <c r="G734" s="60" t="n"/>
      <c r="H734" s="60" t="n"/>
      <c r="I734" s="61" t="n"/>
      <c r="J734" s="61" t="n"/>
      <c r="K734" s="61" t="n"/>
      <c r="L734" s="61" t="n"/>
      <c r="M734" s="61" t="n"/>
      <c r="N734" s="58" t="n"/>
      <c r="O734" s="59" t="n"/>
      <c r="P734" s="62" t="n"/>
      <c r="Q734" s="63" t="n"/>
      <c r="R734" s="61">
        <f>IF($P734&gt;0,CHOOSE(MATCH($B$4,'Служебный лист'!$A$4:$A$8,0),I734,J734,K734,L734,M734),"")</f>
        <v/>
      </c>
      <c r="S734" s="61">
        <f>IFERROR($P734*$R734,0)</f>
        <v/>
      </c>
      <c r="T734" s="61">
        <f>$S734*1.22</f>
        <v/>
      </c>
      <c r="U734" s="64">
        <f>IF($P734&gt;0,COUNTIF($P$11:P734,"&gt;0"),"")</f>
        <v/>
      </c>
    </row>
    <row r="735" ht="14.25" customHeight="1" s="49">
      <c r="A735" s="58" t="n"/>
      <c r="B735" s="58" t="n"/>
      <c r="C735" s="59" t="n"/>
      <c r="D735" s="59" t="n"/>
      <c r="E735" s="59" t="n"/>
      <c r="F735" s="58" t="n"/>
      <c r="G735" s="60" t="n"/>
      <c r="H735" s="60" t="n"/>
      <c r="I735" s="61" t="n"/>
      <c r="J735" s="61" t="n"/>
      <c r="K735" s="61" t="n"/>
      <c r="L735" s="61" t="n"/>
      <c r="M735" s="61" t="n"/>
      <c r="N735" s="58" t="n"/>
      <c r="O735" s="59" t="n"/>
      <c r="P735" s="62" t="n"/>
      <c r="Q735" s="63" t="n"/>
      <c r="R735" s="61">
        <f>IF($P735&gt;0,CHOOSE(MATCH($B$4,'Служебный лист'!$A$4:$A$8,0),I735,J735,K735,L735,M735),"")</f>
        <v/>
      </c>
      <c r="S735" s="61">
        <f>IFERROR($P735*$R735,0)</f>
        <v/>
      </c>
      <c r="T735" s="61">
        <f>$S735*1.22</f>
        <v/>
      </c>
      <c r="U735" s="64">
        <f>IF($P735&gt;0,COUNTIF($P$11:P735,"&gt;0"),"")</f>
        <v/>
      </c>
    </row>
    <row r="736" ht="14.25" customHeight="1" s="49">
      <c r="A736" s="58" t="n"/>
      <c r="B736" s="58" t="n"/>
      <c r="C736" s="59" t="n"/>
      <c r="D736" s="59" t="n"/>
      <c r="E736" s="59" t="n"/>
      <c r="F736" s="58" t="n"/>
      <c r="G736" s="60" t="n"/>
      <c r="H736" s="60" t="n"/>
      <c r="I736" s="61" t="n"/>
      <c r="J736" s="61" t="n"/>
      <c r="K736" s="61" t="n"/>
      <c r="L736" s="61" t="n"/>
      <c r="M736" s="61" t="n"/>
      <c r="N736" s="58" t="n"/>
      <c r="O736" s="59" t="n"/>
      <c r="P736" s="62" t="n"/>
      <c r="Q736" s="63" t="n"/>
      <c r="R736" s="61">
        <f>IF($P736&gt;0,CHOOSE(MATCH($B$4,'Служебный лист'!$A$4:$A$8,0),I736,J736,K736,L736,M736),"")</f>
        <v/>
      </c>
      <c r="S736" s="61">
        <f>IFERROR($P736*$R736,0)</f>
        <v/>
      </c>
      <c r="T736" s="61">
        <f>$S736*1.22</f>
        <v/>
      </c>
      <c r="U736" s="64">
        <f>IF($P736&gt;0,COUNTIF($P$11:P736,"&gt;0"),"")</f>
        <v/>
      </c>
    </row>
    <row r="737" ht="14.25" customHeight="1" s="49">
      <c r="A737" s="58" t="n"/>
      <c r="B737" s="58" t="n"/>
      <c r="C737" s="59" t="n"/>
      <c r="D737" s="59" t="n"/>
      <c r="E737" s="59" t="n"/>
      <c r="F737" s="58" t="n"/>
      <c r="G737" s="60" t="n"/>
      <c r="H737" s="60" t="n"/>
      <c r="I737" s="61" t="n"/>
      <c r="J737" s="61" t="n"/>
      <c r="K737" s="61" t="n"/>
      <c r="L737" s="61" t="n"/>
      <c r="M737" s="61" t="n"/>
      <c r="N737" s="58" t="n"/>
      <c r="O737" s="59" t="n"/>
      <c r="P737" s="62" t="n"/>
      <c r="Q737" s="63" t="n"/>
      <c r="R737" s="61">
        <f>IF($P737&gt;0,CHOOSE(MATCH($B$4,'Служебный лист'!$A$4:$A$8,0),I737,J737,K737,L737,M737),"")</f>
        <v/>
      </c>
      <c r="S737" s="61">
        <f>IFERROR($P737*$R737,0)</f>
        <v/>
      </c>
      <c r="T737" s="61">
        <f>$S737*1.22</f>
        <v/>
      </c>
      <c r="U737" s="64">
        <f>IF($P737&gt;0,COUNTIF($P$11:P737,"&gt;0"),"")</f>
        <v/>
      </c>
    </row>
    <row r="738" ht="14.25" customHeight="1" s="49">
      <c r="A738" s="58" t="n"/>
      <c r="B738" s="58" t="n"/>
      <c r="C738" s="59" t="n"/>
      <c r="D738" s="59" t="n"/>
      <c r="E738" s="59" t="n"/>
      <c r="F738" s="58" t="n"/>
      <c r="G738" s="60" t="n"/>
      <c r="H738" s="60" t="n"/>
      <c r="I738" s="61" t="n"/>
      <c r="J738" s="61" t="n"/>
      <c r="K738" s="61" t="n"/>
      <c r="L738" s="61" t="n"/>
      <c r="M738" s="61" t="n"/>
      <c r="N738" s="58" t="n"/>
      <c r="O738" s="59" t="n"/>
      <c r="P738" s="62" t="n"/>
      <c r="Q738" s="63" t="n"/>
      <c r="R738" s="61">
        <f>IF($P738&gt;0,CHOOSE(MATCH($B$4,'Служебный лист'!$A$4:$A$8,0),I738,J738,K738,L738,M738),"")</f>
        <v/>
      </c>
      <c r="S738" s="61">
        <f>IFERROR($P738*$R738,0)</f>
        <v/>
      </c>
      <c r="T738" s="61">
        <f>$S738*1.22</f>
        <v/>
      </c>
      <c r="U738" s="64">
        <f>IF($P738&gt;0,COUNTIF($P$11:P738,"&gt;0"),"")</f>
        <v/>
      </c>
    </row>
    <row r="739" ht="14.25" customHeight="1" s="49">
      <c r="A739" s="58" t="n"/>
      <c r="B739" s="58" t="n"/>
      <c r="C739" s="59" t="n"/>
      <c r="D739" s="59" t="n"/>
      <c r="E739" s="59" t="n"/>
      <c r="F739" s="58" t="n"/>
      <c r="G739" s="60" t="n"/>
      <c r="H739" s="60" t="n"/>
      <c r="I739" s="61" t="n"/>
      <c r="J739" s="61" t="n"/>
      <c r="K739" s="61" t="n"/>
      <c r="L739" s="61" t="n"/>
      <c r="M739" s="61" t="n"/>
      <c r="N739" s="58" t="n"/>
      <c r="O739" s="59" t="n"/>
      <c r="P739" s="62" t="n"/>
      <c r="Q739" s="63" t="n"/>
      <c r="R739" s="61">
        <f>IF($P739&gt;0,CHOOSE(MATCH($B$4,'Служебный лист'!$A$4:$A$8,0),I739,J739,K739,L739,M739),"")</f>
        <v/>
      </c>
      <c r="S739" s="61">
        <f>IFERROR($P739*$R739,0)</f>
        <v/>
      </c>
      <c r="T739" s="61">
        <f>$S739*1.22</f>
        <v/>
      </c>
      <c r="U739" s="64">
        <f>IF($P739&gt;0,COUNTIF($P$11:P739,"&gt;0"),"")</f>
        <v/>
      </c>
    </row>
    <row r="740" ht="14.25" customHeight="1" s="49">
      <c r="A740" s="58" t="n"/>
      <c r="B740" s="58" t="n"/>
      <c r="C740" s="59" t="n"/>
      <c r="D740" s="59" t="n"/>
      <c r="E740" s="59" t="n"/>
      <c r="F740" s="58" t="n"/>
      <c r="G740" s="60" t="n"/>
      <c r="H740" s="60" t="n"/>
      <c r="I740" s="61" t="n"/>
      <c r="J740" s="61" t="n"/>
      <c r="K740" s="61" t="n"/>
      <c r="L740" s="61" t="n"/>
      <c r="M740" s="61" t="n"/>
      <c r="N740" s="58" t="n"/>
      <c r="O740" s="59" t="n"/>
      <c r="P740" s="62" t="n"/>
      <c r="Q740" s="63" t="n"/>
      <c r="R740" s="61">
        <f>IF($P740&gt;0,CHOOSE(MATCH($B$4,'Служебный лист'!$A$4:$A$8,0),I740,J740,K740,L740,M740),"")</f>
        <v/>
      </c>
      <c r="S740" s="61">
        <f>IFERROR($P740*$R740,0)</f>
        <v/>
      </c>
      <c r="T740" s="61">
        <f>$S740*1.22</f>
        <v/>
      </c>
      <c r="U740" s="64">
        <f>IF($P740&gt;0,COUNTIF($P$11:P740,"&gt;0"),"")</f>
        <v/>
      </c>
    </row>
    <row r="741" ht="14.25" customHeight="1" s="49">
      <c r="A741" s="58" t="n"/>
      <c r="B741" s="58" t="n"/>
      <c r="C741" s="59" t="n"/>
      <c r="D741" s="59" t="n"/>
      <c r="E741" s="59" t="n"/>
      <c r="F741" s="58" t="n"/>
      <c r="G741" s="60" t="n"/>
      <c r="H741" s="60" t="n"/>
      <c r="I741" s="61" t="n"/>
      <c r="J741" s="61" t="n"/>
      <c r="K741" s="61" t="n"/>
      <c r="L741" s="61" t="n"/>
      <c r="M741" s="61" t="n"/>
      <c r="N741" s="58" t="n"/>
      <c r="O741" s="59" t="n"/>
      <c r="P741" s="62" t="n"/>
      <c r="Q741" s="63" t="n"/>
      <c r="R741" s="61">
        <f>IF($P741&gt;0,CHOOSE(MATCH($B$4,'Служебный лист'!$A$4:$A$8,0),I741,J741,K741,L741,M741),"")</f>
        <v/>
      </c>
      <c r="S741" s="61">
        <f>IFERROR($P741*$R741,0)</f>
        <v/>
      </c>
      <c r="T741" s="61">
        <f>$S741*1.22</f>
        <v/>
      </c>
      <c r="U741" s="64">
        <f>IF($P741&gt;0,COUNTIF($P$11:P741,"&gt;0"),"")</f>
        <v/>
      </c>
    </row>
    <row r="742" ht="14.25" customHeight="1" s="49">
      <c r="A742" s="58" t="n"/>
      <c r="B742" s="58" t="n"/>
      <c r="C742" s="59" t="n"/>
      <c r="D742" s="59" t="n"/>
      <c r="E742" s="59" t="n"/>
      <c r="F742" s="58" t="n"/>
      <c r="G742" s="60" t="n"/>
      <c r="H742" s="60" t="n"/>
      <c r="I742" s="61" t="n"/>
      <c r="J742" s="61" t="n"/>
      <c r="K742" s="61" t="n"/>
      <c r="L742" s="61" t="n"/>
      <c r="M742" s="61" t="n"/>
      <c r="N742" s="58" t="n"/>
      <c r="O742" s="59" t="n"/>
      <c r="P742" s="62" t="n"/>
      <c r="Q742" s="63" t="n"/>
      <c r="R742" s="61">
        <f>IF($P742&gt;0,CHOOSE(MATCH($B$4,'Служебный лист'!$A$4:$A$8,0),I742,J742,K742,L742,M742),"")</f>
        <v/>
      </c>
      <c r="S742" s="61">
        <f>IFERROR($P742*$R742,0)</f>
        <v/>
      </c>
      <c r="T742" s="61">
        <f>$S742*1.22</f>
        <v/>
      </c>
      <c r="U742" s="64">
        <f>IF($P742&gt;0,COUNTIF($P$11:P742,"&gt;0"),"")</f>
        <v/>
      </c>
    </row>
    <row r="743" ht="14.25" customHeight="1" s="49">
      <c r="A743" s="58" t="n"/>
      <c r="B743" s="58" t="n"/>
      <c r="C743" s="59" t="n"/>
      <c r="D743" s="59" t="n"/>
      <c r="E743" s="59" t="n"/>
      <c r="F743" s="58" t="n"/>
      <c r="G743" s="60" t="n"/>
      <c r="H743" s="60" t="n"/>
      <c r="I743" s="61" t="n"/>
      <c r="J743" s="61" t="n"/>
      <c r="K743" s="61" t="n"/>
      <c r="L743" s="61" t="n"/>
      <c r="M743" s="61" t="n"/>
      <c r="N743" s="58" t="n"/>
      <c r="O743" s="59" t="n"/>
      <c r="P743" s="62" t="n"/>
      <c r="Q743" s="63" t="n"/>
      <c r="R743" s="61">
        <f>IF($P743&gt;0,CHOOSE(MATCH($B$4,'Служебный лист'!$A$4:$A$8,0),I743,J743,K743,L743,M743),"")</f>
        <v/>
      </c>
      <c r="S743" s="61">
        <f>IFERROR($P743*$R743,0)</f>
        <v/>
      </c>
      <c r="T743" s="61">
        <f>$S743*1.22</f>
        <v/>
      </c>
      <c r="U743" s="64">
        <f>IF($P743&gt;0,COUNTIF($P$11:P743,"&gt;0"),"")</f>
        <v/>
      </c>
    </row>
    <row r="744" ht="14.25" customHeight="1" s="49">
      <c r="A744" s="58" t="n"/>
      <c r="B744" s="58" t="n"/>
      <c r="C744" s="59" t="n"/>
      <c r="D744" s="59" t="n"/>
      <c r="E744" s="59" t="n"/>
      <c r="F744" s="58" t="n"/>
      <c r="G744" s="60" t="n"/>
      <c r="H744" s="60" t="n"/>
      <c r="I744" s="61" t="n"/>
      <c r="J744" s="61" t="n"/>
      <c r="K744" s="61" t="n"/>
      <c r="L744" s="61" t="n"/>
      <c r="M744" s="61" t="n"/>
      <c r="N744" s="58" t="n"/>
      <c r="O744" s="59" t="n"/>
      <c r="P744" s="62" t="n"/>
      <c r="Q744" s="63" t="n"/>
      <c r="R744" s="61">
        <f>IF($P744&gt;0,CHOOSE(MATCH($B$4,'Служебный лист'!$A$4:$A$8,0),I744,J744,K744,L744,M744),"")</f>
        <v/>
      </c>
      <c r="S744" s="61">
        <f>IFERROR($P744*$R744,0)</f>
        <v/>
      </c>
      <c r="T744" s="61">
        <f>$S744*1.22</f>
        <v/>
      </c>
      <c r="U744" s="64">
        <f>IF($P744&gt;0,COUNTIF($P$11:P744,"&gt;0"),"")</f>
        <v/>
      </c>
    </row>
    <row r="745" ht="14.25" customHeight="1" s="49">
      <c r="A745" s="58" t="n"/>
      <c r="B745" s="58" t="n"/>
      <c r="C745" s="59" t="n"/>
      <c r="D745" s="59" t="n"/>
      <c r="E745" s="59" t="n"/>
      <c r="F745" s="58" t="n"/>
      <c r="G745" s="60" t="n"/>
      <c r="H745" s="60" t="n"/>
      <c r="I745" s="61" t="n"/>
      <c r="J745" s="61" t="n"/>
      <c r="K745" s="61" t="n"/>
      <c r="L745" s="61" t="n"/>
      <c r="M745" s="61" t="n"/>
      <c r="N745" s="58" t="n"/>
      <c r="O745" s="59" t="n"/>
      <c r="P745" s="62" t="n"/>
      <c r="Q745" s="63" t="n"/>
      <c r="R745" s="61">
        <f>IF($P745&gt;0,CHOOSE(MATCH($B$4,'Служебный лист'!$A$4:$A$8,0),I745,J745,K745,L745,M745),"")</f>
        <v/>
      </c>
      <c r="S745" s="61">
        <f>IFERROR($P745*$R745,0)</f>
        <v/>
      </c>
      <c r="T745" s="61">
        <f>$S745*1.22</f>
        <v/>
      </c>
      <c r="U745" s="64">
        <f>IF($P745&gt;0,COUNTIF($P$11:P745,"&gt;0"),"")</f>
        <v/>
      </c>
    </row>
    <row r="746" ht="14.25" customHeight="1" s="49">
      <c r="A746" s="58" t="n"/>
      <c r="B746" s="58" t="n"/>
      <c r="C746" s="59" t="n"/>
      <c r="D746" s="59" t="n"/>
      <c r="E746" s="59" t="n"/>
      <c r="F746" s="58" t="n"/>
      <c r="G746" s="60" t="n"/>
      <c r="H746" s="60" t="n"/>
      <c r="I746" s="61" t="n"/>
      <c r="J746" s="61" t="n"/>
      <c r="K746" s="61" t="n"/>
      <c r="L746" s="61" t="n"/>
      <c r="M746" s="61" t="n"/>
      <c r="N746" s="58" t="n"/>
      <c r="O746" s="59" t="n"/>
      <c r="P746" s="62" t="n"/>
      <c r="Q746" s="63" t="n"/>
      <c r="R746" s="61">
        <f>IF($P746&gt;0,CHOOSE(MATCH($B$4,'Служебный лист'!$A$4:$A$8,0),I746,J746,K746,L746,M746),"")</f>
        <v/>
      </c>
      <c r="S746" s="61">
        <f>IFERROR($P746*$R746,0)</f>
        <v/>
      </c>
      <c r="T746" s="61">
        <f>$S746*1.22</f>
        <v/>
      </c>
      <c r="U746" s="64">
        <f>IF($P746&gt;0,COUNTIF($P$11:P746,"&gt;0"),"")</f>
        <v/>
      </c>
    </row>
    <row r="747" ht="14.25" customHeight="1" s="49">
      <c r="A747" s="58" t="n"/>
      <c r="B747" s="58" t="n"/>
      <c r="C747" s="59" t="n"/>
      <c r="D747" s="59" t="n"/>
      <c r="E747" s="59" t="n"/>
      <c r="F747" s="58" t="n"/>
      <c r="G747" s="60" t="n"/>
      <c r="H747" s="60" t="n"/>
      <c r="I747" s="61" t="n"/>
      <c r="J747" s="61" t="n"/>
      <c r="K747" s="61" t="n"/>
      <c r="L747" s="61" t="n"/>
      <c r="M747" s="61" t="n"/>
      <c r="N747" s="58" t="n"/>
      <c r="O747" s="59" t="n"/>
      <c r="P747" s="62" t="n"/>
      <c r="Q747" s="63" t="n"/>
      <c r="R747" s="61">
        <f>IF($P747&gt;0,CHOOSE(MATCH($B$4,'Служебный лист'!$A$4:$A$8,0),I747,J747,K747,L747,M747),"")</f>
        <v/>
      </c>
      <c r="S747" s="61">
        <f>IFERROR($P747*$R747,0)</f>
        <v/>
      </c>
      <c r="T747" s="61">
        <f>$S747*1.22</f>
        <v/>
      </c>
      <c r="U747" s="64">
        <f>IF($P747&gt;0,COUNTIF($P$11:P747,"&gt;0"),"")</f>
        <v/>
      </c>
    </row>
    <row r="748" ht="14.25" customHeight="1" s="49">
      <c r="A748" s="58" t="n"/>
      <c r="B748" s="58" t="n"/>
      <c r="C748" s="59" t="n"/>
      <c r="D748" s="59" t="n"/>
      <c r="E748" s="59" t="n"/>
      <c r="F748" s="58" t="n"/>
      <c r="G748" s="60" t="n"/>
      <c r="H748" s="60" t="n"/>
      <c r="I748" s="61" t="n"/>
      <c r="J748" s="61" t="n"/>
      <c r="K748" s="61" t="n"/>
      <c r="L748" s="61" t="n"/>
      <c r="M748" s="61" t="n"/>
      <c r="N748" s="58" t="n"/>
      <c r="O748" s="59" t="n"/>
      <c r="P748" s="62" t="n"/>
      <c r="Q748" s="63" t="n"/>
      <c r="R748" s="61">
        <f>IF($P748&gt;0,CHOOSE(MATCH($B$4,'Служебный лист'!$A$4:$A$8,0),I748,J748,K748,L748,M748),"")</f>
        <v/>
      </c>
      <c r="S748" s="61">
        <f>IFERROR($P748*$R748,0)</f>
        <v/>
      </c>
      <c r="T748" s="61">
        <f>$S748*1.22</f>
        <v/>
      </c>
      <c r="U748" s="64">
        <f>IF($P748&gt;0,COUNTIF($P$11:P748,"&gt;0"),"")</f>
        <v/>
      </c>
    </row>
    <row r="749" ht="14.25" customHeight="1" s="49">
      <c r="A749" s="58" t="n"/>
      <c r="B749" s="58" t="n"/>
      <c r="C749" s="59" t="n"/>
      <c r="D749" s="59" t="n"/>
      <c r="E749" s="59" t="n"/>
      <c r="F749" s="58" t="n"/>
      <c r="G749" s="60" t="n"/>
      <c r="H749" s="60" t="n"/>
      <c r="I749" s="61" t="n"/>
      <c r="J749" s="61" t="n"/>
      <c r="K749" s="61" t="n"/>
      <c r="L749" s="61" t="n"/>
      <c r="M749" s="61" t="n"/>
      <c r="N749" s="58" t="n"/>
      <c r="O749" s="59" t="n"/>
      <c r="P749" s="62" t="n"/>
      <c r="Q749" s="63" t="n"/>
      <c r="R749" s="61">
        <f>IF($P749&gt;0,CHOOSE(MATCH($B$4,'Служебный лист'!$A$4:$A$8,0),I749,J749,K749,L749,M749),"")</f>
        <v/>
      </c>
      <c r="S749" s="61">
        <f>IFERROR($P749*$R749,0)</f>
        <v/>
      </c>
      <c r="T749" s="61">
        <f>$S749*1.22</f>
        <v/>
      </c>
      <c r="U749" s="64">
        <f>IF($P749&gt;0,COUNTIF($P$11:P749,"&gt;0"),"")</f>
        <v/>
      </c>
    </row>
    <row r="750" ht="14.25" customHeight="1" s="49">
      <c r="A750" s="58" t="n"/>
      <c r="B750" s="58" t="n"/>
      <c r="C750" s="59" t="n"/>
      <c r="D750" s="59" t="n"/>
      <c r="E750" s="59" t="n"/>
      <c r="F750" s="58" t="n"/>
      <c r="G750" s="60" t="n"/>
      <c r="H750" s="60" t="n"/>
      <c r="I750" s="61" t="n"/>
      <c r="J750" s="61" t="n"/>
      <c r="K750" s="61" t="n"/>
      <c r="L750" s="61" t="n"/>
      <c r="M750" s="61" t="n"/>
      <c r="N750" s="58" t="n"/>
      <c r="O750" s="59" t="n"/>
      <c r="P750" s="62" t="n"/>
      <c r="Q750" s="63" t="n"/>
      <c r="R750" s="61">
        <f>IF($P750&gt;0,CHOOSE(MATCH($B$4,'Служебный лист'!$A$4:$A$8,0),I750,J750,K750,L750,M750),"")</f>
        <v/>
      </c>
      <c r="S750" s="61">
        <f>IFERROR($P750*$R750,0)</f>
        <v/>
      </c>
      <c r="T750" s="61">
        <f>$S750*1.22</f>
        <v/>
      </c>
      <c r="U750" s="64">
        <f>IF($P750&gt;0,COUNTIF($P$11:P750,"&gt;0"),"")</f>
        <v/>
      </c>
    </row>
    <row r="751" ht="14.25" customHeight="1" s="49">
      <c r="A751" s="58" t="n"/>
      <c r="B751" s="58" t="n"/>
      <c r="C751" s="59" t="n"/>
      <c r="D751" s="59" t="n"/>
      <c r="E751" s="59" t="n"/>
      <c r="F751" s="58" t="n"/>
      <c r="G751" s="60" t="n"/>
      <c r="H751" s="60" t="n"/>
      <c r="I751" s="61" t="n"/>
      <c r="J751" s="61" t="n"/>
      <c r="K751" s="61" t="n"/>
      <c r="L751" s="61" t="n"/>
      <c r="M751" s="61" t="n"/>
      <c r="N751" s="58" t="n"/>
      <c r="O751" s="59" t="n"/>
      <c r="P751" s="62" t="n"/>
      <c r="Q751" s="63" t="n"/>
      <c r="R751" s="61">
        <f>IF($P751&gt;0,CHOOSE(MATCH($B$4,'Служебный лист'!$A$4:$A$8,0),I751,J751,K751,L751,M751),"")</f>
        <v/>
      </c>
      <c r="S751" s="61">
        <f>IFERROR($P751*$R751,0)</f>
        <v/>
      </c>
      <c r="T751" s="61">
        <f>$S751*1.22</f>
        <v/>
      </c>
      <c r="U751" s="64">
        <f>IF($P751&gt;0,COUNTIF($P$11:P751,"&gt;0"),"")</f>
        <v/>
      </c>
    </row>
    <row r="752" ht="14.25" customHeight="1" s="49">
      <c r="A752" s="58" t="n"/>
      <c r="B752" s="58" t="n"/>
      <c r="C752" s="59" t="n"/>
      <c r="D752" s="59" t="n"/>
      <c r="E752" s="59" t="n"/>
      <c r="F752" s="58" t="n"/>
      <c r="G752" s="60" t="n"/>
      <c r="H752" s="60" t="n"/>
      <c r="I752" s="61" t="n"/>
      <c r="J752" s="61" t="n"/>
      <c r="K752" s="61" t="n"/>
      <c r="L752" s="61" t="n"/>
      <c r="M752" s="61" t="n"/>
      <c r="N752" s="58" t="n"/>
      <c r="O752" s="59" t="n"/>
      <c r="P752" s="62" t="n"/>
      <c r="Q752" s="63" t="n"/>
      <c r="R752" s="61">
        <f>IF($P752&gt;0,CHOOSE(MATCH($B$4,'Служебный лист'!$A$4:$A$8,0),I752,J752,K752,L752,M752),"")</f>
        <v/>
      </c>
      <c r="S752" s="61">
        <f>IFERROR($P752*$R752,0)</f>
        <v/>
      </c>
      <c r="T752" s="61">
        <f>$S752*1.22</f>
        <v/>
      </c>
      <c r="U752" s="64">
        <f>IF($P752&gt;0,COUNTIF($P$11:P752,"&gt;0"),"")</f>
        <v/>
      </c>
    </row>
    <row r="753" ht="14.25" customHeight="1" s="49">
      <c r="A753" s="58" t="n"/>
      <c r="B753" s="58" t="n"/>
      <c r="C753" s="59" t="n"/>
      <c r="D753" s="59" t="n"/>
      <c r="E753" s="59" t="n"/>
      <c r="F753" s="58" t="n"/>
      <c r="G753" s="60" t="n"/>
      <c r="H753" s="60" t="n"/>
      <c r="I753" s="61" t="n"/>
      <c r="J753" s="61" t="n"/>
      <c r="K753" s="61" t="n"/>
      <c r="L753" s="61" t="n"/>
      <c r="M753" s="61" t="n"/>
      <c r="N753" s="58" t="n"/>
      <c r="O753" s="59" t="n"/>
      <c r="P753" s="62" t="n"/>
      <c r="Q753" s="63" t="n"/>
      <c r="R753" s="61">
        <f>IF($P753&gt;0,CHOOSE(MATCH($B$4,'Служебный лист'!$A$4:$A$8,0),I753,J753,K753,L753,M753),"")</f>
        <v/>
      </c>
      <c r="S753" s="61">
        <f>IFERROR($P753*$R753,0)</f>
        <v/>
      </c>
      <c r="T753" s="61">
        <f>$S753*1.22</f>
        <v/>
      </c>
      <c r="U753" s="64">
        <f>IF($P753&gt;0,COUNTIF($P$11:P753,"&gt;0"),"")</f>
        <v/>
      </c>
    </row>
    <row r="754" ht="14.25" customHeight="1" s="49">
      <c r="A754" s="58" t="n"/>
      <c r="B754" s="58" t="n"/>
      <c r="C754" s="59" t="n"/>
      <c r="D754" s="59" t="n"/>
      <c r="E754" s="59" t="n"/>
      <c r="F754" s="58" t="n"/>
      <c r="G754" s="60" t="n"/>
      <c r="H754" s="60" t="n"/>
      <c r="I754" s="61" t="n"/>
      <c r="J754" s="61" t="n"/>
      <c r="K754" s="61" t="n"/>
      <c r="L754" s="61" t="n"/>
      <c r="M754" s="61" t="n"/>
      <c r="N754" s="58" t="n"/>
      <c r="O754" s="59" t="n"/>
      <c r="P754" s="62" t="n"/>
      <c r="Q754" s="63" t="n"/>
      <c r="R754" s="61">
        <f>IF($P754&gt;0,CHOOSE(MATCH($B$4,'Служебный лист'!$A$4:$A$8,0),I754,J754,K754,L754,M754),"")</f>
        <v/>
      </c>
      <c r="S754" s="61">
        <f>IFERROR($P754*$R754,0)</f>
        <v/>
      </c>
      <c r="T754" s="61">
        <f>$S754*1.22</f>
        <v/>
      </c>
      <c r="U754" s="64">
        <f>IF($P754&gt;0,COUNTIF($P$11:P754,"&gt;0"),"")</f>
        <v/>
      </c>
    </row>
    <row r="755" ht="14.25" customHeight="1" s="49">
      <c r="A755" s="58" t="n"/>
      <c r="B755" s="58" t="n"/>
      <c r="C755" s="59" t="n"/>
      <c r="D755" s="59" t="n"/>
      <c r="E755" s="59" t="n"/>
      <c r="F755" s="58" t="n"/>
      <c r="G755" s="60" t="n"/>
      <c r="H755" s="60" t="n"/>
      <c r="I755" s="61" t="n"/>
      <c r="J755" s="61" t="n"/>
      <c r="K755" s="61" t="n"/>
      <c r="L755" s="61" t="n"/>
      <c r="M755" s="61" t="n"/>
      <c r="N755" s="58" t="n"/>
      <c r="O755" s="59" t="n"/>
      <c r="P755" s="62" t="n"/>
      <c r="Q755" s="63" t="n"/>
      <c r="R755" s="61">
        <f>IF($P755&gt;0,CHOOSE(MATCH($B$4,'Служебный лист'!$A$4:$A$8,0),I755,J755,K755,L755,M755),"")</f>
        <v/>
      </c>
      <c r="S755" s="61">
        <f>IFERROR($P755*$R755,0)</f>
        <v/>
      </c>
      <c r="T755" s="61">
        <f>$S755*1.22</f>
        <v/>
      </c>
      <c r="U755" s="64">
        <f>IF($P755&gt;0,COUNTIF($P$11:P755,"&gt;0"),"")</f>
        <v/>
      </c>
    </row>
    <row r="756" ht="14.25" customHeight="1" s="49">
      <c r="A756" s="58" t="n"/>
      <c r="B756" s="58" t="n"/>
      <c r="C756" s="59" t="n"/>
      <c r="D756" s="59" t="n"/>
      <c r="E756" s="59" t="n"/>
      <c r="F756" s="58" t="n"/>
      <c r="G756" s="60" t="n"/>
      <c r="H756" s="60" t="n"/>
      <c r="I756" s="61" t="n"/>
      <c r="J756" s="61" t="n"/>
      <c r="K756" s="61" t="n"/>
      <c r="L756" s="61" t="n"/>
      <c r="M756" s="61" t="n"/>
      <c r="N756" s="58" t="n"/>
      <c r="O756" s="59" t="n"/>
      <c r="P756" s="62" t="n"/>
      <c r="Q756" s="63" t="n"/>
      <c r="R756" s="61">
        <f>IF($P756&gt;0,CHOOSE(MATCH($B$4,'Служебный лист'!$A$4:$A$8,0),I756,J756,K756,L756,M756),"")</f>
        <v/>
      </c>
      <c r="S756" s="61">
        <f>IFERROR($P756*$R756,0)</f>
        <v/>
      </c>
      <c r="T756" s="61">
        <f>$S756*1.22</f>
        <v/>
      </c>
      <c r="U756" s="64">
        <f>IF($P756&gt;0,COUNTIF($P$11:P756,"&gt;0"),"")</f>
        <v/>
      </c>
    </row>
    <row r="757" ht="14.25" customHeight="1" s="49">
      <c r="A757" s="58" t="n"/>
      <c r="B757" s="58" t="n"/>
      <c r="C757" s="59" t="n"/>
      <c r="D757" s="59" t="n"/>
      <c r="E757" s="59" t="n"/>
      <c r="F757" s="58" t="n"/>
      <c r="G757" s="60" t="n"/>
      <c r="H757" s="60" t="n"/>
      <c r="I757" s="61" t="n"/>
      <c r="J757" s="61" t="n"/>
      <c r="K757" s="61" t="n"/>
      <c r="L757" s="61" t="n"/>
      <c r="M757" s="61" t="n"/>
      <c r="N757" s="58" t="n"/>
      <c r="O757" s="59" t="n"/>
      <c r="P757" s="62" t="n"/>
      <c r="Q757" s="63" t="n"/>
      <c r="R757" s="61">
        <f>IF($P757&gt;0,CHOOSE(MATCH($B$4,'Служебный лист'!$A$4:$A$8,0),I757,J757,K757,L757,M757),"")</f>
        <v/>
      </c>
      <c r="S757" s="61">
        <f>IFERROR($P757*$R757,0)</f>
        <v/>
      </c>
      <c r="T757" s="61">
        <f>$S757*1.22</f>
        <v/>
      </c>
      <c r="U757" s="64">
        <f>IF($P757&gt;0,COUNTIF($P$11:P757,"&gt;0"),"")</f>
        <v/>
      </c>
    </row>
    <row r="758" ht="14.25" customHeight="1" s="49">
      <c r="A758" s="58" t="n"/>
      <c r="B758" s="58" t="n"/>
      <c r="C758" s="59" t="n"/>
      <c r="D758" s="59" t="n"/>
      <c r="E758" s="59" t="n"/>
      <c r="F758" s="58" t="n"/>
      <c r="G758" s="60" t="n"/>
      <c r="H758" s="60" t="n"/>
      <c r="I758" s="61" t="n"/>
      <c r="J758" s="61" t="n"/>
      <c r="K758" s="61" t="n"/>
      <c r="L758" s="61" t="n"/>
      <c r="M758" s="61" t="n"/>
      <c r="N758" s="58" t="n"/>
      <c r="O758" s="59" t="n"/>
      <c r="P758" s="62" t="n"/>
      <c r="Q758" s="63" t="n"/>
      <c r="R758" s="61">
        <f>IF($P758&gt;0,CHOOSE(MATCH($B$4,'Служебный лист'!$A$4:$A$8,0),I758,J758,K758,L758,M758),"")</f>
        <v/>
      </c>
      <c r="S758" s="61">
        <f>IFERROR($P758*$R758,0)</f>
        <v/>
      </c>
      <c r="T758" s="61">
        <f>$S758*1.22</f>
        <v/>
      </c>
      <c r="U758" s="64">
        <f>IF($P758&gt;0,COUNTIF($P$11:P758,"&gt;0"),"")</f>
        <v/>
      </c>
    </row>
    <row r="759" ht="14.25" customHeight="1" s="49">
      <c r="A759" s="58" t="n"/>
      <c r="B759" s="58" t="n"/>
      <c r="C759" s="59" t="n"/>
      <c r="D759" s="59" t="n"/>
      <c r="E759" s="59" t="n"/>
      <c r="F759" s="58" t="n"/>
      <c r="G759" s="60" t="n"/>
      <c r="H759" s="60" t="n"/>
      <c r="I759" s="61" t="n"/>
      <c r="J759" s="61" t="n"/>
      <c r="K759" s="61" t="n"/>
      <c r="L759" s="61" t="n"/>
      <c r="M759" s="61" t="n"/>
      <c r="N759" s="58" t="n"/>
      <c r="O759" s="59" t="n"/>
      <c r="P759" s="62" t="n"/>
      <c r="Q759" s="63" t="n"/>
      <c r="R759" s="61">
        <f>IF($P759&gt;0,CHOOSE(MATCH($B$4,'Служебный лист'!$A$4:$A$8,0),I759,J759,K759,L759,M759),"")</f>
        <v/>
      </c>
      <c r="S759" s="61">
        <f>IFERROR($P759*$R759,0)</f>
        <v/>
      </c>
      <c r="T759" s="61">
        <f>$S759*1.22</f>
        <v/>
      </c>
      <c r="U759" s="64">
        <f>IF($P759&gt;0,COUNTIF($P$11:P759,"&gt;0"),"")</f>
        <v/>
      </c>
    </row>
    <row r="760" ht="14.25" customHeight="1" s="49">
      <c r="A760" s="58" t="n"/>
      <c r="B760" s="58" t="n"/>
      <c r="C760" s="59" t="n"/>
      <c r="D760" s="59" t="n"/>
      <c r="E760" s="59" t="n"/>
      <c r="F760" s="58" t="n"/>
      <c r="G760" s="60" t="n"/>
      <c r="H760" s="60" t="n"/>
      <c r="I760" s="61" t="n"/>
      <c r="J760" s="61" t="n"/>
      <c r="K760" s="61" t="n"/>
      <c r="L760" s="61" t="n"/>
      <c r="M760" s="61" t="n"/>
      <c r="N760" s="58" t="n"/>
      <c r="O760" s="59" t="n"/>
      <c r="P760" s="62" t="n"/>
      <c r="Q760" s="63" t="n"/>
      <c r="R760" s="61">
        <f>IF($P760&gt;0,CHOOSE(MATCH($B$4,'Служебный лист'!$A$4:$A$8,0),I760,J760,K760,L760,M760),"")</f>
        <v/>
      </c>
      <c r="S760" s="61">
        <f>IFERROR($P760*$R760,0)</f>
        <v/>
      </c>
      <c r="T760" s="61">
        <f>$S760*1.22</f>
        <v/>
      </c>
      <c r="U760" s="64">
        <f>IF($P760&gt;0,COUNTIF($P$11:P760,"&gt;0"),"")</f>
        <v/>
      </c>
    </row>
    <row r="761" ht="14.25" customHeight="1" s="49">
      <c r="A761" s="58" t="n"/>
      <c r="B761" s="58" t="n"/>
      <c r="C761" s="59" t="n"/>
      <c r="D761" s="59" t="n"/>
      <c r="E761" s="59" t="n"/>
      <c r="F761" s="58" t="n"/>
      <c r="G761" s="60" t="n"/>
      <c r="H761" s="60" t="n"/>
      <c r="I761" s="61" t="n"/>
      <c r="J761" s="61" t="n"/>
      <c r="K761" s="61" t="n"/>
      <c r="L761" s="61" t="n"/>
      <c r="M761" s="61" t="n"/>
      <c r="N761" s="58" t="n"/>
      <c r="O761" s="59" t="n"/>
      <c r="P761" s="62" t="n"/>
      <c r="Q761" s="63" t="n"/>
      <c r="R761" s="61">
        <f>IF($P761&gt;0,CHOOSE(MATCH($B$4,'Служебный лист'!$A$4:$A$8,0),I761,J761,K761,L761,M761),"")</f>
        <v/>
      </c>
      <c r="S761" s="61">
        <f>IFERROR($P761*$R761,0)</f>
        <v/>
      </c>
      <c r="T761" s="61">
        <f>$S761*1.22</f>
        <v/>
      </c>
      <c r="U761" s="64">
        <f>IF($P761&gt;0,COUNTIF($P$11:P761,"&gt;0"),"")</f>
        <v/>
      </c>
    </row>
    <row r="762" ht="14.25" customHeight="1" s="49">
      <c r="A762" s="58" t="n"/>
      <c r="B762" s="58" t="n"/>
      <c r="C762" s="59" t="n"/>
      <c r="D762" s="59" t="n"/>
      <c r="E762" s="59" t="n"/>
      <c r="F762" s="58" t="n"/>
      <c r="G762" s="60" t="n"/>
      <c r="H762" s="60" t="n"/>
      <c r="I762" s="61" t="n"/>
      <c r="J762" s="61" t="n"/>
      <c r="K762" s="61" t="n"/>
      <c r="L762" s="61" t="n"/>
      <c r="M762" s="61" t="n"/>
      <c r="N762" s="58" t="n"/>
      <c r="O762" s="59" t="n"/>
      <c r="P762" s="62" t="n"/>
      <c r="Q762" s="63" t="n"/>
      <c r="R762" s="61">
        <f>IF($P762&gt;0,CHOOSE(MATCH($B$4,'Служебный лист'!$A$4:$A$8,0),I762,J762,K762,L762,M762),"")</f>
        <v/>
      </c>
      <c r="S762" s="61">
        <f>IFERROR($P762*$R762,0)</f>
        <v/>
      </c>
      <c r="T762" s="61">
        <f>$S762*1.22</f>
        <v/>
      </c>
      <c r="U762" s="64">
        <f>IF($P762&gt;0,COUNTIF($P$11:P762,"&gt;0"),"")</f>
        <v/>
      </c>
    </row>
    <row r="763" ht="14.25" customHeight="1" s="49">
      <c r="A763" s="58" t="n"/>
      <c r="B763" s="58" t="n"/>
      <c r="C763" s="59" t="n"/>
      <c r="D763" s="59" t="n"/>
      <c r="E763" s="59" t="n"/>
      <c r="F763" s="58" t="n"/>
      <c r="G763" s="60" t="n"/>
      <c r="H763" s="60" t="n"/>
      <c r="I763" s="61" t="n"/>
      <c r="J763" s="61" t="n"/>
      <c r="K763" s="61" t="n"/>
      <c r="L763" s="61" t="n"/>
      <c r="M763" s="61" t="n"/>
      <c r="N763" s="58" t="n"/>
      <c r="O763" s="59" t="n"/>
      <c r="P763" s="62" t="n"/>
      <c r="Q763" s="63" t="n"/>
      <c r="R763" s="61">
        <f>IF($P763&gt;0,CHOOSE(MATCH($B$4,'Служебный лист'!$A$4:$A$8,0),I763,J763,K763,L763,M763),"")</f>
        <v/>
      </c>
      <c r="S763" s="61">
        <f>IFERROR($P763*$R763,0)</f>
        <v/>
      </c>
      <c r="T763" s="61">
        <f>$S763*1.22</f>
        <v/>
      </c>
      <c r="U763" s="64">
        <f>IF($P763&gt;0,COUNTIF($P$11:P763,"&gt;0"),"")</f>
        <v/>
      </c>
    </row>
    <row r="764" ht="14.25" customHeight="1" s="49">
      <c r="A764" s="58" t="n"/>
      <c r="B764" s="58" t="n"/>
      <c r="C764" s="59" t="n"/>
      <c r="D764" s="59" t="n"/>
      <c r="E764" s="59" t="n"/>
      <c r="F764" s="58" t="n"/>
      <c r="G764" s="60" t="n"/>
      <c r="H764" s="60" t="n"/>
      <c r="I764" s="61" t="n"/>
      <c r="J764" s="61" t="n"/>
      <c r="K764" s="61" t="n"/>
      <c r="L764" s="61" t="n"/>
      <c r="M764" s="61" t="n"/>
      <c r="N764" s="58" t="n"/>
      <c r="O764" s="59" t="n"/>
      <c r="P764" s="62" t="n"/>
      <c r="Q764" s="63" t="n"/>
      <c r="R764" s="61">
        <f>IF($P764&gt;0,CHOOSE(MATCH($B$4,'Служебный лист'!$A$4:$A$8,0),I764,J764,K764,L764,M764),"")</f>
        <v/>
      </c>
      <c r="S764" s="61">
        <f>IFERROR($P764*$R764,0)</f>
        <v/>
      </c>
      <c r="T764" s="61">
        <f>$S764*1.22</f>
        <v/>
      </c>
      <c r="U764" s="64">
        <f>IF($P764&gt;0,COUNTIF($P$11:P764,"&gt;0"),"")</f>
        <v/>
      </c>
    </row>
    <row r="765" ht="14.25" customHeight="1" s="49">
      <c r="A765" s="58" t="n"/>
      <c r="B765" s="58" t="n"/>
      <c r="C765" s="59" t="n"/>
      <c r="D765" s="59" t="n"/>
      <c r="E765" s="59" t="n"/>
      <c r="F765" s="58" t="n"/>
      <c r="G765" s="60" t="n"/>
      <c r="H765" s="60" t="n"/>
      <c r="I765" s="61" t="n"/>
      <c r="J765" s="61" t="n"/>
      <c r="K765" s="61" t="n"/>
      <c r="L765" s="61" t="n"/>
      <c r="M765" s="61" t="n"/>
      <c r="N765" s="58" t="n"/>
      <c r="O765" s="59" t="n"/>
      <c r="P765" s="62" t="n"/>
      <c r="Q765" s="63" t="n"/>
      <c r="R765" s="61">
        <f>IF($P765&gt;0,CHOOSE(MATCH($B$4,'Служебный лист'!$A$4:$A$8,0),I765,J765,K765,L765,M765),"")</f>
        <v/>
      </c>
      <c r="S765" s="61">
        <f>IFERROR($P765*$R765,0)</f>
        <v/>
      </c>
      <c r="T765" s="61">
        <f>$S765*1.22</f>
        <v/>
      </c>
      <c r="U765" s="64">
        <f>IF($P765&gt;0,COUNTIF($P$11:P765,"&gt;0"),"")</f>
        <v/>
      </c>
    </row>
    <row r="766" ht="14.25" customHeight="1" s="49">
      <c r="A766" s="58" t="n"/>
      <c r="B766" s="58" t="n"/>
      <c r="C766" s="59" t="n"/>
      <c r="D766" s="59" t="n"/>
      <c r="E766" s="59" t="n"/>
      <c r="F766" s="58" t="n"/>
      <c r="G766" s="60" t="n"/>
      <c r="H766" s="60" t="n"/>
      <c r="I766" s="61" t="n"/>
      <c r="J766" s="61" t="n"/>
      <c r="K766" s="61" t="n"/>
      <c r="L766" s="61" t="n"/>
      <c r="M766" s="61" t="n"/>
      <c r="N766" s="58" t="n"/>
      <c r="O766" s="59" t="n"/>
      <c r="P766" s="62" t="n"/>
      <c r="Q766" s="63" t="n"/>
      <c r="R766" s="61">
        <f>IF($P766&gt;0,CHOOSE(MATCH($B$4,'Служебный лист'!$A$4:$A$8,0),I766,J766,K766,L766,M766),"")</f>
        <v/>
      </c>
      <c r="S766" s="61">
        <f>IFERROR($P766*$R766,0)</f>
        <v/>
      </c>
      <c r="T766" s="61">
        <f>$S766*1.22</f>
        <v/>
      </c>
      <c r="U766" s="64">
        <f>IF($P766&gt;0,COUNTIF($P$11:P766,"&gt;0"),"")</f>
        <v/>
      </c>
    </row>
    <row r="767" ht="14.25" customHeight="1" s="49">
      <c r="A767" s="58" t="n"/>
      <c r="B767" s="58" t="n"/>
      <c r="C767" s="59" t="n"/>
      <c r="D767" s="59" t="n"/>
      <c r="E767" s="59" t="n"/>
      <c r="F767" s="58" t="n"/>
      <c r="G767" s="60" t="n"/>
      <c r="H767" s="60" t="n"/>
      <c r="I767" s="61" t="n"/>
      <c r="J767" s="61" t="n"/>
      <c r="K767" s="61" t="n"/>
      <c r="L767" s="61" t="n"/>
      <c r="M767" s="61" t="n"/>
      <c r="N767" s="58" t="n"/>
      <c r="O767" s="59" t="n"/>
      <c r="P767" s="62" t="n"/>
      <c r="Q767" s="63" t="n"/>
      <c r="R767" s="61">
        <f>IF($P767&gt;0,CHOOSE(MATCH($B$4,'Служебный лист'!$A$4:$A$8,0),I767,J767,K767,L767,M767),"")</f>
        <v/>
      </c>
      <c r="S767" s="61">
        <f>IFERROR($P767*$R767,0)</f>
        <v/>
      </c>
      <c r="T767" s="61">
        <f>$S767*1.22</f>
        <v/>
      </c>
      <c r="U767" s="64">
        <f>IF($P767&gt;0,COUNTIF($P$11:P767,"&gt;0"),"")</f>
        <v/>
      </c>
    </row>
    <row r="768" ht="14.25" customHeight="1" s="49">
      <c r="A768" s="58" t="n"/>
      <c r="B768" s="58" t="n"/>
      <c r="C768" s="59" t="n"/>
      <c r="D768" s="59" t="n"/>
      <c r="E768" s="59" t="n"/>
      <c r="F768" s="58" t="n"/>
      <c r="G768" s="60" t="n"/>
      <c r="H768" s="60" t="n"/>
      <c r="I768" s="61" t="n"/>
      <c r="J768" s="61" t="n"/>
      <c r="K768" s="61" t="n"/>
      <c r="L768" s="61" t="n"/>
      <c r="M768" s="61" t="n"/>
      <c r="N768" s="58" t="n"/>
      <c r="O768" s="59" t="n"/>
      <c r="P768" s="62" t="n"/>
      <c r="Q768" s="63" t="n"/>
      <c r="R768" s="61">
        <f>IF($P768&gt;0,CHOOSE(MATCH($B$4,'Служебный лист'!$A$4:$A$8,0),I768,J768,K768,L768,M768),"")</f>
        <v/>
      </c>
      <c r="S768" s="61">
        <f>IFERROR($P768*$R768,0)</f>
        <v/>
      </c>
      <c r="T768" s="61">
        <f>$S768*1.22</f>
        <v/>
      </c>
      <c r="U768" s="64">
        <f>IF($P768&gt;0,COUNTIF($P$11:P768,"&gt;0"),"")</f>
        <v/>
      </c>
    </row>
    <row r="769" ht="14.25" customHeight="1" s="49">
      <c r="A769" s="58" t="n"/>
      <c r="B769" s="58" t="n"/>
      <c r="C769" s="59" t="n"/>
      <c r="D769" s="59" t="n"/>
      <c r="E769" s="59" t="n"/>
      <c r="F769" s="58" t="n"/>
      <c r="G769" s="60" t="n"/>
      <c r="H769" s="60" t="n"/>
      <c r="I769" s="61" t="n"/>
      <c r="J769" s="61" t="n"/>
      <c r="K769" s="61" t="n"/>
      <c r="L769" s="61" t="n"/>
      <c r="M769" s="61" t="n"/>
      <c r="N769" s="58" t="n"/>
      <c r="O769" s="59" t="n"/>
      <c r="P769" s="62" t="n"/>
      <c r="Q769" s="63" t="n"/>
      <c r="R769" s="61">
        <f>IF($P769&gt;0,CHOOSE(MATCH($B$4,'Служебный лист'!$A$4:$A$8,0),I769,J769,K769,L769,M769),"")</f>
        <v/>
      </c>
      <c r="S769" s="61">
        <f>IFERROR($P769*$R769,0)</f>
        <v/>
      </c>
      <c r="T769" s="61">
        <f>$S769*1.22</f>
        <v/>
      </c>
      <c r="U769" s="64">
        <f>IF($P769&gt;0,COUNTIF($P$11:P769,"&gt;0"),"")</f>
        <v/>
      </c>
    </row>
    <row r="770" ht="14.25" customHeight="1" s="49">
      <c r="A770" s="58" t="n"/>
      <c r="B770" s="58" t="n"/>
      <c r="C770" s="59" t="n"/>
      <c r="D770" s="59" t="n"/>
      <c r="E770" s="59" t="n"/>
      <c r="F770" s="58" t="n"/>
      <c r="G770" s="60" t="n"/>
      <c r="H770" s="60" t="n"/>
      <c r="I770" s="61" t="n"/>
      <c r="J770" s="61" t="n"/>
      <c r="K770" s="61" t="n"/>
      <c r="L770" s="61" t="n"/>
      <c r="M770" s="61" t="n"/>
      <c r="N770" s="58" t="n"/>
      <c r="O770" s="59" t="n"/>
      <c r="P770" s="62" t="n"/>
      <c r="Q770" s="63" t="n"/>
      <c r="R770" s="61">
        <f>IF($P770&gt;0,CHOOSE(MATCH($B$4,'Служебный лист'!$A$4:$A$8,0),I770,J770,K770,L770,M770),"")</f>
        <v/>
      </c>
      <c r="S770" s="61">
        <f>IFERROR($P770*$R770,0)</f>
        <v/>
      </c>
      <c r="T770" s="61">
        <f>$S770*1.22</f>
        <v/>
      </c>
      <c r="U770" s="64">
        <f>IF($P770&gt;0,COUNTIF($P$11:P770,"&gt;0"),"")</f>
        <v/>
      </c>
    </row>
    <row r="771" ht="14.25" customHeight="1" s="49">
      <c r="A771" s="58" t="n"/>
      <c r="B771" s="58" t="n"/>
      <c r="C771" s="59" t="n"/>
      <c r="D771" s="59" t="n"/>
      <c r="E771" s="59" t="n"/>
      <c r="F771" s="58" t="n"/>
      <c r="G771" s="60" t="n"/>
      <c r="H771" s="60" t="n"/>
      <c r="I771" s="61" t="n"/>
      <c r="J771" s="61" t="n"/>
      <c r="K771" s="61" t="n"/>
      <c r="L771" s="61" t="n"/>
      <c r="M771" s="61" t="n"/>
      <c r="N771" s="58" t="n"/>
      <c r="O771" s="59" t="n"/>
      <c r="P771" s="62" t="n"/>
      <c r="Q771" s="63" t="n"/>
      <c r="R771" s="61">
        <f>IF($P771&gt;0,CHOOSE(MATCH($B$4,'Служебный лист'!$A$4:$A$8,0),I771,J771,K771,L771,M771),"")</f>
        <v/>
      </c>
      <c r="S771" s="61">
        <f>IFERROR($P771*$R771,0)</f>
        <v/>
      </c>
      <c r="T771" s="61">
        <f>$S771*1.22</f>
        <v/>
      </c>
      <c r="U771" s="64">
        <f>IF($P771&gt;0,COUNTIF($P$11:P771,"&gt;0"),"")</f>
        <v/>
      </c>
    </row>
    <row r="772" ht="14.25" customHeight="1" s="49">
      <c r="A772" s="58" t="n"/>
      <c r="B772" s="58" t="n"/>
      <c r="C772" s="59" t="n"/>
      <c r="D772" s="59" t="n"/>
      <c r="E772" s="59" t="n"/>
      <c r="F772" s="58" t="n"/>
      <c r="G772" s="60" t="n"/>
      <c r="H772" s="60" t="n"/>
      <c r="I772" s="61" t="n"/>
      <c r="J772" s="61" t="n"/>
      <c r="K772" s="61" t="n"/>
      <c r="L772" s="61" t="n"/>
      <c r="M772" s="61" t="n"/>
      <c r="N772" s="58" t="n"/>
      <c r="O772" s="59" t="n"/>
      <c r="P772" s="62" t="n"/>
      <c r="Q772" s="63" t="n"/>
      <c r="R772" s="61">
        <f>IF($P772&gt;0,CHOOSE(MATCH($B$4,'Служебный лист'!$A$4:$A$8,0),I772,J772,K772,L772,M772),"")</f>
        <v/>
      </c>
      <c r="S772" s="61">
        <f>IFERROR($P772*$R772,0)</f>
        <v/>
      </c>
      <c r="T772" s="61">
        <f>$S772*1.22</f>
        <v/>
      </c>
      <c r="U772" s="64">
        <f>IF($P772&gt;0,COUNTIF($P$11:P772,"&gt;0"),"")</f>
        <v/>
      </c>
    </row>
    <row r="773" ht="14.25" customHeight="1" s="49">
      <c r="A773" s="58" t="n"/>
      <c r="B773" s="58" t="n"/>
      <c r="C773" s="59" t="n"/>
      <c r="D773" s="59" t="n"/>
      <c r="E773" s="59" t="n"/>
      <c r="F773" s="58" t="n"/>
      <c r="G773" s="60" t="n"/>
      <c r="H773" s="60" t="n"/>
      <c r="I773" s="61" t="n"/>
      <c r="J773" s="61" t="n"/>
      <c r="K773" s="61" t="n"/>
      <c r="L773" s="61" t="n"/>
      <c r="M773" s="61" t="n"/>
      <c r="N773" s="58" t="n"/>
      <c r="O773" s="59" t="n"/>
      <c r="P773" s="62" t="n"/>
      <c r="Q773" s="63" t="n"/>
      <c r="R773" s="61">
        <f>IF($P773&gt;0,CHOOSE(MATCH($B$4,'Служебный лист'!$A$4:$A$8,0),I773,J773,K773,L773,M773),"")</f>
        <v/>
      </c>
      <c r="S773" s="61">
        <f>IFERROR($P773*$R773,0)</f>
        <v/>
      </c>
      <c r="T773" s="61">
        <f>$S773*1.22</f>
        <v/>
      </c>
      <c r="U773" s="64">
        <f>IF($P773&gt;0,COUNTIF($P$11:P773,"&gt;0"),"")</f>
        <v/>
      </c>
    </row>
    <row r="774" ht="14.25" customHeight="1" s="49">
      <c r="A774" s="58" t="n"/>
      <c r="B774" s="58" t="n"/>
      <c r="C774" s="59" t="n"/>
      <c r="D774" s="59" t="n"/>
      <c r="E774" s="59" t="n"/>
      <c r="F774" s="58" t="n"/>
      <c r="G774" s="60" t="n"/>
      <c r="H774" s="60" t="n"/>
      <c r="I774" s="61" t="n"/>
      <c r="J774" s="61" t="n"/>
      <c r="K774" s="61" t="n"/>
      <c r="L774" s="61" t="n"/>
      <c r="M774" s="61" t="n"/>
      <c r="N774" s="58" t="n"/>
      <c r="O774" s="59" t="n"/>
      <c r="P774" s="62" t="n"/>
      <c r="Q774" s="63" t="n"/>
      <c r="R774" s="61">
        <f>IF($P774&gt;0,CHOOSE(MATCH($B$4,'Служебный лист'!$A$4:$A$8,0),I774,J774,K774,L774,M774),"")</f>
        <v/>
      </c>
      <c r="S774" s="61">
        <f>IFERROR($P774*$R774,0)</f>
        <v/>
      </c>
      <c r="T774" s="61">
        <f>$S774*1.22</f>
        <v/>
      </c>
      <c r="U774" s="64">
        <f>IF($P774&gt;0,COUNTIF($P$11:P774,"&gt;0"),"")</f>
        <v/>
      </c>
    </row>
    <row r="775" ht="14.25" customHeight="1" s="49">
      <c r="A775" s="58" t="n"/>
      <c r="B775" s="58" t="n"/>
      <c r="C775" s="59" t="n"/>
      <c r="D775" s="59" t="n"/>
      <c r="E775" s="59" t="n"/>
      <c r="F775" s="58" t="n"/>
      <c r="G775" s="60" t="n"/>
      <c r="H775" s="60" t="n"/>
      <c r="I775" s="61" t="n"/>
      <c r="J775" s="61" t="n"/>
      <c r="K775" s="61" t="n"/>
      <c r="L775" s="61" t="n"/>
      <c r="M775" s="61" t="n"/>
      <c r="N775" s="58" t="n"/>
      <c r="O775" s="59" t="n"/>
      <c r="P775" s="62" t="n"/>
      <c r="Q775" s="63" t="n"/>
      <c r="R775" s="61">
        <f>IF($P775&gt;0,CHOOSE(MATCH($B$4,'Служебный лист'!$A$4:$A$8,0),I775,J775,K775,L775,M775),"")</f>
        <v/>
      </c>
      <c r="S775" s="61">
        <f>IFERROR($P775*$R775,0)</f>
        <v/>
      </c>
      <c r="T775" s="61">
        <f>$S775*1.22</f>
        <v/>
      </c>
      <c r="U775" s="64">
        <f>IF($P775&gt;0,COUNTIF($P$11:P775,"&gt;0"),"")</f>
        <v/>
      </c>
    </row>
    <row r="776" ht="14.25" customHeight="1" s="49">
      <c r="A776" s="58" t="n"/>
      <c r="B776" s="58" t="n"/>
      <c r="C776" s="59" t="n"/>
      <c r="D776" s="59" t="n"/>
      <c r="E776" s="59" t="n"/>
      <c r="F776" s="58" t="n"/>
      <c r="G776" s="60" t="n"/>
      <c r="H776" s="60" t="n"/>
      <c r="I776" s="61" t="n"/>
      <c r="J776" s="61" t="n"/>
      <c r="K776" s="61" t="n"/>
      <c r="L776" s="61" t="n"/>
      <c r="M776" s="61" t="n"/>
      <c r="N776" s="58" t="n"/>
      <c r="O776" s="59" t="n"/>
      <c r="P776" s="62" t="n"/>
      <c r="Q776" s="63" t="n"/>
      <c r="R776" s="61">
        <f>IF($P776&gt;0,CHOOSE(MATCH($B$4,'Служебный лист'!$A$4:$A$8,0),I776,J776,K776,L776,M776),"")</f>
        <v/>
      </c>
      <c r="S776" s="61">
        <f>IFERROR($P776*$R776,0)</f>
        <v/>
      </c>
      <c r="T776" s="61">
        <f>$S776*1.22</f>
        <v/>
      </c>
      <c r="U776" s="64">
        <f>IF($P776&gt;0,COUNTIF($P$11:P776,"&gt;0"),"")</f>
        <v/>
      </c>
    </row>
    <row r="777" ht="14.25" customHeight="1" s="49">
      <c r="A777" s="58" t="n"/>
      <c r="B777" s="58" t="n"/>
      <c r="C777" s="59" t="n"/>
      <c r="D777" s="59" t="n"/>
      <c r="E777" s="59" t="n"/>
      <c r="F777" s="58" t="n"/>
      <c r="G777" s="60" t="n"/>
      <c r="H777" s="60" t="n"/>
      <c r="I777" s="61" t="n"/>
      <c r="J777" s="61" t="n"/>
      <c r="K777" s="61" t="n"/>
      <c r="L777" s="61" t="n"/>
      <c r="M777" s="61" t="n"/>
      <c r="N777" s="58" t="n"/>
      <c r="O777" s="59" t="n"/>
      <c r="P777" s="62" t="n"/>
      <c r="Q777" s="63" t="n"/>
      <c r="R777" s="61">
        <f>IF($P777&gt;0,CHOOSE(MATCH($B$4,'Служебный лист'!$A$4:$A$8,0),I777,J777,K777,L777,M777),"")</f>
        <v/>
      </c>
      <c r="S777" s="61">
        <f>IFERROR($P777*$R777,0)</f>
        <v/>
      </c>
      <c r="T777" s="61">
        <f>$S777*1.22</f>
        <v/>
      </c>
      <c r="U777" s="64">
        <f>IF($P777&gt;0,COUNTIF($P$11:P777,"&gt;0"),"")</f>
        <v/>
      </c>
    </row>
    <row r="778" ht="14.25" customHeight="1" s="49">
      <c r="A778" s="58" t="n"/>
      <c r="B778" s="58" t="n"/>
      <c r="C778" s="59" t="n"/>
      <c r="D778" s="59" t="n"/>
      <c r="E778" s="59" t="n"/>
      <c r="F778" s="58" t="n"/>
      <c r="G778" s="60" t="n"/>
      <c r="H778" s="60" t="n"/>
      <c r="I778" s="61" t="n"/>
      <c r="J778" s="61" t="n"/>
      <c r="K778" s="61" t="n"/>
      <c r="L778" s="61" t="n"/>
      <c r="M778" s="61" t="n"/>
      <c r="N778" s="58" t="n"/>
      <c r="O778" s="59" t="n"/>
      <c r="P778" s="62" t="n"/>
      <c r="Q778" s="63" t="n"/>
      <c r="R778" s="61">
        <f>IF($P778&gt;0,CHOOSE(MATCH($B$4,'Служебный лист'!$A$4:$A$8,0),I778,J778,K778,L778,M778),"")</f>
        <v/>
      </c>
      <c r="S778" s="61">
        <f>IFERROR($P778*$R778,0)</f>
        <v/>
      </c>
      <c r="T778" s="61">
        <f>$S778*1.22</f>
        <v/>
      </c>
      <c r="U778" s="64">
        <f>IF($P778&gt;0,COUNTIF($P$11:P778,"&gt;0"),"")</f>
        <v/>
      </c>
    </row>
    <row r="779" ht="14.25" customHeight="1" s="49">
      <c r="A779" s="58" t="n"/>
      <c r="B779" s="58" t="n"/>
      <c r="C779" s="59" t="n"/>
      <c r="D779" s="59" t="n"/>
      <c r="E779" s="59" t="n"/>
      <c r="F779" s="58" t="n"/>
      <c r="G779" s="60" t="n"/>
      <c r="H779" s="60" t="n"/>
      <c r="I779" s="61" t="n"/>
      <c r="J779" s="61" t="n"/>
      <c r="K779" s="61" t="n"/>
      <c r="L779" s="61" t="n"/>
      <c r="M779" s="61" t="n"/>
      <c r="N779" s="58" t="n"/>
      <c r="O779" s="59" t="n"/>
      <c r="P779" s="62" t="n"/>
      <c r="Q779" s="63" t="n"/>
      <c r="R779" s="61">
        <f>IF($P779&gt;0,CHOOSE(MATCH($B$4,'Служебный лист'!$A$4:$A$8,0),I779,J779,K779,L779,M779),"")</f>
        <v/>
      </c>
      <c r="S779" s="61">
        <f>IFERROR($P779*$R779,0)</f>
        <v/>
      </c>
      <c r="T779" s="61">
        <f>$S779*1.22</f>
        <v/>
      </c>
      <c r="U779" s="64">
        <f>IF($P779&gt;0,COUNTIF($P$11:P779,"&gt;0"),"")</f>
        <v/>
      </c>
    </row>
    <row r="780" ht="14.25" customHeight="1" s="49">
      <c r="A780" s="58" t="n"/>
      <c r="B780" s="58" t="n"/>
      <c r="C780" s="59" t="n"/>
      <c r="D780" s="59" t="n"/>
      <c r="E780" s="59" t="n"/>
      <c r="F780" s="58" t="n"/>
      <c r="G780" s="60" t="n"/>
      <c r="H780" s="60" t="n"/>
      <c r="I780" s="61" t="n"/>
      <c r="J780" s="61" t="n"/>
      <c r="K780" s="61" t="n"/>
      <c r="L780" s="61" t="n"/>
      <c r="M780" s="61" t="n"/>
      <c r="N780" s="58" t="n"/>
      <c r="O780" s="59" t="n"/>
      <c r="P780" s="62" t="n"/>
      <c r="Q780" s="63" t="n"/>
      <c r="R780" s="61">
        <f>IF($P780&gt;0,CHOOSE(MATCH($B$4,'Служебный лист'!$A$4:$A$8,0),I780,J780,K780,L780,M780),"")</f>
        <v/>
      </c>
      <c r="S780" s="61">
        <f>IFERROR($P780*$R780,0)</f>
        <v/>
      </c>
      <c r="T780" s="61">
        <f>$S780*1.22</f>
        <v/>
      </c>
      <c r="U780" s="64">
        <f>IF($P780&gt;0,COUNTIF($P$11:P780,"&gt;0"),"")</f>
        <v/>
      </c>
    </row>
    <row r="781" ht="14.25" customHeight="1" s="49">
      <c r="A781" s="58" t="n"/>
      <c r="B781" s="58" t="n"/>
      <c r="C781" s="59" t="n"/>
      <c r="D781" s="59" t="n"/>
      <c r="E781" s="59" t="n"/>
      <c r="F781" s="58" t="n"/>
      <c r="G781" s="60" t="n"/>
      <c r="H781" s="60" t="n"/>
      <c r="I781" s="61" t="n"/>
      <c r="J781" s="61" t="n"/>
      <c r="K781" s="61" t="n"/>
      <c r="L781" s="61" t="n"/>
      <c r="M781" s="61" t="n"/>
      <c r="N781" s="58" t="n"/>
      <c r="O781" s="59" t="n"/>
      <c r="P781" s="62" t="n"/>
      <c r="Q781" s="63" t="n"/>
      <c r="R781" s="61">
        <f>IF($P781&gt;0,CHOOSE(MATCH($B$4,'Служебный лист'!$A$4:$A$8,0),I781,J781,K781,L781,M781),"")</f>
        <v/>
      </c>
      <c r="S781" s="61">
        <f>IFERROR($P781*$R781,0)</f>
        <v/>
      </c>
      <c r="T781" s="61">
        <f>$S781*1.22</f>
        <v/>
      </c>
      <c r="U781" s="64">
        <f>IF($P781&gt;0,COUNTIF($P$11:P781,"&gt;0"),"")</f>
        <v/>
      </c>
    </row>
    <row r="782" ht="14.25" customHeight="1" s="49">
      <c r="A782" s="58" t="n"/>
      <c r="B782" s="58" t="n"/>
      <c r="C782" s="59" t="n"/>
      <c r="D782" s="59" t="n"/>
      <c r="E782" s="59" t="n"/>
      <c r="F782" s="58" t="n"/>
      <c r="G782" s="60" t="n"/>
      <c r="H782" s="60" t="n"/>
      <c r="I782" s="61" t="n"/>
      <c r="J782" s="61" t="n"/>
      <c r="K782" s="61" t="n"/>
      <c r="L782" s="61" t="n"/>
      <c r="M782" s="61" t="n"/>
      <c r="N782" s="58" t="n"/>
      <c r="O782" s="59" t="n"/>
      <c r="P782" s="62" t="n"/>
      <c r="Q782" s="63" t="n"/>
      <c r="R782" s="61">
        <f>IF($P782&gt;0,CHOOSE(MATCH($B$4,'Служебный лист'!$A$4:$A$8,0),I782,J782,K782,L782,M782),"")</f>
        <v/>
      </c>
      <c r="S782" s="61">
        <f>IFERROR($P782*$R782,0)</f>
        <v/>
      </c>
      <c r="T782" s="61">
        <f>$S782*1.22</f>
        <v/>
      </c>
      <c r="U782" s="64">
        <f>IF($P782&gt;0,COUNTIF($P$11:P782,"&gt;0"),"")</f>
        <v/>
      </c>
    </row>
    <row r="783" ht="14.25" customHeight="1" s="49">
      <c r="A783" s="58" t="n"/>
      <c r="B783" s="58" t="n"/>
      <c r="C783" s="59" t="n"/>
      <c r="D783" s="59" t="n"/>
      <c r="E783" s="59" t="n"/>
      <c r="F783" s="58" t="n"/>
      <c r="G783" s="60" t="n"/>
      <c r="H783" s="60" t="n"/>
      <c r="I783" s="61" t="n"/>
      <c r="J783" s="61" t="n"/>
      <c r="K783" s="61" t="n"/>
      <c r="L783" s="61" t="n"/>
      <c r="M783" s="61" t="n"/>
      <c r="N783" s="58" t="n"/>
      <c r="O783" s="59" t="n"/>
      <c r="P783" s="62" t="n"/>
      <c r="Q783" s="63" t="n"/>
      <c r="R783" s="61">
        <f>IF($P783&gt;0,CHOOSE(MATCH($B$4,'Служебный лист'!$A$4:$A$8,0),I783,J783,K783,L783,M783),"")</f>
        <v/>
      </c>
      <c r="S783" s="61">
        <f>IFERROR($P783*$R783,0)</f>
        <v/>
      </c>
      <c r="T783" s="61">
        <f>$S783*1.22</f>
        <v/>
      </c>
      <c r="U783" s="64">
        <f>IF($P783&gt;0,COUNTIF($P$11:P783,"&gt;0"),"")</f>
        <v/>
      </c>
    </row>
    <row r="784" ht="14.25" customHeight="1" s="49">
      <c r="A784" s="58" t="n"/>
      <c r="B784" s="58" t="n"/>
      <c r="C784" s="59" t="n"/>
      <c r="D784" s="59" t="n"/>
      <c r="E784" s="59" t="n"/>
      <c r="F784" s="58" t="n"/>
      <c r="G784" s="60" t="n"/>
      <c r="H784" s="60" t="n"/>
      <c r="I784" s="61" t="n"/>
      <c r="J784" s="61" t="n"/>
      <c r="K784" s="61" t="n"/>
      <c r="L784" s="61" t="n"/>
      <c r="M784" s="61" t="n"/>
      <c r="N784" s="58" t="n"/>
      <c r="O784" s="59" t="n"/>
      <c r="P784" s="62" t="n"/>
      <c r="Q784" s="63" t="n"/>
      <c r="R784" s="61">
        <f>IF($P784&gt;0,CHOOSE(MATCH($B$4,'Служебный лист'!$A$4:$A$8,0),I784,J784,K784,L784,M784),"")</f>
        <v/>
      </c>
      <c r="S784" s="61">
        <f>IFERROR($P784*$R784,0)</f>
        <v/>
      </c>
      <c r="T784" s="61">
        <f>$S784*1.22</f>
        <v/>
      </c>
      <c r="U784" s="64">
        <f>IF($P784&gt;0,COUNTIF($P$11:P784,"&gt;0"),"")</f>
        <v/>
      </c>
    </row>
    <row r="785" ht="14.25" customHeight="1" s="49">
      <c r="A785" s="58" t="n"/>
      <c r="B785" s="58" t="n"/>
      <c r="C785" s="59" t="n"/>
      <c r="D785" s="59" t="n"/>
      <c r="E785" s="59" t="n"/>
      <c r="F785" s="58" t="n"/>
      <c r="G785" s="60" t="n"/>
      <c r="H785" s="60" t="n"/>
      <c r="I785" s="61" t="n"/>
      <c r="J785" s="61" t="n"/>
      <c r="K785" s="61" t="n"/>
      <c r="L785" s="61" t="n"/>
      <c r="M785" s="61" t="n"/>
      <c r="N785" s="58" t="n"/>
      <c r="O785" s="59" t="n"/>
      <c r="P785" s="62" t="n"/>
      <c r="Q785" s="63" t="n"/>
      <c r="R785" s="61">
        <f>IF($P785&gt;0,CHOOSE(MATCH($B$4,'Служебный лист'!$A$4:$A$8,0),I785,J785,K785,L785,M785),"")</f>
        <v/>
      </c>
      <c r="S785" s="61">
        <f>IFERROR($P785*$R785,0)</f>
        <v/>
      </c>
      <c r="T785" s="61">
        <f>$S785*1.22</f>
        <v/>
      </c>
      <c r="U785" s="64">
        <f>IF($P785&gt;0,COUNTIF($P$11:P785,"&gt;0"),"")</f>
        <v/>
      </c>
    </row>
    <row r="786" ht="14.25" customHeight="1" s="49">
      <c r="A786" s="58" t="n"/>
      <c r="B786" s="58" t="n"/>
      <c r="C786" s="59" t="n"/>
      <c r="D786" s="59" t="n"/>
      <c r="E786" s="59" t="n"/>
      <c r="F786" s="58" t="n"/>
      <c r="G786" s="60" t="n"/>
      <c r="H786" s="60" t="n"/>
      <c r="I786" s="61" t="n"/>
      <c r="J786" s="61" t="n"/>
      <c r="K786" s="61" t="n"/>
      <c r="L786" s="61" t="n"/>
      <c r="M786" s="61" t="n"/>
      <c r="N786" s="58" t="n"/>
      <c r="O786" s="59" t="n"/>
      <c r="P786" s="62" t="n"/>
      <c r="Q786" s="63" t="n"/>
      <c r="R786" s="61">
        <f>IF($P786&gt;0,CHOOSE(MATCH($B$4,'Служебный лист'!$A$4:$A$8,0),I786,J786,K786,L786,M786),"")</f>
        <v/>
      </c>
      <c r="S786" s="61">
        <f>IFERROR($P786*$R786,0)</f>
        <v/>
      </c>
      <c r="T786" s="61">
        <f>$S786*1.22</f>
        <v/>
      </c>
      <c r="U786" s="64">
        <f>IF($P786&gt;0,COUNTIF($P$11:P786,"&gt;0"),"")</f>
        <v/>
      </c>
    </row>
    <row r="787" ht="14.25" customHeight="1" s="49">
      <c r="A787" s="58" t="n"/>
      <c r="B787" s="58" t="n"/>
      <c r="C787" s="59" t="n"/>
      <c r="D787" s="59" t="n"/>
      <c r="E787" s="59" t="n"/>
      <c r="F787" s="58" t="n"/>
      <c r="G787" s="60" t="n"/>
      <c r="H787" s="60" t="n"/>
      <c r="I787" s="61" t="n"/>
      <c r="J787" s="61" t="n"/>
      <c r="K787" s="61" t="n"/>
      <c r="L787" s="61" t="n"/>
      <c r="M787" s="61" t="n"/>
      <c r="N787" s="58" t="n"/>
      <c r="O787" s="59" t="n"/>
      <c r="P787" s="62" t="n"/>
      <c r="Q787" s="63" t="n"/>
      <c r="R787" s="61">
        <f>IF($P787&gt;0,CHOOSE(MATCH($B$4,'Служебный лист'!$A$4:$A$8,0),I787,J787,K787,L787,M787),"")</f>
        <v/>
      </c>
      <c r="S787" s="61">
        <f>IFERROR($P787*$R787,0)</f>
        <v/>
      </c>
      <c r="T787" s="61">
        <f>$S787*1.22</f>
        <v/>
      </c>
      <c r="U787" s="64">
        <f>IF($P787&gt;0,COUNTIF($P$11:P787,"&gt;0"),"")</f>
        <v/>
      </c>
    </row>
    <row r="788" ht="14.25" customHeight="1" s="49">
      <c r="A788" s="58" t="n"/>
      <c r="B788" s="58" t="n"/>
      <c r="C788" s="59" t="n"/>
      <c r="D788" s="59" t="n"/>
      <c r="E788" s="59" t="n"/>
      <c r="F788" s="58" t="n"/>
      <c r="G788" s="60" t="n"/>
      <c r="H788" s="60" t="n"/>
      <c r="I788" s="61" t="n"/>
      <c r="J788" s="61" t="n"/>
      <c r="K788" s="61" t="n"/>
      <c r="L788" s="61" t="n"/>
      <c r="M788" s="61" t="n"/>
      <c r="N788" s="58" t="n"/>
      <c r="O788" s="59" t="n"/>
      <c r="P788" s="62" t="n"/>
      <c r="Q788" s="63" t="n"/>
      <c r="R788" s="61">
        <f>IF($P788&gt;0,CHOOSE(MATCH($B$4,'Служебный лист'!$A$4:$A$8,0),I788,J788,K788,L788,M788),"")</f>
        <v/>
      </c>
      <c r="S788" s="61">
        <f>IFERROR($P788*$R788,0)</f>
        <v/>
      </c>
      <c r="T788" s="61">
        <f>$S788*1.22</f>
        <v/>
      </c>
      <c r="U788" s="64">
        <f>IF($P788&gt;0,COUNTIF($P$11:P788,"&gt;0"),"")</f>
        <v/>
      </c>
    </row>
    <row r="789" ht="14.25" customHeight="1" s="49">
      <c r="A789" s="58" t="n"/>
      <c r="B789" s="58" t="n"/>
      <c r="C789" s="59" t="n"/>
      <c r="D789" s="59" t="n"/>
      <c r="E789" s="59" t="n"/>
      <c r="F789" s="58" t="n"/>
      <c r="G789" s="60" t="n"/>
      <c r="H789" s="60" t="n"/>
      <c r="I789" s="61" t="n"/>
      <c r="J789" s="61" t="n"/>
      <c r="K789" s="61" t="n"/>
      <c r="L789" s="61" t="n"/>
      <c r="M789" s="61" t="n"/>
      <c r="N789" s="58" t="n"/>
      <c r="O789" s="59" t="n"/>
      <c r="P789" s="62" t="n"/>
      <c r="Q789" s="63" t="n"/>
      <c r="R789" s="61">
        <f>IF($P789&gt;0,CHOOSE(MATCH($B$4,'Служебный лист'!$A$4:$A$8,0),I789,J789,K789,L789,M789),"")</f>
        <v/>
      </c>
      <c r="S789" s="61">
        <f>IFERROR($P789*$R789,0)</f>
        <v/>
      </c>
      <c r="T789" s="61">
        <f>$S789*1.22</f>
        <v/>
      </c>
      <c r="U789" s="64">
        <f>IF($P789&gt;0,COUNTIF($P$11:P789,"&gt;0"),"")</f>
        <v/>
      </c>
    </row>
    <row r="790" ht="14.25" customHeight="1" s="49">
      <c r="A790" s="58" t="n"/>
      <c r="B790" s="58" t="n"/>
      <c r="C790" s="59" t="n"/>
      <c r="D790" s="59" t="n"/>
      <c r="E790" s="59" t="n"/>
      <c r="F790" s="58" t="n"/>
      <c r="G790" s="60" t="n"/>
      <c r="H790" s="60" t="n"/>
      <c r="I790" s="61" t="n"/>
      <c r="J790" s="61" t="n"/>
      <c r="K790" s="61" t="n"/>
      <c r="L790" s="61" t="n"/>
      <c r="M790" s="61" t="n"/>
      <c r="N790" s="58" t="n"/>
      <c r="O790" s="59" t="n"/>
      <c r="P790" s="62" t="n"/>
      <c r="Q790" s="63" t="n"/>
      <c r="R790" s="61">
        <f>IF($P790&gt;0,CHOOSE(MATCH($B$4,'Служебный лист'!$A$4:$A$8,0),I790,J790,K790,L790,M790),"")</f>
        <v/>
      </c>
      <c r="S790" s="61">
        <f>IFERROR($P790*$R790,0)</f>
        <v/>
      </c>
      <c r="T790" s="61">
        <f>$S790*1.22</f>
        <v/>
      </c>
      <c r="U790" s="64">
        <f>IF($P790&gt;0,COUNTIF($P$11:P790,"&gt;0"),"")</f>
        <v/>
      </c>
    </row>
    <row r="791" ht="14.25" customHeight="1" s="49">
      <c r="A791" s="58" t="n"/>
      <c r="B791" s="58" t="n"/>
      <c r="C791" s="59" t="n"/>
      <c r="D791" s="59" t="n"/>
      <c r="E791" s="59" t="n"/>
      <c r="F791" s="58" t="n"/>
      <c r="G791" s="60" t="n"/>
      <c r="H791" s="60" t="n"/>
      <c r="I791" s="61" t="n"/>
      <c r="J791" s="61" t="n"/>
      <c r="K791" s="61" t="n"/>
      <c r="L791" s="61" t="n"/>
      <c r="M791" s="61" t="n"/>
      <c r="N791" s="58" t="n"/>
      <c r="O791" s="59" t="n"/>
      <c r="P791" s="62" t="n"/>
      <c r="Q791" s="63" t="n"/>
      <c r="R791" s="61">
        <f>IF($P791&gt;0,CHOOSE(MATCH($B$4,'Служебный лист'!$A$4:$A$8,0),I791,J791,K791,L791,M791),"")</f>
        <v/>
      </c>
      <c r="S791" s="61">
        <f>IFERROR($P791*$R791,0)</f>
        <v/>
      </c>
      <c r="T791" s="61">
        <f>$S791*1.22</f>
        <v/>
      </c>
      <c r="U791" s="64">
        <f>IF($P791&gt;0,COUNTIF($P$11:P791,"&gt;0"),"")</f>
        <v/>
      </c>
    </row>
    <row r="792" ht="14.25" customHeight="1" s="49">
      <c r="A792" s="58" t="n"/>
      <c r="B792" s="58" t="n"/>
      <c r="C792" s="59" t="n"/>
      <c r="D792" s="59" t="n"/>
      <c r="E792" s="59" t="n"/>
      <c r="F792" s="58" t="n"/>
      <c r="G792" s="60" t="n"/>
      <c r="H792" s="60" t="n"/>
      <c r="I792" s="61" t="n"/>
      <c r="J792" s="61" t="n"/>
      <c r="K792" s="61" t="n"/>
      <c r="L792" s="61" t="n"/>
      <c r="M792" s="61" t="n"/>
      <c r="N792" s="58" t="n"/>
      <c r="O792" s="59" t="n"/>
      <c r="P792" s="62" t="n"/>
      <c r="Q792" s="63" t="n"/>
      <c r="R792" s="61">
        <f>IF($P792&gt;0,CHOOSE(MATCH($B$4,'Служебный лист'!$A$4:$A$8,0),I792,J792,K792,L792,M792),"")</f>
        <v/>
      </c>
      <c r="S792" s="61">
        <f>IFERROR($P792*$R792,0)</f>
        <v/>
      </c>
      <c r="T792" s="61">
        <f>$S792*1.22</f>
        <v/>
      </c>
      <c r="U792" s="64">
        <f>IF($P792&gt;0,COUNTIF($P$11:P792,"&gt;0"),"")</f>
        <v/>
      </c>
    </row>
    <row r="793" ht="14.25" customHeight="1" s="49">
      <c r="A793" s="58" t="n"/>
      <c r="B793" s="58" t="n"/>
      <c r="C793" s="59" t="n"/>
      <c r="D793" s="59" t="n"/>
      <c r="E793" s="59" t="n"/>
      <c r="F793" s="58" t="n"/>
      <c r="G793" s="60" t="n"/>
      <c r="H793" s="60" t="n"/>
      <c r="I793" s="61" t="n"/>
      <c r="J793" s="61" t="n"/>
      <c r="K793" s="61" t="n"/>
      <c r="L793" s="61" t="n"/>
      <c r="M793" s="61" t="n"/>
      <c r="N793" s="58" t="n"/>
      <c r="O793" s="59" t="n"/>
      <c r="P793" s="62" t="n"/>
      <c r="Q793" s="63" t="n"/>
      <c r="R793" s="61">
        <f>IF($P793&gt;0,CHOOSE(MATCH($B$4,'Служебный лист'!$A$4:$A$8,0),I793,J793,K793,L793,M793),"")</f>
        <v/>
      </c>
      <c r="S793" s="61">
        <f>IFERROR($P793*$R793,0)</f>
        <v/>
      </c>
      <c r="T793" s="61">
        <f>$S793*1.22</f>
        <v/>
      </c>
      <c r="U793" s="64">
        <f>IF($P793&gt;0,COUNTIF($P$11:P793,"&gt;0"),"")</f>
        <v/>
      </c>
    </row>
    <row r="794" ht="14.25" customHeight="1" s="49">
      <c r="A794" s="58" t="n"/>
      <c r="B794" s="58" t="n"/>
      <c r="C794" s="59" t="n"/>
      <c r="D794" s="59" t="n"/>
      <c r="E794" s="59" t="n"/>
      <c r="F794" s="58" t="n"/>
      <c r="G794" s="60" t="n"/>
      <c r="H794" s="60" t="n"/>
      <c r="I794" s="61" t="n"/>
      <c r="J794" s="61" t="n"/>
      <c r="K794" s="61" t="n"/>
      <c r="L794" s="61" t="n"/>
      <c r="M794" s="61" t="n"/>
      <c r="N794" s="58" t="n"/>
      <c r="O794" s="59" t="n"/>
      <c r="P794" s="62" t="n"/>
      <c r="Q794" s="63" t="n"/>
      <c r="R794" s="61">
        <f>IF($P794&gt;0,CHOOSE(MATCH($B$4,'Служебный лист'!$A$4:$A$8,0),I794,J794,K794,L794,M794),"")</f>
        <v/>
      </c>
      <c r="S794" s="61">
        <f>IFERROR($P794*$R794,0)</f>
        <v/>
      </c>
      <c r="T794" s="61">
        <f>$S794*1.22</f>
        <v/>
      </c>
      <c r="U794" s="64">
        <f>IF($P794&gt;0,COUNTIF($P$11:P794,"&gt;0"),"")</f>
        <v/>
      </c>
    </row>
    <row r="795" ht="14.25" customHeight="1" s="49">
      <c r="A795" s="58" t="n"/>
      <c r="B795" s="58" t="n"/>
      <c r="C795" s="59" t="n"/>
      <c r="D795" s="59" t="n"/>
      <c r="E795" s="59" t="n"/>
      <c r="F795" s="58" t="n"/>
      <c r="G795" s="60" t="n"/>
      <c r="H795" s="60" t="n"/>
      <c r="I795" s="61" t="n"/>
      <c r="J795" s="61" t="n"/>
      <c r="K795" s="61" t="n"/>
      <c r="L795" s="61" t="n"/>
      <c r="M795" s="61" t="n"/>
      <c r="N795" s="58" t="n"/>
      <c r="O795" s="59" t="n"/>
      <c r="P795" s="62" t="n"/>
      <c r="Q795" s="63" t="n"/>
      <c r="R795" s="61">
        <f>IF($P795&gt;0,CHOOSE(MATCH($B$4,'Служебный лист'!$A$4:$A$8,0),I795,J795,K795,L795,M795),"")</f>
        <v/>
      </c>
      <c r="S795" s="61">
        <f>IFERROR($P795*$R795,0)</f>
        <v/>
      </c>
      <c r="T795" s="61">
        <f>$S795*1.22</f>
        <v/>
      </c>
      <c r="U795" s="64">
        <f>IF($P795&gt;0,COUNTIF($P$11:P795,"&gt;0"),"")</f>
        <v/>
      </c>
    </row>
    <row r="796" ht="14.25" customHeight="1" s="49">
      <c r="A796" s="58" t="n"/>
      <c r="B796" s="58" t="n"/>
      <c r="C796" s="59" t="n"/>
      <c r="D796" s="59" t="n"/>
      <c r="E796" s="59" t="n"/>
      <c r="F796" s="58" t="n"/>
      <c r="G796" s="60" t="n"/>
      <c r="H796" s="60" t="n"/>
      <c r="I796" s="61" t="n"/>
      <c r="J796" s="61" t="n"/>
      <c r="K796" s="61" t="n"/>
      <c r="L796" s="61" t="n"/>
      <c r="M796" s="61" t="n"/>
      <c r="N796" s="58" t="n"/>
      <c r="O796" s="59" t="n"/>
      <c r="P796" s="62" t="n"/>
      <c r="Q796" s="63" t="n"/>
      <c r="R796" s="61">
        <f>IF($P796&gt;0,CHOOSE(MATCH($B$4,'Служебный лист'!$A$4:$A$8,0),I796,J796,K796,L796,M796),"")</f>
        <v/>
      </c>
      <c r="S796" s="61">
        <f>IFERROR($P796*$R796,0)</f>
        <v/>
      </c>
      <c r="T796" s="61">
        <f>$S796*1.22</f>
        <v/>
      </c>
      <c r="U796" s="64">
        <f>IF($P796&gt;0,COUNTIF($P$11:P796,"&gt;0"),"")</f>
        <v/>
      </c>
    </row>
    <row r="797" ht="14.25" customHeight="1" s="49">
      <c r="A797" s="58" t="n"/>
      <c r="B797" s="58" t="n"/>
      <c r="C797" s="59" t="n"/>
      <c r="D797" s="59" t="n"/>
      <c r="E797" s="59" t="n"/>
      <c r="F797" s="58" t="n"/>
      <c r="G797" s="60" t="n"/>
      <c r="H797" s="60" t="n"/>
      <c r="I797" s="61" t="n"/>
      <c r="J797" s="61" t="n"/>
      <c r="K797" s="61" t="n"/>
      <c r="L797" s="61" t="n"/>
      <c r="M797" s="61" t="n"/>
      <c r="N797" s="58" t="n"/>
      <c r="O797" s="59" t="n"/>
      <c r="P797" s="62" t="n"/>
      <c r="Q797" s="63" t="n"/>
      <c r="R797" s="61">
        <f>IF($P797&gt;0,CHOOSE(MATCH($B$4,'Служебный лист'!$A$4:$A$8,0),I797,J797,K797,L797,M797),"")</f>
        <v/>
      </c>
      <c r="S797" s="61">
        <f>IFERROR($P797*$R797,0)</f>
        <v/>
      </c>
      <c r="T797" s="61">
        <f>$S797*1.22</f>
        <v/>
      </c>
      <c r="U797" s="64">
        <f>IF($P797&gt;0,COUNTIF($P$11:P797,"&gt;0"),"")</f>
        <v/>
      </c>
    </row>
    <row r="798" ht="14.25" customHeight="1" s="49">
      <c r="A798" s="58" t="n"/>
      <c r="B798" s="58" t="n"/>
      <c r="C798" s="59" t="n"/>
      <c r="D798" s="59" t="n"/>
      <c r="E798" s="59" t="n"/>
      <c r="F798" s="58" t="n"/>
      <c r="G798" s="60" t="n"/>
      <c r="H798" s="60" t="n"/>
      <c r="I798" s="61" t="n"/>
      <c r="J798" s="61" t="n"/>
      <c r="K798" s="61" t="n"/>
      <c r="L798" s="61" t="n"/>
      <c r="M798" s="61" t="n"/>
      <c r="N798" s="58" t="n"/>
      <c r="O798" s="59" t="n"/>
      <c r="P798" s="62" t="n"/>
      <c r="Q798" s="63" t="n"/>
      <c r="R798" s="61">
        <f>IF($P798&gt;0,CHOOSE(MATCH($B$4,'Служебный лист'!$A$4:$A$8,0),I798,J798,K798,L798,M798),"")</f>
        <v/>
      </c>
      <c r="S798" s="61">
        <f>IFERROR($P798*$R798,0)</f>
        <v/>
      </c>
      <c r="T798" s="61">
        <f>$S798*1.22</f>
        <v/>
      </c>
      <c r="U798" s="64">
        <f>IF($P798&gt;0,COUNTIF($P$11:P798,"&gt;0"),"")</f>
        <v/>
      </c>
    </row>
    <row r="799" ht="14.25" customHeight="1" s="49">
      <c r="A799" s="58" t="n"/>
      <c r="B799" s="58" t="n"/>
      <c r="C799" s="59" t="n"/>
      <c r="D799" s="59" t="n"/>
      <c r="E799" s="59" t="n"/>
      <c r="F799" s="58" t="n"/>
      <c r="G799" s="60" t="n"/>
      <c r="H799" s="60" t="n"/>
      <c r="I799" s="61" t="n"/>
      <c r="J799" s="61" t="n"/>
      <c r="K799" s="61" t="n"/>
      <c r="L799" s="61" t="n"/>
      <c r="M799" s="61" t="n"/>
      <c r="N799" s="58" t="n"/>
      <c r="O799" s="59" t="n"/>
      <c r="P799" s="62" t="n"/>
      <c r="Q799" s="63" t="n"/>
      <c r="R799" s="61">
        <f>IF($P799&gt;0,CHOOSE(MATCH($B$4,'Служебный лист'!$A$4:$A$8,0),I799,J799,K799,L799,M799),"")</f>
        <v/>
      </c>
      <c r="S799" s="61">
        <f>IFERROR($P799*$R799,0)</f>
        <v/>
      </c>
      <c r="T799" s="61">
        <f>$S799*1.22</f>
        <v/>
      </c>
      <c r="U799" s="64">
        <f>IF($P799&gt;0,COUNTIF($P$11:P799,"&gt;0"),"")</f>
        <v/>
      </c>
    </row>
    <row r="800" ht="14.25" customHeight="1" s="49">
      <c r="A800" s="58" t="n"/>
      <c r="B800" s="58" t="n"/>
      <c r="C800" s="59" t="n"/>
      <c r="D800" s="59" t="n"/>
      <c r="E800" s="59" t="n"/>
      <c r="F800" s="58" t="n"/>
      <c r="G800" s="60" t="n"/>
      <c r="H800" s="60" t="n"/>
      <c r="I800" s="61" t="n"/>
      <c r="J800" s="61" t="n"/>
      <c r="K800" s="61" t="n"/>
      <c r="L800" s="61" t="n"/>
      <c r="M800" s="61" t="n"/>
      <c r="N800" s="58" t="n"/>
      <c r="O800" s="59" t="n"/>
      <c r="P800" s="62" t="n"/>
      <c r="Q800" s="63" t="n"/>
      <c r="R800" s="61">
        <f>IF($P800&gt;0,CHOOSE(MATCH($B$4,'Служебный лист'!$A$4:$A$8,0),I800,J800,K800,L800,M800),"")</f>
        <v/>
      </c>
      <c r="S800" s="61">
        <f>IFERROR($P800*$R800,0)</f>
        <v/>
      </c>
      <c r="T800" s="61">
        <f>$S800*1.22</f>
        <v/>
      </c>
      <c r="U800" s="64">
        <f>IF($P800&gt;0,COUNTIF($P$11:P800,"&gt;0"),"")</f>
        <v/>
      </c>
    </row>
    <row r="801" ht="14.25" customHeight="1" s="49">
      <c r="A801" s="58" t="n"/>
      <c r="B801" s="58" t="n"/>
      <c r="C801" s="59" t="n"/>
      <c r="D801" s="59" t="n"/>
      <c r="E801" s="59" t="n"/>
      <c r="F801" s="58" t="n"/>
      <c r="G801" s="60" t="n"/>
      <c r="H801" s="60" t="n"/>
      <c r="I801" s="61" t="n"/>
      <c r="J801" s="61" t="n"/>
      <c r="K801" s="61" t="n"/>
      <c r="L801" s="61" t="n"/>
      <c r="M801" s="61" t="n"/>
      <c r="N801" s="58" t="n"/>
      <c r="O801" s="59" t="n"/>
      <c r="P801" s="62" t="n"/>
      <c r="Q801" s="63" t="n"/>
      <c r="R801" s="61">
        <f>IF($P801&gt;0,CHOOSE(MATCH($B$4,'Служебный лист'!$A$4:$A$8,0),I801,J801,K801,L801,M801),"")</f>
        <v/>
      </c>
      <c r="S801" s="61">
        <f>IFERROR($P801*$R801,0)</f>
        <v/>
      </c>
      <c r="T801" s="61">
        <f>$S801*1.22</f>
        <v/>
      </c>
      <c r="U801" s="64">
        <f>IF($P801&gt;0,COUNTIF($P$11:P801,"&gt;0"),"")</f>
        <v/>
      </c>
    </row>
    <row r="802" ht="14.25" customHeight="1" s="49">
      <c r="A802" s="58" t="n"/>
      <c r="B802" s="58" t="n"/>
      <c r="C802" s="59" t="n"/>
      <c r="D802" s="59" t="n"/>
      <c r="E802" s="59" t="n"/>
      <c r="F802" s="58" t="n"/>
      <c r="G802" s="60" t="n"/>
      <c r="H802" s="60" t="n"/>
      <c r="I802" s="61" t="n"/>
      <c r="J802" s="61" t="n"/>
      <c r="K802" s="61" t="n"/>
      <c r="L802" s="61" t="n"/>
      <c r="M802" s="61" t="n"/>
      <c r="N802" s="58" t="n"/>
      <c r="O802" s="59" t="n"/>
      <c r="P802" s="62" t="n"/>
      <c r="Q802" s="63" t="n"/>
      <c r="R802" s="61">
        <f>IF($P802&gt;0,CHOOSE(MATCH($B$4,'Служебный лист'!$A$4:$A$8,0),I802,J802,K802,L802,M802),"")</f>
        <v/>
      </c>
      <c r="S802" s="61">
        <f>IFERROR($P802*$R802,0)</f>
        <v/>
      </c>
      <c r="T802" s="61">
        <f>$S802*1.22</f>
        <v/>
      </c>
      <c r="U802" s="64">
        <f>IF($P802&gt;0,COUNTIF($P$11:P802,"&gt;0"),"")</f>
        <v/>
      </c>
    </row>
    <row r="803" ht="14.25" customHeight="1" s="49">
      <c r="A803" s="58" t="n"/>
      <c r="B803" s="58" t="n"/>
      <c r="C803" s="59" t="n"/>
      <c r="D803" s="59" t="n"/>
      <c r="E803" s="59" t="n"/>
      <c r="F803" s="58" t="n"/>
      <c r="G803" s="60" t="n"/>
      <c r="H803" s="60" t="n"/>
      <c r="I803" s="61" t="n"/>
      <c r="J803" s="61" t="n"/>
      <c r="K803" s="61" t="n"/>
      <c r="L803" s="61" t="n"/>
      <c r="M803" s="61" t="n"/>
      <c r="N803" s="58" t="n"/>
      <c r="O803" s="59" t="n"/>
      <c r="P803" s="62" t="n"/>
      <c r="Q803" s="63" t="n"/>
      <c r="R803" s="61">
        <f>IF($P803&gt;0,CHOOSE(MATCH($B$4,'Служебный лист'!$A$4:$A$8,0),I803,J803,K803,L803,M803),"")</f>
        <v/>
      </c>
      <c r="S803" s="61">
        <f>IFERROR($P803*$R803,0)</f>
        <v/>
      </c>
      <c r="T803" s="61">
        <f>$S803*1.22</f>
        <v/>
      </c>
      <c r="U803" s="64">
        <f>IF($P803&gt;0,COUNTIF($P$11:P803,"&gt;0"),"")</f>
        <v/>
      </c>
    </row>
    <row r="804" ht="14.25" customHeight="1" s="49">
      <c r="A804" s="58" t="n"/>
      <c r="B804" s="58" t="n"/>
      <c r="C804" s="59" t="n"/>
      <c r="D804" s="59" t="n"/>
      <c r="E804" s="59" t="n"/>
      <c r="F804" s="58" t="n"/>
      <c r="G804" s="60" t="n"/>
      <c r="H804" s="60" t="n"/>
      <c r="I804" s="61" t="n"/>
      <c r="J804" s="61" t="n"/>
      <c r="K804" s="61" t="n"/>
      <c r="L804" s="61" t="n"/>
      <c r="M804" s="61" t="n"/>
      <c r="N804" s="58" t="n"/>
      <c r="O804" s="59" t="n"/>
      <c r="P804" s="62" t="n"/>
      <c r="Q804" s="63" t="n"/>
      <c r="R804" s="61">
        <f>IF($P804&gt;0,CHOOSE(MATCH($B$4,'Служебный лист'!$A$4:$A$8,0),I804,J804,K804,L804,M804),"")</f>
        <v/>
      </c>
      <c r="S804" s="61">
        <f>IFERROR($P804*$R804,0)</f>
        <v/>
      </c>
      <c r="T804" s="61">
        <f>$S804*1.22</f>
        <v/>
      </c>
      <c r="U804" s="64">
        <f>IF($P804&gt;0,COUNTIF($P$11:P804,"&gt;0"),"")</f>
        <v/>
      </c>
    </row>
    <row r="805" ht="14.25" customHeight="1" s="49">
      <c r="A805" s="58" t="n"/>
      <c r="B805" s="58" t="n"/>
      <c r="C805" s="59" t="n"/>
      <c r="D805" s="59" t="n"/>
      <c r="E805" s="59" t="n"/>
      <c r="F805" s="58" t="n"/>
      <c r="G805" s="60" t="n"/>
      <c r="H805" s="60" t="n"/>
      <c r="I805" s="61" t="n"/>
      <c r="J805" s="61" t="n"/>
      <c r="K805" s="61" t="n"/>
      <c r="L805" s="61" t="n"/>
      <c r="M805" s="61" t="n"/>
      <c r="N805" s="58" t="n"/>
      <c r="O805" s="59" t="n"/>
      <c r="P805" s="62" t="n"/>
      <c r="Q805" s="63" t="n"/>
      <c r="R805" s="61">
        <f>IF($P805&gt;0,CHOOSE(MATCH($B$4,'Служебный лист'!$A$4:$A$8,0),I805,J805,K805,L805,M805),"")</f>
        <v/>
      </c>
      <c r="S805" s="61">
        <f>IFERROR($P805*$R805,0)</f>
        <v/>
      </c>
      <c r="T805" s="61">
        <f>$S805*1.22</f>
        <v/>
      </c>
      <c r="U805" s="64">
        <f>IF($P805&gt;0,COUNTIF($P$11:P805,"&gt;0"),"")</f>
        <v/>
      </c>
    </row>
    <row r="806" ht="14.25" customHeight="1" s="49">
      <c r="A806" s="58" t="n"/>
      <c r="B806" s="58" t="n"/>
      <c r="C806" s="59" t="n"/>
      <c r="D806" s="59" t="n"/>
      <c r="E806" s="59" t="n"/>
      <c r="F806" s="58" t="n"/>
      <c r="G806" s="60" t="n"/>
      <c r="H806" s="60" t="n"/>
      <c r="I806" s="61" t="n"/>
      <c r="J806" s="61" t="n"/>
      <c r="K806" s="61" t="n"/>
      <c r="L806" s="61" t="n"/>
      <c r="M806" s="61" t="n"/>
      <c r="N806" s="58" t="n"/>
      <c r="O806" s="59" t="n"/>
      <c r="P806" s="62" t="n"/>
      <c r="Q806" s="63" t="n"/>
      <c r="R806" s="61">
        <f>IF($P806&gt;0,CHOOSE(MATCH($B$4,'Служебный лист'!$A$4:$A$8,0),I806,J806,K806,L806,M806),"")</f>
        <v/>
      </c>
      <c r="S806" s="61">
        <f>IFERROR($P806*$R806,0)</f>
        <v/>
      </c>
      <c r="T806" s="61">
        <f>$S806*1.22</f>
        <v/>
      </c>
      <c r="U806" s="64">
        <f>IF($P806&gt;0,COUNTIF($P$11:P806,"&gt;0"),"")</f>
        <v/>
      </c>
    </row>
    <row r="807" ht="14.25" customHeight="1" s="49">
      <c r="A807" s="58" t="n"/>
      <c r="B807" s="58" t="n"/>
      <c r="C807" s="59" t="n"/>
      <c r="D807" s="59" t="n"/>
      <c r="E807" s="59" t="n"/>
      <c r="F807" s="58" t="n"/>
      <c r="G807" s="60" t="n"/>
      <c r="H807" s="60" t="n"/>
      <c r="I807" s="61" t="n"/>
      <c r="J807" s="61" t="n"/>
      <c r="K807" s="61" t="n"/>
      <c r="L807" s="61" t="n"/>
      <c r="M807" s="61" t="n"/>
      <c r="N807" s="58" t="n"/>
      <c r="O807" s="59" t="n"/>
      <c r="P807" s="62" t="n"/>
      <c r="Q807" s="63" t="n"/>
      <c r="R807" s="61">
        <f>IF($P807&gt;0,CHOOSE(MATCH($B$4,'Служебный лист'!$A$4:$A$8,0),I807,J807,K807,L807,M807),"")</f>
        <v/>
      </c>
      <c r="S807" s="61">
        <f>IFERROR($P807*$R807,0)</f>
        <v/>
      </c>
      <c r="T807" s="61">
        <f>$S807*1.22</f>
        <v/>
      </c>
      <c r="U807" s="64">
        <f>IF($P807&gt;0,COUNTIF($P$11:P807,"&gt;0"),"")</f>
        <v/>
      </c>
    </row>
    <row r="808" ht="14.25" customHeight="1" s="49">
      <c r="A808" s="58" t="n"/>
      <c r="B808" s="58" t="n"/>
      <c r="C808" s="59" t="n"/>
      <c r="D808" s="59" t="n"/>
      <c r="E808" s="59" t="n"/>
      <c r="F808" s="58" t="n"/>
      <c r="G808" s="60" t="n"/>
      <c r="H808" s="60" t="n"/>
      <c r="I808" s="61" t="n"/>
      <c r="J808" s="61" t="n"/>
      <c r="K808" s="61" t="n"/>
      <c r="L808" s="61" t="n"/>
      <c r="M808" s="61" t="n"/>
      <c r="N808" s="58" t="n"/>
      <c r="O808" s="59" t="n"/>
      <c r="P808" s="62" t="n"/>
      <c r="Q808" s="63" t="n"/>
      <c r="R808" s="61">
        <f>IF($P808&gt;0,CHOOSE(MATCH($B$4,'Служебный лист'!$A$4:$A$8,0),I808,J808,K808,L808,M808),"")</f>
        <v/>
      </c>
      <c r="S808" s="61">
        <f>IFERROR($P808*$R808,0)</f>
        <v/>
      </c>
      <c r="T808" s="61">
        <f>$S808*1.22</f>
        <v/>
      </c>
      <c r="U808" s="64">
        <f>IF($P808&gt;0,COUNTIF($P$11:P808,"&gt;0"),"")</f>
        <v/>
      </c>
    </row>
    <row r="809" ht="14.25" customHeight="1" s="49">
      <c r="A809" s="58" t="n"/>
      <c r="B809" s="58" t="n"/>
      <c r="C809" s="59" t="n"/>
      <c r="D809" s="59" t="n"/>
      <c r="E809" s="59" t="n"/>
      <c r="F809" s="58" t="n"/>
      <c r="G809" s="60" t="n"/>
      <c r="H809" s="60" t="n"/>
      <c r="I809" s="61" t="n"/>
      <c r="J809" s="61" t="n"/>
      <c r="K809" s="61" t="n"/>
      <c r="L809" s="61" t="n"/>
      <c r="M809" s="61" t="n"/>
      <c r="N809" s="58" t="n"/>
      <c r="O809" s="59" t="n"/>
      <c r="P809" s="62" t="n"/>
      <c r="Q809" s="63" t="n"/>
      <c r="R809" s="61">
        <f>IF($P809&gt;0,CHOOSE(MATCH($B$4,'Служебный лист'!$A$4:$A$8,0),I809,J809,K809,L809,M809),"")</f>
        <v/>
      </c>
      <c r="S809" s="61">
        <f>IFERROR($P809*$R809,0)</f>
        <v/>
      </c>
      <c r="T809" s="61">
        <f>$S809*1.22</f>
        <v/>
      </c>
      <c r="U809" s="64">
        <f>IF($P809&gt;0,COUNTIF($P$11:P809,"&gt;0"),"")</f>
        <v/>
      </c>
    </row>
    <row r="810" ht="14.25" customHeight="1" s="49">
      <c r="A810" s="58" t="n"/>
      <c r="B810" s="58" t="n"/>
      <c r="C810" s="59" t="n"/>
      <c r="D810" s="59" t="n"/>
      <c r="E810" s="59" t="n"/>
      <c r="F810" s="58" t="n"/>
      <c r="G810" s="60" t="n"/>
      <c r="H810" s="60" t="n"/>
      <c r="I810" s="61" t="n"/>
      <c r="J810" s="61" t="n"/>
      <c r="K810" s="61" t="n"/>
      <c r="L810" s="61" t="n"/>
      <c r="M810" s="61" t="n"/>
      <c r="N810" s="58" t="n"/>
      <c r="O810" s="59" t="n"/>
      <c r="P810" s="62" t="n"/>
      <c r="Q810" s="63" t="n"/>
      <c r="R810" s="61">
        <f>IF($P810&gt;0,CHOOSE(MATCH($B$4,'Служебный лист'!$A$4:$A$8,0),I810,J810,K810,L810,M810),"")</f>
        <v/>
      </c>
      <c r="S810" s="61">
        <f>IFERROR($P810*$R810,0)</f>
        <v/>
      </c>
      <c r="T810" s="61">
        <f>$S810*1.22</f>
        <v/>
      </c>
      <c r="U810" s="64">
        <f>IF($P810&gt;0,COUNTIF($P$11:P810,"&gt;0"),"")</f>
        <v/>
      </c>
    </row>
  </sheetData>
  <mergeCells count="2">
    <mergeCell ref="A2:V2"/>
    <mergeCell ref="A1:V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318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selection pane="topLeft" activeCell="G13" activeCellId="0" sqref="G13"/>
    </sheetView>
  </sheetViews>
  <sheetFormatPr baseColWidth="8" defaultColWidth="8.83203125" defaultRowHeight="15" zeroHeight="0" outlineLevelRow="0"/>
  <cols>
    <col width="6" customWidth="1" style="48" min="1" max="1"/>
    <col width="16" customWidth="1" style="48" min="2" max="2"/>
    <col width="18" customWidth="1" style="48" min="3" max="3"/>
    <col width="30" customWidth="1" style="48" min="4" max="5"/>
    <col width="10" customWidth="1" style="48" min="6" max="6"/>
    <col width="14" customWidth="1" style="48" min="7" max="7"/>
    <col width="10" customWidth="1" style="48" min="8" max="8"/>
    <col width="16" customWidth="1" style="48" min="9" max="9"/>
    <col width="12" customWidth="1" style="48" min="10" max="10"/>
    <col width="14" customWidth="1" style="48" min="11" max="11"/>
    <col width="22" customWidth="1" style="48" min="12" max="12"/>
  </cols>
  <sheetData>
    <row r="1" ht="15" customHeight="1" s="49">
      <c r="A1" s="50" t="inlineStr">
        <is>
          <t>Бланк заказа — автоматически собирается из листа «Прайс-лист»</t>
        </is>
      </c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  <c r="AA1" s="51" t="n"/>
      <c r="AB1" s="51" t="n"/>
    </row>
    <row r="2" ht="15" customHeight="1" s="49">
      <c r="A2" s="65" t="inlineStr">
        <is>
          <t>Заполните количество на листе «Прайс-лист». В этот бланк автоматически попадают только выбранные позиции. В макете для проверки уже есть 3 тестовые позиции.</t>
        </is>
      </c>
    </row>
    <row r="4" ht="13.5" customHeight="1" s="49">
      <c r="A4" s="53" t="inlineStr">
        <is>
          <t>Дата заказа</t>
        </is>
      </c>
      <c r="B4" s="66" t="n">
        <v>46152</v>
      </c>
      <c r="F4" s="67" t="inlineStr">
        <is>
          <t>Итог заказа</t>
        </is>
      </c>
      <c r="G4" s="67" t="n"/>
      <c r="H4" s="67" t="n"/>
      <c r="I4" s="67" t="n"/>
      <c r="L4" s="67" t="n"/>
    </row>
    <row r="5" ht="13.5" customHeight="1" s="49">
      <c r="A5" s="53" t="inlineStr">
        <is>
          <t>Название клиента</t>
        </is>
      </c>
      <c r="B5" s="54" t="n"/>
      <c r="C5" s="53" t="inlineStr">
        <is>
          <t>Город</t>
        </is>
      </c>
      <c r="D5" s="54" t="n"/>
      <c r="F5" s="53" t="inlineStr">
        <is>
          <t>Сумма без НДС</t>
        </is>
      </c>
      <c r="G5" s="68">
        <f>SUM(I16:I315)</f>
        <v/>
      </c>
      <c r="H5" s="69" t="n"/>
      <c r="I5" s="69" t="n"/>
      <c r="L5" s="69" t="n"/>
    </row>
    <row r="6" ht="13.5" customHeight="1" s="49">
      <c r="A6" s="53" t="inlineStr">
        <is>
          <t>Контактное лицо</t>
        </is>
      </c>
      <c r="B6" s="54" t="n"/>
      <c r="C6" s="53" t="inlineStr">
        <is>
          <t>Телефон / email</t>
        </is>
      </c>
      <c r="D6" s="54" t="n"/>
      <c r="F6" s="53" t="inlineStr">
        <is>
          <t>НДС</t>
        </is>
      </c>
      <c r="G6" s="68">
        <f>G5*'Служебный лист'!$B$1</f>
        <v/>
      </c>
      <c r="H6" s="69" t="n"/>
      <c r="I6" s="69" t="n"/>
      <c r="L6" s="69" t="n"/>
    </row>
    <row r="7" ht="13.5" customHeight="1" s="49">
      <c r="A7" s="53" t="inlineStr">
        <is>
          <t>Менеджер</t>
        </is>
      </c>
      <c r="B7" s="54" t="n"/>
      <c r="C7" s="53" t="inlineStr">
        <is>
          <t>Условия оплаты</t>
        </is>
      </c>
      <c r="D7" s="70" t="inlineStr">
        <is>
          <t>100% предоплата / по договору</t>
        </is>
      </c>
      <c r="F7" s="53" t="inlineStr">
        <is>
          <t>Итого с НДС</t>
        </is>
      </c>
      <c r="G7" s="68">
        <f>G5+G6</f>
        <v/>
      </c>
      <c r="H7" s="69" t="n"/>
      <c r="I7" s="69" t="n"/>
      <c r="L7" s="69" t="n"/>
    </row>
    <row r="8" ht="13.5" customHeight="1" s="49">
      <c r="A8" s="53" t="inlineStr">
        <is>
          <t>Комментарий к заказу</t>
        </is>
      </c>
      <c r="B8" s="54" t="n"/>
      <c r="C8" s="53" t="n"/>
      <c r="D8" s="54" t="n"/>
      <c r="F8" s="53" t="inlineStr">
        <is>
          <t>Количество выбранных SKU</t>
        </is>
      </c>
      <c r="G8" s="69">
        <f>COUNTIF(H16:H315,"&gt;0")</f>
        <v/>
      </c>
      <c r="H8" s="69" t="n"/>
      <c r="I8" s="69" t="n"/>
      <c r="L8" s="69" t="n"/>
    </row>
    <row r="9" ht="13.5" customHeight="1" s="49">
      <c r="F9" s="53" t="inlineStr">
        <is>
          <t>Текущий уровень</t>
        </is>
      </c>
      <c r="G9" s="69">
        <f>IF('Служебный лист'!$B$15&lt;15000,"Ниже минимума",IF('Служебный лист'!$B$15&lt;50000,"Базовый",IF('Служебный лист'!$B$15&lt;150000,"Опт",IF('Служебный лист'!$B$15&lt;300000,"Опт+",IF('Служебный лист'!$B$15&lt;500000,"Партнер","Ключевой партнер")))))</f>
        <v/>
      </c>
      <c r="H9" s="69" t="n"/>
      <c r="I9" s="69" t="n"/>
      <c r="L9" s="69" t="n"/>
    </row>
    <row r="10" ht="13.5" customHeight="1" s="49">
      <c r="F10" s="53" t="inlineStr">
        <is>
          <t>Следующий порог</t>
        </is>
      </c>
      <c r="G10" s="68">
        <f>IF('Служебный лист'!$B$15&lt;15000,15000,IF('Служебный лист'!$B$15&lt;50000,50000,IF('Служебный лист'!$B$15&lt;150000,150000,IF('Служебный лист'!$B$15&lt;300000,300000,IF('Служебный лист'!$B$15&lt;500000,500000,"")))))</f>
        <v/>
      </c>
      <c r="H10" s="69" t="n"/>
      <c r="I10" s="69" t="n"/>
      <c r="L10" s="69" t="n"/>
    </row>
    <row r="11" ht="13.5" customHeight="1" s="49">
      <c r="F11" s="53" t="inlineStr">
        <is>
          <t>До следующего уровня осталось</t>
        </is>
      </c>
      <c r="G11" s="68">
        <f>IF(G10="",0,MAX(G10-'Служебный лист'!$B$15,0))</f>
        <v/>
      </c>
      <c r="H11" s="69" t="n"/>
      <c r="I11" s="69" t="n"/>
      <c r="L11" s="69" t="n"/>
    </row>
    <row r="12" ht="13.5" customHeight="1" s="49">
      <c r="F12" s="53" t="inlineStr">
        <is>
          <t>Проверка минимального заказа</t>
        </is>
      </c>
      <c r="G12" s="69">
        <f>IF('Служебный лист'!$B$15&lt;15000,"Минимальная сумма заказа — 15 000 ₽ без НДС","Заказ соответствует минимальной сумме")</f>
        <v/>
      </c>
      <c r="H12" s="69" t="n"/>
      <c r="I12" s="69" t="n"/>
      <c r="L12" s="69" t="n"/>
    </row>
    <row r="13" ht="45" customHeight="1" s="49">
      <c r="F13" s="71" t="inlineStr">
        <is>
          <t>Возможные партнерские преимущества</t>
        </is>
      </c>
      <c r="G13" s="72">
        <f>IF('Служебный лист'!$B$15&lt;15000,"Доберите заказ до минимальной суммы",IF('Служебный лист'!$B$15&gt;=500000,"Возможны индивидуальные условия и ретробонус",IF('Служебный лист'!$B$15&gt;=300000,"Возможны партнерские условия и ретробонус",IF('Служебный лист'!$B$15&gt;=150000,"Возможны образцы новинок и расширенные условия",IF(G8&gt;=20,"Возможен бонус за ширину ассортимента","Обсудите с менеджером условия регулярных закупок")))))</f>
        <v/>
      </c>
      <c r="H13" s="72" t="n"/>
      <c r="I13" s="72" t="n"/>
      <c r="L13" s="72" t="n"/>
    </row>
    <row r="15" ht="15" customHeight="1" s="49">
      <c r="A15" s="56" t="inlineStr">
        <is>
          <t>№</t>
        </is>
      </c>
      <c r="B15" s="56" t="inlineStr">
        <is>
          <t>Категория</t>
        </is>
      </c>
      <c r="C15" s="56" t="inlineStr">
        <is>
          <t>Артикул</t>
        </is>
      </c>
      <c r="D15" s="56" t="inlineStr">
        <is>
          <t>Наименование</t>
        </is>
      </c>
      <c r="E15" s="56" t="inlineStr">
        <is>
          <t>Фасовка</t>
        </is>
      </c>
      <c r="F15" s="56" t="inlineStr">
        <is>
          <t>Ед. изм.</t>
        </is>
      </c>
      <c r="G15" s="56" t="inlineStr">
        <is>
          <t>Цена без НДС</t>
        </is>
      </c>
      <c r="H15" s="56" t="inlineStr">
        <is>
          <t>Кол-во</t>
        </is>
      </c>
      <c r="I15" s="56" t="inlineStr">
        <is>
          <t>Сумма без НДС</t>
        </is>
      </c>
      <c r="J15" s="57" t="inlineStr">
        <is>
          <t>НДС</t>
        </is>
      </c>
      <c r="K15" s="57" t="inlineStr">
        <is>
          <t>Сумма с НДС</t>
        </is>
      </c>
      <c r="L15" s="56" t="inlineStr">
        <is>
          <t>Комментарий</t>
        </is>
      </c>
    </row>
    <row r="16" ht="15" customHeight="1" s="49">
      <c r="A16" s="64">
        <f>IFERROR(IF(INDEX('Прайс-лист'!$U$11:$U$310,MATCH(ROWS($A$16:A16),'Прайс-лист'!$U$11:$U$310,0))="","",ROWS($A$16:A16)),"")</f>
        <v/>
      </c>
      <c r="B16" s="58">
        <f>IFERROR(INDEX('Прайс-лист'!$A$11:$A$310,MATCH(ROWS($A$16:A16),'Прайс-лист'!$U$11:$U$310,0)),"")</f>
        <v/>
      </c>
      <c r="C16" s="58">
        <f>IFERROR(INDEX('Прайс-лист'!$B$11:$B$310,MATCH(ROWS($A$16:A16),'Прайс-лист'!$U$11:$U$310,0)),"")</f>
        <v/>
      </c>
      <c r="D16" s="59">
        <f>IFERROR(INDEX('Прайс-лист'!$C$11:$C$310,MATCH(ROWS($A$16:A16),'Прайс-лист'!$U$11:$U$310,0)),"")</f>
        <v/>
      </c>
      <c r="E16" s="59">
        <f>IFERROR(INDEX('Прайс-лист'!$E$11:$E$310,MATCH(ROWS($A$16:A16),'Прайс-лист'!$U$11:$U$310,0)),"")</f>
        <v/>
      </c>
      <c r="F16" s="58">
        <f>IFERROR(INDEX('Прайс-лист'!$F$11:$F$310,MATCH(ROWS($A$16:A16),'Прайс-лист'!$U$11:$U$310,0)),"")</f>
        <v/>
      </c>
      <c r="G16" s="61">
        <f>IFERROR(INDEX('Прайс-лист'!$R$11:$R$310,MATCH(ROWS($A$16:A16),'Прайс-лист'!$U$11:$U$310,0)),"")</f>
        <v/>
      </c>
      <c r="H16" s="60">
        <f>IFERROR(INDEX('Прайс-лист'!$P$11:$P$310,MATCH(ROWS($A$16:A16),'Прайс-лист'!$U$11:$U$310,0)),"")</f>
        <v/>
      </c>
      <c r="I16" s="61">
        <f>IFERROR(INDEX('Прайс-лист'!$S$11:$S$310,MATCH(ROWS($A$16:A16),'Прайс-лист'!$U$11:$U$310,0)),"")</f>
        <v/>
      </c>
      <c r="J16" s="61">
        <f>IFERROR($I16*0.22,"")</f>
        <v/>
      </c>
      <c r="K16" s="61">
        <f>IFERROR($I16+$J16,"")</f>
        <v/>
      </c>
      <c r="L16" s="59">
        <f>IFERROR(INDEX('Прайс-лист'!$Q$11:$Q$310,MATCH(ROWS($A$16:A16),'Прайс-лист'!$U$11:$U$310,0)),"")</f>
        <v/>
      </c>
    </row>
    <row r="17" ht="15" customHeight="1" s="49">
      <c r="A17" s="64">
        <f>IFERROR(IF(INDEX('Прайс-лист'!$U$11:$U$310,MATCH(ROWS($A$16:A17),'Прайс-лист'!$U$11:$U$310,0))="","",ROWS($A$16:A17)),"")</f>
        <v/>
      </c>
      <c r="B17" s="58">
        <f>IFERROR(INDEX('Прайс-лист'!$A$11:$A$310,MATCH(ROWS($A$16:A17),'Прайс-лист'!$U$11:$U$310,0)),"")</f>
        <v/>
      </c>
      <c r="C17" s="58">
        <f>IFERROR(INDEX('Прайс-лист'!$B$11:$B$310,MATCH(ROWS($A$16:A17),'Прайс-лист'!$U$11:$U$310,0)),"")</f>
        <v/>
      </c>
      <c r="D17" s="59">
        <f>IFERROR(INDEX('Прайс-лист'!$C$11:$C$310,MATCH(ROWS($A$16:A17),'Прайс-лист'!$U$11:$U$310,0)),"")</f>
        <v/>
      </c>
      <c r="E17" s="59">
        <f>IFERROR(INDEX('Прайс-лист'!$E$11:$E$310,MATCH(ROWS($A$16:A17),'Прайс-лист'!$U$11:$U$310,0)),"")</f>
        <v/>
      </c>
      <c r="F17" s="58">
        <f>IFERROR(INDEX('Прайс-лист'!$F$11:$F$310,MATCH(ROWS($A$16:A17),'Прайс-лист'!$U$11:$U$310,0)),"")</f>
        <v/>
      </c>
      <c r="G17" s="61">
        <f>IFERROR(INDEX('Прайс-лист'!$R$11:$R$310,MATCH(ROWS($A$16:A17),'Прайс-лист'!$U$11:$U$310,0)),"")</f>
        <v/>
      </c>
      <c r="H17" s="60">
        <f>IFERROR(INDEX('Прайс-лист'!$P$11:$P$310,MATCH(ROWS($A$16:A17),'Прайс-лист'!$U$11:$U$310,0)),"")</f>
        <v/>
      </c>
      <c r="I17" s="61">
        <f>IFERROR(INDEX('Прайс-лист'!$S$11:$S$310,MATCH(ROWS($A$16:A17),'Прайс-лист'!$U$11:$U$310,0)),"")</f>
        <v/>
      </c>
      <c r="J17" s="61">
        <f>IFERROR($I17*0.22,"")</f>
        <v/>
      </c>
      <c r="K17" s="61">
        <f>IFERROR($I17+$J17,"")</f>
        <v/>
      </c>
      <c r="L17" s="59">
        <f>IFERROR(INDEX('Прайс-лист'!$Q$11:$Q$310,MATCH(ROWS($A$16:A17),'Прайс-лист'!$U$11:$U$310,0)),"")</f>
        <v/>
      </c>
    </row>
    <row r="18" ht="15" customHeight="1" s="49">
      <c r="A18" s="64">
        <f>IFERROR(IF(INDEX('Прайс-лист'!$U$11:$U$310,MATCH(ROWS($A$16:A18),'Прайс-лист'!$U$11:$U$310,0))="","",ROWS($A$16:A18)),"")</f>
        <v/>
      </c>
      <c r="B18" s="58">
        <f>IFERROR(INDEX('Прайс-лист'!$A$11:$A$310,MATCH(ROWS($A$16:A18),'Прайс-лист'!$U$11:$U$310,0)),"")</f>
        <v/>
      </c>
      <c r="C18" s="58">
        <f>IFERROR(INDEX('Прайс-лист'!$B$11:$B$310,MATCH(ROWS($A$16:A18),'Прайс-лист'!$U$11:$U$310,0)),"")</f>
        <v/>
      </c>
      <c r="D18" s="59">
        <f>IFERROR(INDEX('Прайс-лист'!$C$11:$C$310,MATCH(ROWS($A$16:A18),'Прайс-лист'!$U$11:$U$310,0)),"")</f>
        <v/>
      </c>
      <c r="E18" s="59">
        <f>IFERROR(INDEX('Прайс-лист'!$E$11:$E$310,MATCH(ROWS($A$16:A18),'Прайс-лист'!$U$11:$U$310,0)),"")</f>
        <v/>
      </c>
      <c r="F18" s="58">
        <f>IFERROR(INDEX('Прайс-лист'!$F$11:$F$310,MATCH(ROWS($A$16:A18),'Прайс-лист'!$U$11:$U$310,0)),"")</f>
        <v/>
      </c>
      <c r="G18" s="61">
        <f>IFERROR(INDEX('Прайс-лист'!$R$11:$R$310,MATCH(ROWS($A$16:A18),'Прайс-лист'!$U$11:$U$310,0)),"")</f>
        <v/>
      </c>
      <c r="H18" s="60">
        <f>IFERROR(INDEX('Прайс-лист'!$P$11:$P$310,MATCH(ROWS($A$16:A18),'Прайс-лист'!$U$11:$U$310,0)),"")</f>
        <v/>
      </c>
      <c r="I18" s="61">
        <f>IFERROR(INDEX('Прайс-лист'!$S$11:$S$310,MATCH(ROWS($A$16:A18),'Прайс-лист'!$U$11:$U$310,0)),"")</f>
        <v/>
      </c>
      <c r="J18" s="61">
        <f>IFERROR($I18*0.22,"")</f>
        <v/>
      </c>
      <c r="K18" s="61">
        <f>IFERROR($I18+$J18,"")</f>
        <v/>
      </c>
      <c r="L18" s="59">
        <f>IFERROR(INDEX('Прайс-лист'!$Q$11:$Q$310,MATCH(ROWS($A$16:A18),'Прайс-лист'!$U$11:$U$310,0)),"")</f>
        <v/>
      </c>
    </row>
    <row r="19" ht="15" customHeight="1" s="49">
      <c r="A19" s="64">
        <f>IFERROR(IF(INDEX('Прайс-лист'!$U$11:$U$310,MATCH(ROWS($A$16:A19),'Прайс-лист'!$U$11:$U$310,0))="","",ROWS($A$16:A19)),"")</f>
        <v/>
      </c>
      <c r="B19" s="58">
        <f>IFERROR(INDEX('Прайс-лист'!$A$11:$A$310,MATCH(ROWS($A$16:A19),'Прайс-лист'!$U$11:$U$310,0)),"")</f>
        <v/>
      </c>
      <c r="C19" s="58">
        <f>IFERROR(INDEX('Прайс-лист'!$B$11:$B$310,MATCH(ROWS($A$16:A19),'Прайс-лист'!$U$11:$U$310,0)),"")</f>
        <v/>
      </c>
      <c r="D19" s="59">
        <f>IFERROR(INDEX('Прайс-лист'!$C$11:$C$310,MATCH(ROWS($A$16:A19),'Прайс-лист'!$U$11:$U$310,0)),"")</f>
        <v/>
      </c>
      <c r="E19" s="59">
        <f>IFERROR(INDEX('Прайс-лист'!$E$11:$E$310,MATCH(ROWS($A$16:A19),'Прайс-лист'!$U$11:$U$310,0)),"")</f>
        <v/>
      </c>
      <c r="F19" s="58">
        <f>IFERROR(INDEX('Прайс-лист'!$F$11:$F$310,MATCH(ROWS($A$16:A19),'Прайс-лист'!$U$11:$U$310,0)),"")</f>
        <v/>
      </c>
      <c r="G19" s="61">
        <f>IFERROR(INDEX('Прайс-лист'!$R$11:$R$310,MATCH(ROWS($A$16:A19),'Прайс-лист'!$U$11:$U$310,0)),"")</f>
        <v/>
      </c>
      <c r="H19" s="60">
        <f>IFERROR(INDEX('Прайс-лист'!$P$11:$P$310,MATCH(ROWS($A$16:A19),'Прайс-лист'!$U$11:$U$310,0)),"")</f>
        <v/>
      </c>
      <c r="I19" s="61">
        <f>IFERROR(INDEX('Прайс-лист'!$S$11:$S$310,MATCH(ROWS($A$16:A19),'Прайс-лист'!$U$11:$U$310,0)),"")</f>
        <v/>
      </c>
      <c r="J19" s="61">
        <f>IFERROR($I19*0.22,"")</f>
        <v/>
      </c>
      <c r="K19" s="61">
        <f>IFERROR($I19+$J19,"")</f>
        <v/>
      </c>
      <c r="L19" s="59">
        <f>IFERROR(INDEX('Прайс-лист'!$Q$11:$Q$310,MATCH(ROWS($A$16:A19),'Прайс-лист'!$U$11:$U$310,0)),"")</f>
        <v/>
      </c>
    </row>
    <row r="20" ht="15" customHeight="1" s="49">
      <c r="A20" s="64">
        <f>IFERROR(IF(INDEX('Прайс-лист'!$U$11:$U$310,MATCH(ROWS($A$16:A20),'Прайс-лист'!$U$11:$U$310,0))="","",ROWS($A$16:A20)),"")</f>
        <v/>
      </c>
      <c r="B20" s="58">
        <f>IFERROR(INDEX('Прайс-лист'!$A$11:$A$310,MATCH(ROWS($A$16:A20),'Прайс-лист'!$U$11:$U$310,0)),"")</f>
        <v/>
      </c>
      <c r="C20" s="58">
        <f>IFERROR(INDEX('Прайс-лист'!$B$11:$B$310,MATCH(ROWS($A$16:A20),'Прайс-лист'!$U$11:$U$310,0)),"")</f>
        <v/>
      </c>
      <c r="D20" s="59">
        <f>IFERROR(INDEX('Прайс-лист'!$C$11:$C$310,MATCH(ROWS($A$16:A20),'Прайс-лист'!$U$11:$U$310,0)),"")</f>
        <v/>
      </c>
      <c r="E20" s="59">
        <f>IFERROR(INDEX('Прайс-лист'!$E$11:$E$310,MATCH(ROWS($A$16:A20),'Прайс-лист'!$U$11:$U$310,0)),"")</f>
        <v/>
      </c>
      <c r="F20" s="58">
        <f>IFERROR(INDEX('Прайс-лист'!$F$11:$F$310,MATCH(ROWS($A$16:A20),'Прайс-лист'!$U$11:$U$310,0)),"")</f>
        <v/>
      </c>
      <c r="G20" s="61">
        <f>IFERROR(INDEX('Прайс-лист'!$R$11:$R$310,MATCH(ROWS($A$16:A20),'Прайс-лист'!$U$11:$U$310,0)),"")</f>
        <v/>
      </c>
      <c r="H20" s="60">
        <f>IFERROR(INDEX('Прайс-лист'!$P$11:$P$310,MATCH(ROWS($A$16:A20),'Прайс-лист'!$U$11:$U$310,0)),"")</f>
        <v/>
      </c>
      <c r="I20" s="61">
        <f>IFERROR(INDEX('Прайс-лист'!$S$11:$S$310,MATCH(ROWS($A$16:A20),'Прайс-лист'!$U$11:$U$310,0)),"")</f>
        <v/>
      </c>
      <c r="J20" s="61">
        <f>IFERROR($I20*0.22,"")</f>
        <v/>
      </c>
      <c r="K20" s="61">
        <f>IFERROR($I20+$J20,"")</f>
        <v/>
      </c>
      <c r="L20" s="59">
        <f>IFERROR(INDEX('Прайс-лист'!$Q$11:$Q$310,MATCH(ROWS($A$16:A20),'Прайс-лист'!$U$11:$U$310,0)),"")</f>
        <v/>
      </c>
    </row>
    <row r="21" ht="15" customHeight="1" s="49">
      <c r="A21" s="64">
        <f>IFERROR(IF(INDEX('Прайс-лист'!$U$11:$U$310,MATCH(ROWS($A$16:A21),'Прайс-лист'!$U$11:$U$310,0))="","",ROWS($A$16:A21)),"")</f>
        <v/>
      </c>
      <c r="B21" s="58">
        <f>IFERROR(INDEX('Прайс-лист'!$A$11:$A$310,MATCH(ROWS($A$16:A21),'Прайс-лист'!$U$11:$U$310,0)),"")</f>
        <v/>
      </c>
      <c r="C21" s="58">
        <f>IFERROR(INDEX('Прайс-лист'!$B$11:$B$310,MATCH(ROWS($A$16:A21),'Прайс-лист'!$U$11:$U$310,0)),"")</f>
        <v/>
      </c>
      <c r="D21" s="59">
        <f>IFERROR(INDEX('Прайс-лист'!$C$11:$C$310,MATCH(ROWS($A$16:A21),'Прайс-лист'!$U$11:$U$310,0)),"")</f>
        <v/>
      </c>
      <c r="E21" s="59">
        <f>IFERROR(INDEX('Прайс-лист'!$E$11:$E$310,MATCH(ROWS($A$16:A21),'Прайс-лист'!$U$11:$U$310,0)),"")</f>
        <v/>
      </c>
      <c r="F21" s="58">
        <f>IFERROR(INDEX('Прайс-лист'!$F$11:$F$310,MATCH(ROWS($A$16:A21),'Прайс-лист'!$U$11:$U$310,0)),"")</f>
        <v/>
      </c>
      <c r="G21" s="61">
        <f>IFERROR(INDEX('Прайс-лист'!$R$11:$R$310,MATCH(ROWS($A$16:A21),'Прайс-лист'!$U$11:$U$310,0)),"")</f>
        <v/>
      </c>
      <c r="H21" s="60">
        <f>IFERROR(INDEX('Прайс-лист'!$P$11:$P$310,MATCH(ROWS($A$16:A21),'Прайс-лист'!$U$11:$U$310,0)),"")</f>
        <v/>
      </c>
      <c r="I21" s="61">
        <f>IFERROR(INDEX('Прайс-лист'!$S$11:$S$310,MATCH(ROWS($A$16:A21),'Прайс-лист'!$U$11:$U$310,0)),"")</f>
        <v/>
      </c>
      <c r="J21" s="61">
        <f>IFERROR($I21*0.22,"")</f>
        <v/>
      </c>
      <c r="K21" s="61">
        <f>IFERROR($I21+$J21,"")</f>
        <v/>
      </c>
      <c r="L21" s="59">
        <f>IFERROR(INDEX('Прайс-лист'!$Q$11:$Q$310,MATCH(ROWS($A$16:A21),'Прайс-лист'!$U$11:$U$310,0)),"")</f>
        <v/>
      </c>
    </row>
    <row r="22" ht="15" customHeight="1" s="49">
      <c r="A22" s="64">
        <f>IFERROR(IF(INDEX('Прайс-лист'!$U$11:$U$310,MATCH(ROWS($A$16:A22),'Прайс-лист'!$U$11:$U$310,0))="","",ROWS($A$16:A22)),"")</f>
        <v/>
      </c>
      <c r="B22" s="58">
        <f>IFERROR(INDEX('Прайс-лист'!$A$11:$A$310,MATCH(ROWS($A$16:A22),'Прайс-лист'!$U$11:$U$310,0)),"")</f>
        <v/>
      </c>
      <c r="C22" s="58">
        <f>IFERROR(INDEX('Прайс-лист'!$B$11:$B$310,MATCH(ROWS($A$16:A22),'Прайс-лист'!$U$11:$U$310,0)),"")</f>
        <v/>
      </c>
      <c r="D22" s="59">
        <f>IFERROR(INDEX('Прайс-лист'!$C$11:$C$310,MATCH(ROWS($A$16:A22),'Прайс-лист'!$U$11:$U$310,0)),"")</f>
        <v/>
      </c>
      <c r="E22" s="59">
        <f>IFERROR(INDEX('Прайс-лист'!$E$11:$E$310,MATCH(ROWS($A$16:A22),'Прайс-лист'!$U$11:$U$310,0)),"")</f>
        <v/>
      </c>
      <c r="F22" s="58">
        <f>IFERROR(INDEX('Прайс-лист'!$F$11:$F$310,MATCH(ROWS($A$16:A22),'Прайс-лист'!$U$11:$U$310,0)),"")</f>
        <v/>
      </c>
      <c r="G22" s="61">
        <f>IFERROR(INDEX('Прайс-лист'!$R$11:$R$310,MATCH(ROWS($A$16:A22),'Прайс-лист'!$U$11:$U$310,0)),"")</f>
        <v/>
      </c>
      <c r="H22" s="60">
        <f>IFERROR(INDEX('Прайс-лист'!$P$11:$P$310,MATCH(ROWS($A$16:A22),'Прайс-лист'!$U$11:$U$310,0)),"")</f>
        <v/>
      </c>
      <c r="I22" s="61">
        <f>IFERROR(INDEX('Прайс-лист'!$S$11:$S$310,MATCH(ROWS($A$16:A22),'Прайс-лист'!$U$11:$U$310,0)),"")</f>
        <v/>
      </c>
      <c r="J22" s="61">
        <f>IFERROR($I22*0.22,"")</f>
        <v/>
      </c>
      <c r="K22" s="61">
        <f>IFERROR($I22+$J22,"")</f>
        <v/>
      </c>
      <c r="L22" s="59">
        <f>IFERROR(INDEX('Прайс-лист'!$Q$11:$Q$310,MATCH(ROWS($A$16:A22),'Прайс-лист'!$U$11:$U$310,0)),"")</f>
        <v/>
      </c>
    </row>
    <row r="23" ht="15" customHeight="1" s="49">
      <c r="A23" s="64">
        <f>IFERROR(IF(INDEX('Прайс-лист'!$U$11:$U$310,MATCH(ROWS($A$16:A23),'Прайс-лист'!$U$11:$U$310,0))="","",ROWS($A$16:A23)),"")</f>
        <v/>
      </c>
      <c r="B23" s="58">
        <f>IFERROR(INDEX('Прайс-лист'!$A$11:$A$310,MATCH(ROWS($A$16:A23),'Прайс-лист'!$U$11:$U$310,0)),"")</f>
        <v/>
      </c>
      <c r="C23" s="58">
        <f>IFERROR(INDEX('Прайс-лист'!$B$11:$B$310,MATCH(ROWS($A$16:A23),'Прайс-лист'!$U$11:$U$310,0)),"")</f>
        <v/>
      </c>
      <c r="D23" s="59">
        <f>IFERROR(INDEX('Прайс-лист'!$C$11:$C$310,MATCH(ROWS($A$16:A23),'Прайс-лист'!$U$11:$U$310,0)),"")</f>
        <v/>
      </c>
      <c r="E23" s="59">
        <f>IFERROR(INDEX('Прайс-лист'!$E$11:$E$310,MATCH(ROWS($A$16:A23),'Прайс-лист'!$U$11:$U$310,0)),"")</f>
        <v/>
      </c>
      <c r="F23" s="58">
        <f>IFERROR(INDEX('Прайс-лист'!$F$11:$F$310,MATCH(ROWS($A$16:A23),'Прайс-лист'!$U$11:$U$310,0)),"")</f>
        <v/>
      </c>
      <c r="G23" s="61">
        <f>IFERROR(INDEX('Прайс-лист'!$R$11:$R$310,MATCH(ROWS($A$16:A23),'Прайс-лист'!$U$11:$U$310,0)),"")</f>
        <v/>
      </c>
      <c r="H23" s="60">
        <f>IFERROR(INDEX('Прайс-лист'!$P$11:$P$310,MATCH(ROWS($A$16:A23),'Прайс-лист'!$U$11:$U$310,0)),"")</f>
        <v/>
      </c>
      <c r="I23" s="61">
        <f>IFERROR(INDEX('Прайс-лист'!$S$11:$S$310,MATCH(ROWS($A$16:A23),'Прайс-лист'!$U$11:$U$310,0)),"")</f>
        <v/>
      </c>
      <c r="J23" s="61">
        <f>IFERROR($I23*0.22,"")</f>
        <v/>
      </c>
      <c r="K23" s="61">
        <f>IFERROR($I23+$J23,"")</f>
        <v/>
      </c>
      <c r="L23" s="59">
        <f>IFERROR(INDEX('Прайс-лист'!$Q$11:$Q$310,MATCH(ROWS($A$16:A23),'Прайс-лист'!$U$11:$U$310,0)),"")</f>
        <v/>
      </c>
    </row>
    <row r="24" ht="15" customHeight="1" s="49">
      <c r="A24" s="64">
        <f>IFERROR(IF(INDEX('Прайс-лист'!$U$11:$U$310,MATCH(ROWS($A$16:A24),'Прайс-лист'!$U$11:$U$310,0))="","",ROWS($A$16:A24)),"")</f>
        <v/>
      </c>
      <c r="B24" s="58">
        <f>IFERROR(INDEX('Прайс-лист'!$A$11:$A$310,MATCH(ROWS($A$16:A24),'Прайс-лист'!$U$11:$U$310,0)),"")</f>
        <v/>
      </c>
      <c r="C24" s="58">
        <f>IFERROR(INDEX('Прайс-лист'!$B$11:$B$310,MATCH(ROWS($A$16:A24),'Прайс-лист'!$U$11:$U$310,0)),"")</f>
        <v/>
      </c>
      <c r="D24" s="59">
        <f>IFERROR(INDEX('Прайс-лист'!$C$11:$C$310,MATCH(ROWS($A$16:A24),'Прайс-лист'!$U$11:$U$310,0)),"")</f>
        <v/>
      </c>
      <c r="E24" s="59">
        <f>IFERROR(INDEX('Прайс-лист'!$E$11:$E$310,MATCH(ROWS($A$16:A24),'Прайс-лист'!$U$11:$U$310,0)),"")</f>
        <v/>
      </c>
      <c r="F24" s="58">
        <f>IFERROR(INDEX('Прайс-лист'!$F$11:$F$310,MATCH(ROWS($A$16:A24),'Прайс-лист'!$U$11:$U$310,0)),"")</f>
        <v/>
      </c>
      <c r="G24" s="61">
        <f>IFERROR(INDEX('Прайс-лист'!$R$11:$R$310,MATCH(ROWS($A$16:A24),'Прайс-лист'!$U$11:$U$310,0)),"")</f>
        <v/>
      </c>
      <c r="H24" s="60">
        <f>IFERROR(INDEX('Прайс-лист'!$P$11:$P$310,MATCH(ROWS($A$16:A24),'Прайс-лист'!$U$11:$U$310,0)),"")</f>
        <v/>
      </c>
      <c r="I24" s="61">
        <f>IFERROR(INDEX('Прайс-лист'!$S$11:$S$310,MATCH(ROWS($A$16:A24),'Прайс-лист'!$U$11:$U$310,0)),"")</f>
        <v/>
      </c>
      <c r="J24" s="61">
        <f>IFERROR($I24*0.22,"")</f>
        <v/>
      </c>
      <c r="K24" s="61">
        <f>IFERROR($I24+$J24,"")</f>
        <v/>
      </c>
      <c r="L24" s="59">
        <f>IFERROR(INDEX('Прайс-лист'!$Q$11:$Q$310,MATCH(ROWS($A$16:A24),'Прайс-лист'!$U$11:$U$310,0)),"")</f>
        <v/>
      </c>
    </row>
    <row r="25" ht="15" customHeight="1" s="49">
      <c r="A25" s="64">
        <f>IFERROR(IF(INDEX('Прайс-лист'!$U$11:$U$310,MATCH(ROWS($A$16:A25),'Прайс-лист'!$U$11:$U$310,0))="","",ROWS($A$16:A25)),"")</f>
        <v/>
      </c>
      <c r="B25" s="58">
        <f>IFERROR(INDEX('Прайс-лист'!$A$11:$A$310,MATCH(ROWS($A$16:A25),'Прайс-лист'!$U$11:$U$310,0)),"")</f>
        <v/>
      </c>
      <c r="C25" s="58">
        <f>IFERROR(INDEX('Прайс-лист'!$B$11:$B$310,MATCH(ROWS($A$16:A25),'Прайс-лист'!$U$11:$U$310,0)),"")</f>
        <v/>
      </c>
      <c r="D25" s="59">
        <f>IFERROR(INDEX('Прайс-лист'!$C$11:$C$310,MATCH(ROWS($A$16:A25),'Прайс-лист'!$U$11:$U$310,0)),"")</f>
        <v/>
      </c>
      <c r="E25" s="59">
        <f>IFERROR(INDEX('Прайс-лист'!$E$11:$E$310,MATCH(ROWS($A$16:A25),'Прайс-лист'!$U$11:$U$310,0)),"")</f>
        <v/>
      </c>
      <c r="F25" s="58">
        <f>IFERROR(INDEX('Прайс-лист'!$F$11:$F$310,MATCH(ROWS($A$16:A25),'Прайс-лист'!$U$11:$U$310,0)),"")</f>
        <v/>
      </c>
      <c r="G25" s="61">
        <f>IFERROR(INDEX('Прайс-лист'!$R$11:$R$310,MATCH(ROWS($A$16:A25),'Прайс-лист'!$U$11:$U$310,0)),"")</f>
        <v/>
      </c>
      <c r="H25" s="60">
        <f>IFERROR(INDEX('Прайс-лист'!$P$11:$P$310,MATCH(ROWS($A$16:A25),'Прайс-лист'!$U$11:$U$310,0)),"")</f>
        <v/>
      </c>
      <c r="I25" s="61">
        <f>IFERROR(INDEX('Прайс-лист'!$S$11:$S$310,MATCH(ROWS($A$16:A25),'Прайс-лист'!$U$11:$U$310,0)),"")</f>
        <v/>
      </c>
      <c r="J25" s="61">
        <f>IFERROR($I25*0.22,"")</f>
        <v/>
      </c>
      <c r="K25" s="61">
        <f>IFERROR($I25+$J25,"")</f>
        <v/>
      </c>
      <c r="L25" s="59">
        <f>IFERROR(INDEX('Прайс-лист'!$Q$11:$Q$310,MATCH(ROWS($A$16:A25),'Прайс-лист'!$U$11:$U$310,0)),"")</f>
        <v/>
      </c>
    </row>
    <row r="26" ht="15" customHeight="1" s="49">
      <c r="A26" s="64">
        <f>IFERROR(IF(INDEX('Прайс-лист'!$U$11:$U$310,MATCH(ROWS($A$16:A26),'Прайс-лист'!$U$11:$U$310,0))="","",ROWS($A$16:A26)),"")</f>
        <v/>
      </c>
      <c r="B26" s="58">
        <f>IFERROR(INDEX('Прайс-лист'!$A$11:$A$310,MATCH(ROWS($A$16:A26),'Прайс-лист'!$U$11:$U$310,0)),"")</f>
        <v/>
      </c>
      <c r="C26" s="58">
        <f>IFERROR(INDEX('Прайс-лист'!$B$11:$B$310,MATCH(ROWS($A$16:A26),'Прайс-лист'!$U$11:$U$310,0)),"")</f>
        <v/>
      </c>
      <c r="D26" s="59">
        <f>IFERROR(INDEX('Прайс-лист'!$C$11:$C$310,MATCH(ROWS($A$16:A26),'Прайс-лист'!$U$11:$U$310,0)),"")</f>
        <v/>
      </c>
      <c r="E26" s="59">
        <f>IFERROR(INDEX('Прайс-лист'!$E$11:$E$310,MATCH(ROWS($A$16:A26),'Прайс-лист'!$U$11:$U$310,0)),"")</f>
        <v/>
      </c>
      <c r="F26" s="58">
        <f>IFERROR(INDEX('Прайс-лист'!$F$11:$F$310,MATCH(ROWS($A$16:A26),'Прайс-лист'!$U$11:$U$310,0)),"")</f>
        <v/>
      </c>
      <c r="G26" s="61">
        <f>IFERROR(INDEX('Прайс-лист'!$R$11:$R$310,MATCH(ROWS($A$16:A26),'Прайс-лист'!$U$11:$U$310,0)),"")</f>
        <v/>
      </c>
      <c r="H26" s="60">
        <f>IFERROR(INDEX('Прайс-лист'!$P$11:$P$310,MATCH(ROWS($A$16:A26),'Прайс-лист'!$U$11:$U$310,0)),"")</f>
        <v/>
      </c>
      <c r="I26" s="61">
        <f>IFERROR(INDEX('Прайс-лист'!$S$11:$S$310,MATCH(ROWS($A$16:A26),'Прайс-лист'!$U$11:$U$310,0)),"")</f>
        <v/>
      </c>
      <c r="J26" s="61">
        <f>IFERROR($I26*0.22,"")</f>
        <v/>
      </c>
      <c r="K26" s="61">
        <f>IFERROR($I26+$J26,"")</f>
        <v/>
      </c>
      <c r="L26" s="59">
        <f>IFERROR(INDEX('Прайс-лист'!$Q$11:$Q$310,MATCH(ROWS($A$16:A26),'Прайс-лист'!$U$11:$U$310,0)),"")</f>
        <v/>
      </c>
    </row>
    <row r="27" ht="15" customHeight="1" s="49">
      <c r="A27" s="64">
        <f>IFERROR(IF(INDEX('Прайс-лист'!$U$11:$U$310,MATCH(ROWS($A$16:A27),'Прайс-лист'!$U$11:$U$310,0))="","",ROWS($A$16:A27)),"")</f>
        <v/>
      </c>
      <c r="B27" s="58">
        <f>IFERROR(INDEX('Прайс-лист'!$A$11:$A$310,MATCH(ROWS($A$16:A27),'Прайс-лист'!$U$11:$U$310,0)),"")</f>
        <v/>
      </c>
      <c r="C27" s="58">
        <f>IFERROR(INDEX('Прайс-лист'!$B$11:$B$310,MATCH(ROWS($A$16:A27),'Прайс-лист'!$U$11:$U$310,0)),"")</f>
        <v/>
      </c>
      <c r="D27" s="59">
        <f>IFERROR(INDEX('Прайс-лист'!$C$11:$C$310,MATCH(ROWS($A$16:A27),'Прайс-лист'!$U$11:$U$310,0)),"")</f>
        <v/>
      </c>
      <c r="E27" s="59">
        <f>IFERROR(INDEX('Прайс-лист'!$E$11:$E$310,MATCH(ROWS($A$16:A27),'Прайс-лист'!$U$11:$U$310,0)),"")</f>
        <v/>
      </c>
      <c r="F27" s="58">
        <f>IFERROR(INDEX('Прайс-лист'!$F$11:$F$310,MATCH(ROWS($A$16:A27),'Прайс-лист'!$U$11:$U$310,0)),"")</f>
        <v/>
      </c>
      <c r="G27" s="61">
        <f>IFERROR(INDEX('Прайс-лист'!$R$11:$R$310,MATCH(ROWS($A$16:A27),'Прайс-лист'!$U$11:$U$310,0)),"")</f>
        <v/>
      </c>
      <c r="H27" s="60">
        <f>IFERROR(INDEX('Прайс-лист'!$P$11:$P$310,MATCH(ROWS($A$16:A27),'Прайс-лист'!$U$11:$U$310,0)),"")</f>
        <v/>
      </c>
      <c r="I27" s="61">
        <f>IFERROR(INDEX('Прайс-лист'!$S$11:$S$310,MATCH(ROWS($A$16:A27),'Прайс-лист'!$U$11:$U$310,0)),"")</f>
        <v/>
      </c>
      <c r="J27" s="61">
        <f>IFERROR($I27*0.22,"")</f>
        <v/>
      </c>
      <c r="K27" s="61">
        <f>IFERROR($I27+$J27,"")</f>
        <v/>
      </c>
      <c r="L27" s="59">
        <f>IFERROR(INDEX('Прайс-лист'!$Q$11:$Q$310,MATCH(ROWS($A$16:A27),'Прайс-лист'!$U$11:$U$310,0)),"")</f>
        <v/>
      </c>
    </row>
    <row r="28" ht="15" customHeight="1" s="49">
      <c r="A28" s="64">
        <f>IFERROR(IF(INDEX('Прайс-лист'!$U$11:$U$310,MATCH(ROWS($A$16:A28),'Прайс-лист'!$U$11:$U$310,0))="","",ROWS($A$16:A28)),"")</f>
        <v/>
      </c>
      <c r="B28" s="58">
        <f>IFERROR(INDEX('Прайс-лист'!$A$11:$A$310,MATCH(ROWS($A$16:A28),'Прайс-лист'!$U$11:$U$310,0)),"")</f>
        <v/>
      </c>
      <c r="C28" s="58">
        <f>IFERROR(INDEX('Прайс-лист'!$B$11:$B$310,MATCH(ROWS($A$16:A28),'Прайс-лист'!$U$11:$U$310,0)),"")</f>
        <v/>
      </c>
      <c r="D28" s="59">
        <f>IFERROR(INDEX('Прайс-лист'!$C$11:$C$310,MATCH(ROWS($A$16:A28),'Прайс-лист'!$U$11:$U$310,0)),"")</f>
        <v/>
      </c>
      <c r="E28" s="59">
        <f>IFERROR(INDEX('Прайс-лист'!$E$11:$E$310,MATCH(ROWS($A$16:A28),'Прайс-лист'!$U$11:$U$310,0)),"")</f>
        <v/>
      </c>
      <c r="F28" s="58">
        <f>IFERROR(INDEX('Прайс-лист'!$F$11:$F$310,MATCH(ROWS($A$16:A28),'Прайс-лист'!$U$11:$U$310,0)),"")</f>
        <v/>
      </c>
      <c r="G28" s="61">
        <f>IFERROR(INDEX('Прайс-лист'!$R$11:$R$310,MATCH(ROWS($A$16:A28),'Прайс-лист'!$U$11:$U$310,0)),"")</f>
        <v/>
      </c>
      <c r="H28" s="60">
        <f>IFERROR(INDEX('Прайс-лист'!$P$11:$P$310,MATCH(ROWS($A$16:A28),'Прайс-лист'!$U$11:$U$310,0)),"")</f>
        <v/>
      </c>
      <c r="I28" s="61">
        <f>IFERROR(INDEX('Прайс-лист'!$S$11:$S$310,MATCH(ROWS($A$16:A28),'Прайс-лист'!$U$11:$U$310,0)),"")</f>
        <v/>
      </c>
      <c r="J28" s="61">
        <f>IFERROR($I28*0.22,"")</f>
        <v/>
      </c>
      <c r="K28" s="61">
        <f>IFERROR($I28+$J28,"")</f>
        <v/>
      </c>
      <c r="L28" s="59">
        <f>IFERROR(INDEX('Прайс-лист'!$Q$11:$Q$310,MATCH(ROWS($A$16:A28),'Прайс-лист'!$U$11:$U$310,0)),"")</f>
        <v/>
      </c>
    </row>
    <row r="29" ht="15" customHeight="1" s="49">
      <c r="A29" s="64">
        <f>IFERROR(IF(INDEX('Прайс-лист'!$U$11:$U$310,MATCH(ROWS($A$16:A29),'Прайс-лист'!$U$11:$U$310,0))="","",ROWS($A$16:A29)),"")</f>
        <v/>
      </c>
      <c r="B29" s="58">
        <f>IFERROR(INDEX('Прайс-лист'!$A$11:$A$310,MATCH(ROWS($A$16:A29),'Прайс-лист'!$U$11:$U$310,0)),"")</f>
        <v/>
      </c>
      <c r="C29" s="58">
        <f>IFERROR(INDEX('Прайс-лист'!$B$11:$B$310,MATCH(ROWS($A$16:A29),'Прайс-лист'!$U$11:$U$310,0)),"")</f>
        <v/>
      </c>
      <c r="D29" s="59">
        <f>IFERROR(INDEX('Прайс-лист'!$C$11:$C$310,MATCH(ROWS($A$16:A29),'Прайс-лист'!$U$11:$U$310,0)),"")</f>
        <v/>
      </c>
      <c r="E29" s="59">
        <f>IFERROR(INDEX('Прайс-лист'!$E$11:$E$310,MATCH(ROWS($A$16:A29),'Прайс-лист'!$U$11:$U$310,0)),"")</f>
        <v/>
      </c>
      <c r="F29" s="58">
        <f>IFERROR(INDEX('Прайс-лист'!$F$11:$F$310,MATCH(ROWS($A$16:A29),'Прайс-лист'!$U$11:$U$310,0)),"")</f>
        <v/>
      </c>
      <c r="G29" s="61">
        <f>IFERROR(INDEX('Прайс-лист'!$R$11:$R$310,MATCH(ROWS($A$16:A29),'Прайс-лист'!$U$11:$U$310,0)),"")</f>
        <v/>
      </c>
      <c r="H29" s="60">
        <f>IFERROR(INDEX('Прайс-лист'!$P$11:$P$310,MATCH(ROWS($A$16:A29),'Прайс-лист'!$U$11:$U$310,0)),"")</f>
        <v/>
      </c>
      <c r="I29" s="61">
        <f>IFERROR(INDEX('Прайс-лист'!$S$11:$S$310,MATCH(ROWS($A$16:A29),'Прайс-лист'!$U$11:$U$310,0)),"")</f>
        <v/>
      </c>
      <c r="J29" s="61">
        <f>IFERROR($I29*0.22,"")</f>
        <v/>
      </c>
      <c r="K29" s="61">
        <f>IFERROR($I29+$J29,"")</f>
        <v/>
      </c>
      <c r="L29" s="59">
        <f>IFERROR(INDEX('Прайс-лист'!$Q$11:$Q$310,MATCH(ROWS($A$16:A29),'Прайс-лист'!$U$11:$U$310,0)),"")</f>
        <v/>
      </c>
    </row>
    <row r="30" ht="15" customHeight="1" s="49">
      <c r="A30" s="64">
        <f>IFERROR(IF(INDEX('Прайс-лист'!$U$11:$U$310,MATCH(ROWS($A$16:A30),'Прайс-лист'!$U$11:$U$310,0))="","",ROWS($A$16:A30)),"")</f>
        <v/>
      </c>
      <c r="B30" s="58">
        <f>IFERROR(INDEX('Прайс-лист'!$A$11:$A$310,MATCH(ROWS($A$16:A30),'Прайс-лист'!$U$11:$U$310,0)),"")</f>
        <v/>
      </c>
      <c r="C30" s="58">
        <f>IFERROR(INDEX('Прайс-лист'!$B$11:$B$310,MATCH(ROWS($A$16:A30),'Прайс-лист'!$U$11:$U$310,0)),"")</f>
        <v/>
      </c>
      <c r="D30" s="59">
        <f>IFERROR(INDEX('Прайс-лист'!$C$11:$C$310,MATCH(ROWS($A$16:A30),'Прайс-лист'!$U$11:$U$310,0)),"")</f>
        <v/>
      </c>
      <c r="E30" s="59">
        <f>IFERROR(INDEX('Прайс-лист'!$E$11:$E$310,MATCH(ROWS($A$16:A30),'Прайс-лист'!$U$11:$U$310,0)),"")</f>
        <v/>
      </c>
      <c r="F30" s="58">
        <f>IFERROR(INDEX('Прайс-лист'!$F$11:$F$310,MATCH(ROWS($A$16:A30),'Прайс-лист'!$U$11:$U$310,0)),"")</f>
        <v/>
      </c>
      <c r="G30" s="61">
        <f>IFERROR(INDEX('Прайс-лист'!$R$11:$R$310,MATCH(ROWS($A$16:A30),'Прайс-лист'!$U$11:$U$310,0)),"")</f>
        <v/>
      </c>
      <c r="H30" s="60">
        <f>IFERROR(INDEX('Прайс-лист'!$P$11:$P$310,MATCH(ROWS($A$16:A30),'Прайс-лист'!$U$11:$U$310,0)),"")</f>
        <v/>
      </c>
      <c r="I30" s="61">
        <f>IFERROR(INDEX('Прайс-лист'!$S$11:$S$310,MATCH(ROWS($A$16:A30),'Прайс-лист'!$U$11:$U$310,0)),"")</f>
        <v/>
      </c>
      <c r="J30" s="61">
        <f>IFERROR($I30*0.22,"")</f>
        <v/>
      </c>
      <c r="K30" s="61">
        <f>IFERROR($I30+$J30,"")</f>
        <v/>
      </c>
      <c r="L30" s="59">
        <f>IFERROR(INDEX('Прайс-лист'!$Q$11:$Q$310,MATCH(ROWS($A$16:A30),'Прайс-лист'!$U$11:$U$310,0)),"")</f>
        <v/>
      </c>
    </row>
    <row r="31" ht="15" customHeight="1" s="49">
      <c r="A31" s="64">
        <f>IFERROR(IF(INDEX('Прайс-лист'!$U$11:$U$310,MATCH(ROWS($A$16:A31),'Прайс-лист'!$U$11:$U$310,0))="","",ROWS($A$16:A31)),"")</f>
        <v/>
      </c>
      <c r="B31" s="58">
        <f>IFERROR(INDEX('Прайс-лист'!$A$11:$A$310,MATCH(ROWS($A$16:A31),'Прайс-лист'!$U$11:$U$310,0)),"")</f>
        <v/>
      </c>
      <c r="C31" s="58">
        <f>IFERROR(INDEX('Прайс-лист'!$B$11:$B$310,MATCH(ROWS($A$16:A31),'Прайс-лист'!$U$11:$U$310,0)),"")</f>
        <v/>
      </c>
      <c r="D31" s="59">
        <f>IFERROR(INDEX('Прайс-лист'!$C$11:$C$310,MATCH(ROWS($A$16:A31),'Прайс-лист'!$U$11:$U$310,0)),"")</f>
        <v/>
      </c>
      <c r="E31" s="59">
        <f>IFERROR(INDEX('Прайс-лист'!$E$11:$E$310,MATCH(ROWS($A$16:A31),'Прайс-лист'!$U$11:$U$310,0)),"")</f>
        <v/>
      </c>
      <c r="F31" s="58">
        <f>IFERROR(INDEX('Прайс-лист'!$F$11:$F$310,MATCH(ROWS($A$16:A31),'Прайс-лист'!$U$11:$U$310,0)),"")</f>
        <v/>
      </c>
      <c r="G31" s="61">
        <f>IFERROR(INDEX('Прайс-лист'!$R$11:$R$310,MATCH(ROWS($A$16:A31),'Прайс-лист'!$U$11:$U$310,0)),"")</f>
        <v/>
      </c>
      <c r="H31" s="60">
        <f>IFERROR(INDEX('Прайс-лист'!$P$11:$P$310,MATCH(ROWS($A$16:A31),'Прайс-лист'!$U$11:$U$310,0)),"")</f>
        <v/>
      </c>
      <c r="I31" s="61">
        <f>IFERROR(INDEX('Прайс-лист'!$S$11:$S$310,MATCH(ROWS($A$16:A31),'Прайс-лист'!$U$11:$U$310,0)),"")</f>
        <v/>
      </c>
      <c r="J31" s="61">
        <f>IFERROR($I31*0.22,"")</f>
        <v/>
      </c>
      <c r="K31" s="61">
        <f>IFERROR($I31+$J31,"")</f>
        <v/>
      </c>
      <c r="L31" s="59">
        <f>IFERROR(INDEX('Прайс-лист'!$Q$11:$Q$310,MATCH(ROWS($A$16:A31),'Прайс-лист'!$U$11:$U$310,0)),"")</f>
        <v/>
      </c>
    </row>
    <row r="32" ht="15" customHeight="1" s="49">
      <c r="A32" s="64">
        <f>IFERROR(IF(INDEX('Прайс-лист'!$U$11:$U$310,MATCH(ROWS($A$16:A32),'Прайс-лист'!$U$11:$U$310,0))="","",ROWS($A$16:A32)),"")</f>
        <v/>
      </c>
      <c r="B32" s="58">
        <f>IFERROR(INDEX('Прайс-лист'!$A$11:$A$310,MATCH(ROWS($A$16:A32),'Прайс-лист'!$U$11:$U$310,0)),"")</f>
        <v/>
      </c>
      <c r="C32" s="58">
        <f>IFERROR(INDEX('Прайс-лист'!$B$11:$B$310,MATCH(ROWS($A$16:A32),'Прайс-лист'!$U$11:$U$310,0)),"")</f>
        <v/>
      </c>
      <c r="D32" s="59">
        <f>IFERROR(INDEX('Прайс-лист'!$C$11:$C$310,MATCH(ROWS($A$16:A32),'Прайс-лист'!$U$11:$U$310,0)),"")</f>
        <v/>
      </c>
      <c r="E32" s="59">
        <f>IFERROR(INDEX('Прайс-лист'!$E$11:$E$310,MATCH(ROWS($A$16:A32),'Прайс-лист'!$U$11:$U$310,0)),"")</f>
        <v/>
      </c>
      <c r="F32" s="58">
        <f>IFERROR(INDEX('Прайс-лист'!$F$11:$F$310,MATCH(ROWS($A$16:A32),'Прайс-лист'!$U$11:$U$310,0)),"")</f>
        <v/>
      </c>
      <c r="G32" s="61">
        <f>IFERROR(INDEX('Прайс-лист'!$R$11:$R$310,MATCH(ROWS($A$16:A32),'Прайс-лист'!$U$11:$U$310,0)),"")</f>
        <v/>
      </c>
      <c r="H32" s="60">
        <f>IFERROR(INDEX('Прайс-лист'!$P$11:$P$310,MATCH(ROWS($A$16:A32),'Прайс-лист'!$U$11:$U$310,0)),"")</f>
        <v/>
      </c>
      <c r="I32" s="61">
        <f>IFERROR(INDEX('Прайс-лист'!$S$11:$S$310,MATCH(ROWS($A$16:A32),'Прайс-лист'!$U$11:$U$310,0)),"")</f>
        <v/>
      </c>
      <c r="J32" s="61">
        <f>IFERROR($I32*0.22,"")</f>
        <v/>
      </c>
      <c r="K32" s="61">
        <f>IFERROR($I32+$J32,"")</f>
        <v/>
      </c>
      <c r="L32" s="59">
        <f>IFERROR(INDEX('Прайс-лист'!$Q$11:$Q$310,MATCH(ROWS($A$16:A32),'Прайс-лист'!$U$11:$U$310,0)),"")</f>
        <v/>
      </c>
    </row>
    <row r="33" ht="15" customHeight="1" s="49">
      <c r="A33" s="64">
        <f>IFERROR(IF(INDEX('Прайс-лист'!$U$11:$U$310,MATCH(ROWS($A$16:A33),'Прайс-лист'!$U$11:$U$310,0))="","",ROWS($A$16:A33)),"")</f>
        <v/>
      </c>
      <c r="B33" s="58">
        <f>IFERROR(INDEX('Прайс-лист'!$A$11:$A$310,MATCH(ROWS($A$16:A33),'Прайс-лист'!$U$11:$U$310,0)),"")</f>
        <v/>
      </c>
      <c r="C33" s="58">
        <f>IFERROR(INDEX('Прайс-лист'!$B$11:$B$310,MATCH(ROWS($A$16:A33),'Прайс-лист'!$U$11:$U$310,0)),"")</f>
        <v/>
      </c>
      <c r="D33" s="59">
        <f>IFERROR(INDEX('Прайс-лист'!$C$11:$C$310,MATCH(ROWS($A$16:A33),'Прайс-лист'!$U$11:$U$310,0)),"")</f>
        <v/>
      </c>
      <c r="E33" s="59">
        <f>IFERROR(INDEX('Прайс-лист'!$E$11:$E$310,MATCH(ROWS($A$16:A33),'Прайс-лист'!$U$11:$U$310,0)),"")</f>
        <v/>
      </c>
      <c r="F33" s="58">
        <f>IFERROR(INDEX('Прайс-лист'!$F$11:$F$310,MATCH(ROWS($A$16:A33),'Прайс-лист'!$U$11:$U$310,0)),"")</f>
        <v/>
      </c>
      <c r="G33" s="61">
        <f>IFERROR(INDEX('Прайс-лист'!$R$11:$R$310,MATCH(ROWS($A$16:A33),'Прайс-лист'!$U$11:$U$310,0)),"")</f>
        <v/>
      </c>
      <c r="H33" s="60">
        <f>IFERROR(INDEX('Прайс-лист'!$P$11:$P$310,MATCH(ROWS($A$16:A33),'Прайс-лист'!$U$11:$U$310,0)),"")</f>
        <v/>
      </c>
      <c r="I33" s="61">
        <f>IFERROR(INDEX('Прайс-лист'!$S$11:$S$310,MATCH(ROWS($A$16:A33),'Прайс-лист'!$U$11:$U$310,0)),"")</f>
        <v/>
      </c>
      <c r="J33" s="61">
        <f>IFERROR($I33*0.22,"")</f>
        <v/>
      </c>
      <c r="K33" s="61">
        <f>IFERROR($I33+$J33,"")</f>
        <v/>
      </c>
      <c r="L33" s="59">
        <f>IFERROR(INDEX('Прайс-лист'!$Q$11:$Q$310,MATCH(ROWS($A$16:A33),'Прайс-лист'!$U$11:$U$310,0)),"")</f>
        <v/>
      </c>
    </row>
    <row r="34" ht="15" customHeight="1" s="49">
      <c r="A34" s="64">
        <f>IFERROR(IF(INDEX('Прайс-лист'!$U$11:$U$310,MATCH(ROWS($A$16:A34),'Прайс-лист'!$U$11:$U$310,0))="","",ROWS($A$16:A34)),"")</f>
        <v/>
      </c>
      <c r="B34" s="58">
        <f>IFERROR(INDEX('Прайс-лист'!$A$11:$A$310,MATCH(ROWS($A$16:A34),'Прайс-лист'!$U$11:$U$310,0)),"")</f>
        <v/>
      </c>
      <c r="C34" s="58">
        <f>IFERROR(INDEX('Прайс-лист'!$B$11:$B$310,MATCH(ROWS($A$16:A34),'Прайс-лист'!$U$11:$U$310,0)),"")</f>
        <v/>
      </c>
      <c r="D34" s="59">
        <f>IFERROR(INDEX('Прайс-лист'!$C$11:$C$310,MATCH(ROWS($A$16:A34),'Прайс-лист'!$U$11:$U$310,0)),"")</f>
        <v/>
      </c>
      <c r="E34" s="59">
        <f>IFERROR(INDEX('Прайс-лист'!$E$11:$E$310,MATCH(ROWS($A$16:A34),'Прайс-лист'!$U$11:$U$310,0)),"")</f>
        <v/>
      </c>
      <c r="F34" s="58">
        <f>IFERROR(INDEX('Прайс-лист'!$F$11:$F$310,MATCH(ROWS($A$16:A34),'Прайс-лист'!$U$11:$U$310,0)),"")</f>
        <v/>
      </c>
      <c r="G34" s="61">
        <f>IFERROR(INDEX('Прайс-лист'!$R$11:$R$310,MATCH(ROWS($A$16:A34),'Прайс-лист'!$U$11:$U$310,0)),"")</f>
        <v/>
      </c>
      <c r="H34" s="60">
        <f>IFERROR(INDEX('Прайс-лист'!$P$11:$P$310,MATCH(ROWS($A$16:A34),'Прайс-лист'!$U$11:$U$310,0)),"")</f>
        <v/>
      </c>
      <c r="I34" s="61">
        <f>IFERROR(INDEX('Прайс-лист'!$S$11:$S$310,MATCH(ROWS($A$16:A34),'Прайс-лист'!$U$11:$U$310,0)),"")</f>
        <v/>
      </c>
      <c r="J34" s="61">
        <f>IFERROR($I34*0.22,"")</f>
        <v/>
      </c>
      <c r="K34" s="61">
        <f>IFERROR($I34+$J34,"")</f>
        <v/>
      </c>
      <c r="L34" s="59">
        <f>IFERROR(INDEX('Прайс-лист'!$Q$11:$Q$310,MATCH(ROWS($A$16:A34),'Прайс-лист'!$U$11:$U$310,0)),"")</f>
        <v/>
      </c>
    </row>
    <row r="35" ht="15" customHeight="1" s="49">
      <c r="A35" s="64">
        <f>IFERROR(IF(INDEX('Прайс-лист'!$U$11:$U$310,MATCH(ROWS($A$16:A35),'Прайс-лист'!$U$11:$U$310,0))="","",ROWS($A$16:A35)),"")</f>
        <v/>
      </c>
      <c r="B35" s="58">
        <f>IFERROR(INDEX('Прайс-лист'!$A$11:$A$310,MATCH(ROWS($A$16:A35),'Прайс-лист'!$U$11:$U$310,0)),"")</f>
        <v/>
      </c>
      <c r="C35" s="58">
        <f>IFERROR(INDEX('Прайс-лист'!$B$11:$B$310,MATCH(ROWS($A$16:A35),'Прайс-лист'!$U$11:$U$310,0)),"")</f>
        <v/>
      </c>
      <c r="D35" s="59">
        <f>IFERROR(INDEX('Прайс-лист'!$C$11:$C$310,MATCH(ROWS($A$16:A35),'Прайс-лист'!$U$11:$U$310,0)),"")</f>
        <v/>
      </c>
      <c r="E35" s="59">
        <f>IFERROR(INDEX('Прайс-лист'!$E$11:$E$310,MATCH(ROWS($A$16:A35),'Прайс-лист'!$U$11:$U$310,0)),"")</f>
        <v/>
      </c>
      <c r="F35" s="58">
        <f>IFERROR(INDEX('Прайс-лист'!$F$11:$F$310,MATCH(ROWS($A$16:A35),'Прайс-лист'!$U$11:$U$310,0)),"")</f>
        <v/>
      </c>
      <c r="G35" s="61">
        <f>IFERROR(INDEX('Прайс-лист'!$R$11:$R$310,MATCH(ROWS($A$16:A35),'Прайс-лист'!$U$11:$U$310,0)),"")</f>
        <v/>
      </c>
      <c r="H35" s="60">
        <f>IFERROR(INDEX('Прайс-лист'!$P$11:$P$310,MATCH(ROWS($A$16:A35),'Прайс-лист'!$U$11:$U$310,0)),"")</f>
        <v/>
      </c>
      <c r="I35" s="61">
        <f>IFERROR(INDEX('Прайс-лист'!$S$11:$S$310,MATCH(ROWS($A$16:A35),'Прайс-лист'!$U$11:$U$310,0)),"")</f>
        <v/>
      </c>
      <c r="J35" s="61">
        <f>IFERROR($I35*0.22,"")</f>
        <v/>
      </c>
      <c r="K35" s="61">
        <f>IFERROR($I35+$J35,"")</f>
        <v/>
      </c>
      <c r="L35" s="59">
        <f>IFERROR(INDEX('Прайс-лист'!$Q$11:$Q$310,MATCH(ROWS($A$16:A35),'Прайс-лист'!$U$11:$U$310,0)),"")</f>
        <v/>
      </c>
    </row>
    <row r="36" ht="15" customHeight="1" s="49">
      <c r="A36" s="64">
        <f>IFERROR(IF(INDEX('Прайс-лист'!$U$11:$U$310,MATCH(ROWS($A$16:A36),'Прайс-лист'!$U$11:$U$310,0))="","",ROWS($A$16:A36)),"")</f>
        <v/>
      </c>
      <c r="B36" s="58">
        <f>IFERROR(INDEX('Прайс-лист'!$A$11:$A$310,MATCH(ROWS($A$16:A36),'Прайс-лист'!$U$11:$U$310,0)),"")</f>
        <v/>
      </c>
      <c r="C36" s="58">
        <f>IFERROR(INDEX('Прайс-лист'!$B$11:$B$310,MATCH(ROWS($A$16:A36),'Прайс-лист'!$U$11:$U$310,0)),"")</f>
        <v/>
      </c>
      <c r="D36" s="59">
        <f>IFERROR(INDEX('Прайс-лист'!$C$11:$C$310,MATCH(ROWS($A$16:A36),'Прайс-лист'!$U$11:$U$310,0)),"")</f>
        <v/>
      </c>
      <c r="E36" s="59">
        <f>IFERROR(INDEX('Прайс-лист'!$E$11:$E$310,MATCH(ROWS($A$16:A36),'Прайс-лист'!$U$11:$U$310,0)),"")</f>
        <v/>
      </c>
      <c r="F36" s="58">
        <f>IFERROR(INDEX('Прайс-лист'!$F$11:$F$310,MATCH(ROWS($A$16:A36),'Прайс-лист'!$U$11:$U$310,0)),"")</f>
        <v/>
      </c>
      <c r="G36" s="61">
        <f>IFERROR(INDEX('Прайс-лист'!$R$11:$R$310,MATCH(ROWS($A$16:A36),'Прайс-лист'!$U$11:$U$310,0)),"")</f>
        <v/>
      </c>
      <c r="H36" s="60">
        <f>IFERROR(INDEX('Прайс-лист'!$P$11:$P$310,MATCH(ROWS($A$16:A36),'Прайс-лист'!$U$11:$U$310,0)),"")</f>
        <v/>
      </c>
      <c r="I36" s="61">
        <f>IFERROR(INDEX('Прайс-лист'!$S$11:$S$310,MATCH(ROWS($A$16:A36),'Прайс-лист'!$U$11:$U$310,0)),"")</f>
        <v/>
      </c>
      <c r="J36" s="61">
        <f>IFERROR($I36*0.22,"")</f>
        <v/>
      </c>
      <c r="K36" s="61">
        <f>IFERROR($I36+$J36,"")</f>
        <v/>
      </c>
      <c r="L36" s="59">
        <f>IFERROR(INDEX('Прайс-лист'!$Q$11:$Q$310,MATCH(ROWS($A$16:A36),'Прайс-лист'!$U$11:$U$310,0)),"")</f>
        <v/>
      </c>
    </row>
    <row r="37" ht="15" customHeight="1" s="49">
      <c r="A37" s="64">
        <f>IFERROR(IF(INDEX('Прайс-лист'!$U$11:$U$310,MATCH(ROWS($A$16:A37),'Прайс-лист'!$U$11:$U$310,0))="","",ROWS($A$16:A37)),"")</f>
        <v/>
      </c>
      <c r="B37" s="58">
        <f>IFERROR(INDEX('Прайс-лист'!$A$11:$A$310,MATCH(ROWS($A$16:A37),'Прайс-лист'!$U$11:$U$310,0)),"")</f>
        <v/>
      </c>
      <c r="C37" s="58">
        <f>IFERROR(INDEX('Прайс-лист'!$B$11:$B$310,MATCH(ROWS($A$16:A37),'Прайс-лист'!$U$11:$U$310,0)),"")</f>
        <v/>
      </c>
      <c r="D37" s="59">
        <f>IFERROR(INDEX('Прайс-лист'!$C$11:$C$310,MATCH(ROWS($A$16:A37),'Прайс-лист'!$U$11:$U$310,0)),"")</f>
        <v/>
      </c>
      <c r="E37" s="59">
        <f>IFERROR(INDEX('Прайс-лист'!$E$11:$E$310,MATCH(ROWS($A$16:A37),'Прайс-лист'!$U$11:$U$310,0)),"")</f>
        <v/>
      </c>
      <c r="F37" s="58">
        <f>IFERROR(INDEX('Прайс-лист'!$F$11:$F$310,MATCH(ROWS($A$16:A37),'Прайс-лист'!$U$11:$U$310,0)),"")</f>
        <v/>
      </c>
      <c r="G37" s="61">
        <f>IFERROR(INDEX('Прайс-лист'!$R$11:$R$310,MATCH(ROWS($A$16:A37),'Прайс-лист'!$U$11:$U$310,0)),"")</f>
        <v/>
      </c>
      <c r="H37" s="60">
        <f>IFERROR(INDEX('Прайс-лист'!$P$11:$P$310,MATCH(ROWS($A$16:A37),'Прайс-лист'!$U$11:$U$310,0)),"")</f>
        <v/>
      </c>
      <c r="I37" s="61">
        <f>IFERROR(INDEX('Прайс-лист'!$S$11:$S$310,MATCH(ROWS($A$16:A37),'Прайс-лист'!$U$11:$U$310,0)),"")</f>
        <v/>
      </c>
      <c r="J37" s="61">
        <f>IFERROR($I37*0.22,"")</f>
        <v/>
      </c>
      <c r="K37" s="61">
        <f>IFERROR($I37+$J37,"")</f>
        <v/>
      </c>
      <c r="L37" s="59">
        <f>IFERROR(INDEX('Прайс-лист'!$Q$11:$Q$310,MATCH(ROWS($A$16:A37),'Прайс-лист'!$U$11:$U$310,0)),"")</f>
        <v/>
      </c>
    </row>
    <row r="38" ht="15" customHeight="1" s="49">
      <c r="A38" s="64">
        <f>IFERROR(IF(INDEX('Прайс-лист'!$U$11:$U$310,MATCH(ROWS($A$16:A38),'Прайс-лист'!$U$11:$U$310,0))="","",ROWS($A$16:A38)),"")</f>
        <v/>
      </c>
      <c r="B38" s="58">
        <f>IFERROR(INDEX('Прайс-лист'!$A$11:$A$310,MATCH(ROWS($A$16:A38),'Прайс-лист'!$U$11:$U$310,0)),"")</f>
        <v/>
      </c>
      <c r="C38" s="58">
        <f>IFERROR(INDEX('Прайс-лист'!$B$11:$B$310,MATCH(ROWS($A$16:A38),'Прайс-лист'!$U$11:$U$310,0)),"")</f>
        <v/>
      </c>
      <c r="D38" s="59">
        <f>IFERROR(INDEX('Прайс-лист'!$C$11:$C$310,MATCH(ROWS($A$16:A38),'Прайс-лист'!$U$11:$U$310,0)),"")</f>
        <v/>
      </c>
      <c r="E38" s="59">
        <f>IFERROR(INDEX('Прайс-лист'!$E$11:$E$310,MATCH(ROWS($A$16:A38),'Прайс-лист'!$U$11:$U$310,0)),"")</f>
        <v/>
      </c>
      <c r="F38" s="58">
        <f>IFERROR(INDEX('Прайс-лист'!$F$11:$F$310,MATCH(ROWS($A$16:A38),'Прайс-лист'!$U$11:$U$310,0)),"")</f>
        <v/>
      </c>
      <c r="G38" s="61">
        <f>IFERROR(INDEX('Прайс-лист'!$R$11:$R$310,MATCH(ROWS($A$16:A38),'Прайс-лист'!$U$11:$U$310,0)),"")</f>
        <v/>
      </c>
      <c r="H38" s="60">
        <f>IFERROR(INDEX('Прайс-лист'!$P$11:$P$310,MATCH(ROWS($A$16:A38),'Прайс-лист'!$U$11:$U$310,0)),"")</f>
        <v/>
      </c>
      <c r="I38" s="61">
        <f>IFERROR(INDEX('Прайс-лист'!$S$11:$S$310,MATCH(ROWS($A$16:A38),'Прайс-лист'!$U$11:$U$310,0)),"")</f>
        <v/>
      </c>
      <c r="J38" s="61">
        <f>IFERROR($I38*0.22,"")</f>
        <v/>
      </c>
      <c r="K38" s="61">
        <f>IFERROR($I38+$J38,"")</f>
        <v/>
      </c>
      <c r="L38" s="59">
        <f>IFERROR(INDEX('Прайс-лист'!$Q$11:$Q$310,MATCH(ROWS($A$16:A38),'Прайс-лист'!$U$11:$U$310,0)),"")</f>
        <v/>
      </c>
    </row>
    <row r="39" ht="15" customHeight="1" s="49">
      <c r="A39" s="64">
        <f>IFERROR(IF(INDEX('Прайс-лист'!$U$11:$U$310,MATCH(ROWS($A$16:A39),'Прайс-лист'!$U$11:$U$310,0))="","",ROWS($A$16:A39)),"")</f>
        <v/>
      </c>
      <c r="B39" s="58">
        <f>IFERROR(INDEX('Прайс-лист'!$A$11:$A$310,MATCH(ROWS($A$16:A39),'Прайс-лист'!$U$11:$U$310,0)),"")</f>
        <v/>
      </c>
      <c r="C39" s="58">
        <f>IFERROR(INDEX('Прайс-лист'!$B$11:$B$310,MATCH(ROWS($A$16:A39),'Прайс-лист'!$U$11:$U$310,0)),"")</f>
        <v/>
      </c>
      <c r="D39" s="59">
        <f>IFERROR(INDEX('Прайс-лист'!$C$11:$C$310,MATCH(ROWS($A$16:A39),'Прайс-лист'!$U$11:$U$310,0)),"")</f>
        <v/>
      </c>
      <c r="E39" s="59">
        <f>IFERROR(INDEX('Прайс-лист'!$E$11:$E$310,MATCH(ROWS($A$16:A39),'Прайс-лист'!$U$11:$U$310,0)),"")</f>
        <v/>
      </c>
      <c r="F39" s="58">
        <f>IFERROR(INDEX('Прайс-лист'!$F$11:$F$310,MATCH(ROWS($A$16:A39),'Прайс-лист'!$U$11:$U$310,0)),"")</f>
        <v/>
      </c>
      <c r="G39" s="61">
        <f>IFERROR(INDEX('Прайс-лист'!$R$11:$R$310,MATCH(ROWS($A$16:A39),'Прайс-лист'!$U$11:$U$310,0)),"")</f>
        <v/>
      </c>
      <c r="H39" s="60">
        <f>IFERROR(INDEX('Прайс-лист'!$P$11:$P$310,MATCH(ROWS($A$16:A39),'Прайс-лист'!$U$11:$U$310,0)),"")</f>
        <v/>
      </c>
      <c r="I39" s="61">
        <f>IFERROR(INDEX('Прайс-лист'!$S$11:$S$310,MATCH(ROWS($A$16:A39),'Прайс-лист'!$U$11:$U$310,0)),"")</f>
        <v/>
      </c>
      <c r="J39" s="61">
        <f>IFERROR($I39*0.22,"")</f>
        <v/>
      </c>
      <c r="K39" s="61">
        <f>IFERROR($I39+$J39,"")</f>
        <v/>
      </c>
      <c r="L39" s="59">
        <f>IFERROR(INDEX('Прайс-лист'!$Q$11:$Q$310,MATCH(ROWS($A$16:A39),'Прайс-лист'!$U$11:$U$310,0)),"")</f>
        <v/>
      </c>
    </row>
    <row r="40" ht="15" customHeight="1" s="49">
      <c r="A40" s="64">
        <f>IFERROR(IF(INDEX('Прайс-лист'!$U$11:$U$310,MATCH(ROWS($A$16:A40),'Прайс-лист'!$U$11:$U$310,0))="","",ROWS($A$16:A40)),"")</f>
        <v/>
      </c>
      <c r="B40" s="58">
        <f>IFERROR(INDEX('Прайс-лист'!$A$11:$A$310,MATCH(ROWS($A$16:A40),'Прайс-лист'!$U$11:$U$310,0)),"")</f>
        <v/>
      </c>
      <c r="C40" s="58">
        <f>IFERROR(INDEX('Прайс-лист'!$B$11:$B$310,MATCH(ROWS($A$16:A40),'Прайс-лист'!$U$11:$U$310,0)),"")</f>
        <v/>
      </c>
      <c r="D40" s="59">
        <f>IFERROR(INDEX('Прайс-лист'!$C$11:$C$310,MATCH(ROWS($A$16:A40),'Прайс-лист'!$U$11:$U$310,0)),"")</f>
        <v/>
      </c>
      <c r="E40" s="59">
        <f>IFERROR(INDEX('Прайс-лист'!$E$11:$E$310,MATCH(ROWS($A$16:A40),'Прайс-лист'!$U$11:$U$310,0)),"")</f>
        <v/>
      </c>
      <c r="F40" s="58">
        <f>IFERROR(INDEX('Прайс-лист'!$F$11:$F$310,MATCH(ROWS($A$16:A40),'Прайс-лист'!$U$11:$U$310,0)),"")</f>
        <v/>
      </c>
      <c r="G40" s="61">
        <f>IFERROR(INDEX('Прайс-лист'!$R$11:$R$310,MATCH(ROWS($A$16:A40),'Прайс-лист'!$U$11:$U$310,0)),"")</f>
        <v/>
      </c>
      <c r="H40" s="60">
        <f>IFERROR(INDEX('Прайс-лист'!$P$11:$P$310,MATCH(ROWS($A$16:A40),'Прайс-лист'!$U$11:$U$310,0)),"")</f>
        <v/>
      </c>
      <c r="I40" s="61">
        <f>IFERROR(INDEX('Прайс-лист'!$S$11:$S$310,MATCH(ROWS($A$16:A40),'Прайс-лист'!$U$11:$U$310,0)),"")</f>
        <v/>
      </c>
      <c r="J40" s="61">
        <f>IFERROR($I40*0.22,"")</f>
        <v/>
      </c>
      <c r="K40" s="61">
        <f>IFERROR($I40+$J40,"")</f>
        <v/>
      </c>
      <c r="L40" s="59">
        <f>IFERROR(INDEX('Прайс-лист'!$Q$11:$Q$310,MATCH(ROWS($A$16:A40),'Прайс-лист'!$U$11:$U$310,0)),"")</f>
        <v/>
      </c>
    </row>
    <row r="41" ht="15" customHeight="1" s="49">
      <c r="A41" s="64">
        <f>IFERROR(IF(INDEX('Прайс-лист'!$U$11:$U$310,MATCH(ROWS($A$16:A41),'Прайс-лист'!$U$11:$U$310,0))="","",ROWS($A$16:A41)),"")</f>
        <v/>
      </c>
      <c r="B41" s="58">
        <f>IFERROR(INDEX('Прайс-лист'!$A$11:$A$310,MATCH(ROWS($A$16:A41),'Прайс-лист'!$U$11:$U$310,0)),"")</f>
        <v/>
      </c>
      <c r="C41" s="58">
        <f>IFERROR(INDEX('Прайс-лист'!$B$11:$B$310,MATCH(ROWS($A$16:A41),'Прайс-лист'!$U$11:$U$310,0)),"")</f>
        <v/>
      </c>
      <c r="D41" s="59">
        <f>IFERROR(INDEX('Прайс-лист'!$C$11:$C$310,MATCH(ROWS($A$16:A41),'Прайс-лист'!$U$11:$U$310,0)),"")</f>
        <v/>
      </c>
      <c r="E41" s="59">
        <f>IFERROR(INDEX('Прайс-лист'!$E$11:$E$310,MATCH(ROWS($A$16:A41),'Прайс-лист'!$U$11:$U$310,0)),"")</f>
        <v/>
      </c>
      <c r="F41" s="58">
        <f>IFERROR(INDEX('Прайс-лист'!$F$11:$F$310,MATCH(ROWS($A$16:A41),'Прайс-лист'!$U$11:$U$310,0)),"")</f>
        <v/>
      </c>
      <c r="G41" s="61">
        <f>IFERROR(INDEX('Прайс-лист'!$R$11:$R$310,MATCH(ROWS($A$16:A41),'Прайс-лист'!$U$11:$U$310,0)),"")</f>
        <v/>
      </c>
      <c r="H41" s="60">
        <f>IFERROR(INDEX('Прайс-лист'!$P$11:$P$310,MATCH(ROWS($A$16:A41),'Прайс-лист'!$U$11:$U$310,0)),"")</f>
        <v/>
      </c>
      <c r="I41" s="61">
        <f>IFERROR(INDEX('Прайс-лист'!$S$11:$S$310,MATCH(ROWS($A$16:A41),'Прайс-лист'!$U$11:$U$310,0)),"")</f>
        <v/>
      </c>
      <c r="J41" s="61">
        <f>IFERROR($I41*0.22,"")</f>
        <v/>
      </c>
      <c r="K41" s="61">
        <f>IFERROR($I41+$J41,"")</f>
        <v/>
      </c>
      <c r="L41" s="59">
        <f>IFERROR(INDEX('Прайс-лист'!$Q$11:$Q$310,MATCH(ROWS($A$16:A41),'Прайс-лист'!$U$11:$U$310,0)),"")</f>
        <v/>
      </c>
    </row>
    <row r="42" ht="15" customHeight="1" s="49">
      <c r="A42" s="64">
        <f>IFERROR(IF(INDEX('Прайс-лист'!$U$11:$U$310,MATCH(ROWS($A$16:A42),'Прайс-лист'!$U$11:$U$310,0))="","",ROWS($A$16:A42)),"")</f>
        <v/>
      </c>
      <c r="B42" s="58">
        <f>IFERROR(INDEX('Прайс-лист'!$A$11:$A$310,MATCH(ROWS($A$16:A42),'Прайс-лист'!$U$11:$U$310,0)),"")</f>
        <v/>
      </c>
      <c r="C42" s="58">
        <f>IFERROR(INDEX('Прайс-лист'!$B$11:$B$310,MATCH(ROWS($A$16:A42),'Прайс-лист'!$U$11:$U$310,0)),"")</f>
        <v/>
      </c>
      <c r="D42" s="59">
        <f>IFERROR(INDEX('Прайс-лист'!$C$11:$C$310,MATCH(ROWS($A$16:A42),'Прайс-лист'!$U$11:$U$310,0)),"")</f>
        <v/>
      </c>
      <c r="E42" s="59">
        <f>IFERROR(INDEX('Прайс-лист'!$E$11:$E$310,MATCH(ROWS($A$16:A42),'Прайс-лист'!$U$11:$U$310,0)),"")</f>
        <v/>
      </c>
      <c r="F42" s="58">
        <f>IFERROR(INDEX('Прайс-лист'!$F$11:$F$310,MATCH(ROWS($A$16:A42),'Прайс-лист'!$U$11:$U$310,0)),"")</f>
        <v/>
      </c>
      <c r="G42" s="61">
        <f>IFERROR(INDEX('Прайс-лист'!$R$11:$R$310,MATCH(ROWS($A$16:A42),'Прайс-лист'!$U$11:$U$310,0)),"")</f>
        <v/>
      </c>
      <c r="H42" s="60">
        <f>IFERROR(INDEX('Прайс-лист'!$P$11:$P$310,MATCH(ROWS($A$16:A42),'Прайс-лист'!$U$11:$U$310,0)),"")</f>
        <v/>
      </c>
      <c r="I42" s="61">
        <f>IFERROR(INDEX('Прайс-лист'!$S$11:$S$310,MATCH(ROWS($A$16:A42),'Прайс-лист'!$U$11:$U$310,0)),"")</f>
        <v/>
      </c>
      <c r="J42" s="61">
        <f>IFERROR($I42*0.22,"")</f>
        <v/>
      </c>
      <c r="K42" s="61">
        <f>IFERROR($I42+$J42,"")</f>
        <v/>
      </c>
      <c r="L42" s="59">
        <f>IFERROR(INDEX('Прайс-лист'!$Q$11:$Q$310,MATCH(ROWS($A$16:A42),'Прайс-лист'!$U$11:$U$310,0)),"")</f>
        <v/>
      </c>
    </row>
    <row r="43" ht="15" customHeight="1" s="49">
      <c r="A43" s="64">
        <f>IFERROR(IF(INDEX('Прайс-лист'!$U$11:$U$310,MATCH(ROWS($A$16:A43),'Прайс-лист'!$U$11:$U$310,0))="","",ROWS($A$16:A43)),"")</f>
        <v/>
      </c>
      <c r="B43" s="58">
        <f>IFERROR(INDEX('Прайс-лист'!$A$11:$A$310,MATCH(ROWS($A$16:A43),'Прайс-лист'!$U$11:$U$310,0)),"")</f>
        <v/>
      </c>
      <c r="C43" s="58">
        <f>IFERROR(INDEX('Прайс-лист'!$B$11:$B$310,MATCH(ROWS($A$16:A43),'Прайс-лист'!$U$11:$U$310,0)),"")</f>
        <v/>
      </c>
      <c r="D43" s="59">
        <f>IFERROR(INDEX('Прайс-лист'!$C$11:$C$310,MATCH(ROWS($A$16:A43),'Прайс-лист'!$U$11:$U$310,0)),"")</f>
        <v/>
      </c>
      <c r="E43" s="59">
        <f>IFERROR(INDEX('Прайс-лист'!$E$11:$E$310,MATCH(ROWS($A$16:A43),'Прайс-лист'!$U$11:$U$310,0)),"")</f>
        <v/>
      </c>
      <c r="F43" s="58">
        <f>IFERROR(INDEX('Прайс-лист'!$F$11:$F$310,MATCH(ROWS($A$16:A43),'Прайс-лист'!$U$11:$U$310,0)),"")</f>
        <v/>
      </c>
      <c r="G43" s="61">
        <f>IFERROR(INDEX('Прайс-лист'!$R$11:$R$310,MATCH(ROWS($A$16:A43),'Прайс-лист'!$U$11:$U$310,0)),"")</f>
        <v/>
      </c>
      <c r="H43" s="60">
        <f>IFERROR(INDEX('Прайс-лист'!$P$11:$P$310,MATCH(ROWS($A$16:A43),'Прайс-лист'!$U$11:$U$310,0)),"")</f>
        <v/>
      </c>
      <c r="I43" s="61">
        <f>IFERROR(INDEX('Прайс-лист'!$S$11:$S$310,MATCH(ROWS($A$16:A43),'Прайс-лист'!$U$11:$U$310,0)),"")</f>
        <v/>
      </c>
      <c r="J43" s="61">
        <f>IFERROR($I43*0.22,"")</f>
        <v/>
      </c>
      <c r="K43" s="61">
        <f>IFERROR($I43+$J43,"")</f>
        <v/>
      </c>
      <c r="L43" s="59">
        <f>IFERROR(INDEX('Прайс-лист'!$Q$11:$Q$310,MATCH(ROWS($A$16:A43),'Прайс-лист'!$U$11:$U$310,0)),"")</f>
        <v/>
      </c>
    </row>
    <row r="44" ht="15" customHeight="1" s="49">
      <c r="A44" s="64">
        <f>IFERROR(IF(INDEX('Прайс-лист'!$U$11:$U$310,MATCH(ROWS($A$16:A44),'Прайс-лист'!$U$11:$U$310,0))="","",ROWS($A$16:A44)),"")</f>
        <v/>
      </c>
      <c r="B44" s="58">
        <f>IFERROR(INDEX('Прайс-лист'!$A$11:$A$310,MATCH(ROWS($A$16:A44),'Прайс-лист'!$U$11:$U$310,0)),"")</f>
        <v/>
      </c>
      <c r="C44" s="58">
        <f>IFERROR(INDEX('Прайс-лист'!$B$11:$B$310,MATCH(ROWS($A$16:A44),'Прайс-лист'!$U$11:$U$310,0)),"")</f>
        <v/>
      </c>
      <c r="D44" s="59">
        <f>IFERROR(INDEX('Прайс-лист'!$C$11:$C$310,MATCH(ROWS($A$16:A44),'Прайс-лист'!$U$11:$U$310,0)),"")</f>
        <v/>
      </c>
      <c r="E44" s="59">
        <f>IFERROR(INDEX('Прайс-лист'!$E$11:$E$310,MATCH(ROWS($A$16:A44),'Прайс-лист'!$U$11:$U$310,0)),"")</f>
        <v/>
      </c>
      <c r="F44" s="58">
        <f>IFERROR(INDEX('Прайс-лист'!$F$11:$F$310,MATCH(ROWS($A$16:A44),'Прайс-лист'!$U$11:$U$310,0)),"")</f>
        <v/>
      </c>
      <c r="G44" s="61">
        <f>IFERROR(INDEX('Прайс-лист'!$R$11:$R$310,MATCH(ROWS($A$16:A44),'Прайс-лист'!$U$11:$U$310,0)),"")</f>
        <v/>
      </c>
      <c r="H44" s="60">
        <f>IFERROR(INDEX('Прайс-лист'!$P$11:$P$310,MATCH(ROWS($A$16:A44),'Прайс-лист'!$U$11:$U$310,0)),"")</f>
        <v/>
      </c>
      <c r="I44" s="61">
        <f>IFERROR(INDEX('Прайс-лист'!$S$11:$S$310,MATCH(ROWS($A$16:A44),'Прайс-лист'!$U$11:$U$310,0)),"")</f>
        <v/>
      </c>
      <c r="J44" s="61">
        <f>IFERROR($I44*0.22,"")</f>
        <v/>
      </c>
      <c r="K44" s="61">
        <f>IFERROR($I44+$J44,"")</f>
        <v/>
      </c>
      <c r="L44" s="59">
        <f>IFERROR(INDEX('Прайс-лист'!$Q$11:$Q$310,MATCH(ROWS($A$16:A44),'Прайс-лист'!$U$11:$U$310,0)),"")</f>
        <v/>
      </c>
    </row>
    <row r="45" ht="15" customHeight="1" s="49">
      <c r="A45" s="64">
        <f>IFERROR(IF(INDEX('Прайс-лист'!$U$11:$U$310,MATCH(ROWS($A$16:A45),'Прайс-лист'!$U$11:$U$310,0))="","",ROWS($A$16:A45)),"")</f>
        <v/>
      </c>
      <c r="B45" s="58">
        <f>IFERROR(INDEX('Прайс-лист'!$A$11:$A$310,MATCH(ROWS($A$16:A45),'Прайс-лист'!$U$11:$U$310,0)),"")</f>
        <v/>
      </c>
      <c r="C45" s="58">
        <f>IFERROR(INDEX('Прайс-лист'!$B$11:$B$310,MATCH(ROWS($A$16:A45),'Прайс-лист'!$U$11:$U$310,0)),"")</f>
        <v/>
      </c>
      <c r="D45" s="59">
        <f>IFERROR(INDEX('Прайс-лист'!$C$11:$C$310,MATCH(ROWS($A$16:A45),'Прайс-лист'!$U$11:$U$310,0)),"")</f>
        <v/>
      </c>
      <c r="E45" s="59">
        <f>IFERROR(INDEX('Прайс-лист'!$E$11:$E$310,MATCH(ROWS($A$16:A45),'Прайс-лист'!$U$11:$U$310,0)),"")</f>
        <v/>
      </c>
      <c r="F45" s="58">
        <f>IFERROR(INDEX('Прайс-лист'!$F$11:$F$310,MATCH(ROWS($A$16:A45),'Прайс-лист'!$U$11:$U$310,0)),"")</f>
        <v/>
      </c>
      <c r="G45" s="61">
        <f>IFERROR(INDEX('Прайс-лист'!$R$11:$R$310,MATCH(ROWS($A$16:A45),'Прайс-лист'!$U$11:$U$310,0)),"")</f>
        <v/>
      </c>
      <c r="H45" s="60">
        <f>IFERROR(INDEX('Прайс-лист'!$P$11:$P$310,MATCH(ROWS($A$16:A45),'Прайс-лист'!$U$11:$U$310,0)),"")</f>
        <v/>
      </c>
      <c r="I45" s="61">
        <f>IFERROR(INDEX('Прайс-лист'!$S$11:$S$310,MATCH(ROWS($A$16:A45),'Прайс-лист'!$U$11:$U$310,0)),"")</f>
        <v/>
      </c>
      <c r="J45" s="61">
        <f>IFERROR($I45*0.22,"")</f>
        <v/>
      </c>
      <c r="K45" s="61">
        <f>IFERROR($I45+$J45,"")</f>
        <v/>
      </c>
      <c r="L45" s="59">
        <f>IFERROR(INDEX('Прайс-лист'!$Q$11:$Q$310,MATCH(ROWS($A$16:A45),'Прайс-лист'!$U$11:$U$310,0)),"")</f>
        <v/>
      </c>
    </row>
    <row r="46" ht="15" customHeight="1" s="49">
      <c r="A46" s="64">
        <f>IFERROR(IF(INDEX('Прайс-лист'!$U$11:$U$310,MATCH(ROWS($A$16:A46),'Прайс-лист'!$U$11:$U$310,0))="","",ROWS($A$16:A46)),"")</f>
        <v/>
      </c>
      <c r="B46" s="58">
        <f>IFERROR(INDEX('Прайс-лист'!$A$11:$A$310,MATCH(ROWS($A$16:A46),'Прайс-лист'!$U$11:$U$310,0)),"")</f>
        <v/>
      </c>
      <c r="C46" s="58">
        <f>IFERROR(INDEX('Прайс-лист'!$B$11:$B$310,MATCH(ROWS($A$16:A46),'Прайс-лист'!$U$11:$U$310,0)),"")</f>
        <v/>
      </c>
      <c r="D46" s="59">
        <f>IFERROR(INDEX('Прайс-лист'!$C$11:$C$310,MATCH(ROWS($A$16:A46),'Прайс-лист'!$U$11:$U$310,0)),"")</f>
        <v/>
      </c>
      <c r="E46" s="59">
        <f>IFERROR(INDEX('Прайс-лист'!$E$11:$E$310,MATCH(ROWS($A$16:A46),'Прайс-лист'!$U$11:$U$310,0)),"")</f>
        <v/>
      </c>
      <c r="F46" s="58">
        <f>IFERROR(INDEX('Прайс-лист'!$F$11:$F$310,MATCH(ROWS($A$16:A46),'Прайс-лист'!$U$11:$U$310,0)),"")</f>
        <v/>
      </c>
      <c r="G46" s="61">
        <f>IFERROR(INDEX('Прайс-лист'!$R$11:$R$310,MATCH(ROWS($A$16:A46),'Прайс-лист'!$U$11:$U$310,0)),"")</f>
        <v/>
      </c>
      <c r="H46" s="60">
        <f>IFERROR(INDEX('Прайс-лист'!$P$11:$P$310,MATCH(ROWS($A$16:A46),'Прайс-лист'!$U$11:$U$310,0)),"")</f>
        <v/>
      </c>
      <c r="I46" s="61">
        <f>IFERROR(INDEX('Прайс-лист'!$S$11:$S$310,MATCH(ROWS($A$16:A46),'Прайс-лист'!$U$11:$U$310,0)),"")</f>
        <v/>
      </c>
      <c r="J46" s="61">
        <f>IFERROR($I46*0.22,"")</f>
        <v/>
      </c>
      <c r="K46" s="61">
        <f>IFERROR($I46+$J46,"")</f>
        <v/>
      </c>
      <c r="L46" s="59">
        <f>IFERROR(INDEX('Прайс-лист'!$Q$11:$Q$310,MATCH(ROWS($A$16:A46),'Прайс-лист'!$U$11:$U$310,0)),"")</f>
        <v/>
      </c>
    </row>
    <row r="47" ht="15" customHeight="1" s="49">
      <c r="A47" s="64">
        <f>IFERROR(IF(INDEX('Прайс-лист'!$U$11:$U$310,MATCH(ROWS($A$16:A47),'Прайс-лист'!$U$11:$U$310,0))="","",ROWS($A$16:A47)),"")</f>
        <v/>
      </c>
      <c r="B47" s="58">
        <f>IFERROR(INDEX('Прайс-лист'!$A$11:$A$310,MATCH(ROWS($A$16:A47),'Прайс-лист'!$U$11:$U$310,0)),"")</f>
        <v/>
      </c>
      <c r="C47" s="58">
        <f>IFERROR(INDEX('Прайс-лист'!$B$11:$B$310,MATCH(ROWS($A$16:A47),'Прайс-лист'!$U$11:$U$310,0)),"")</f>
        <v/>
      </c>
      <c r="D47" s="59">
        <f>IFERROR(INDEX('Прайс-лист'!$C$11:$C$310,MATCH(ROWS($A$16:A47),'Прайс-лист'!$U$11:$U$310,0)),"")</f>
        <v/>
      </c>
      <c r="E47" s="59">
        <f>IFERROR(INDEX('Прайс-лист'!$E$11:$E$310,MATCH(ROWS($A$16:A47),'Прайс-лист'!$U$11:$U$310,0)),"")</f>
        <v/>
      </c>
      <c r="F47" s="58">
        <f>IFERROR(INDEX('Прайс-лист'!$F$11:$F$310,MATCH(ROWS($A$16:A47),'Прайс-лист'!$U$11:$U$310,0)),"")</f>
        <v/>
      </c>
      <c r="G47" s="61">
        <f>IFERROR(INDEX('Прайс-лист'!$R$11:$R$310,MATCH(ROWS($A$16:A47),'Прайс-лист'!$U$11:$U$310,0)),"")</f>
        <v/>
      </c>
      <c r="H47" s="60">
        <f>IFERROR(INDEX('Прайс-лист'!$P$11:$P$310,MATCH(ROWS($A$16:A47),'Прайс-лист'!$U$11:$U$310,0)),"")</f>
        <v/>
      </c>
      <c r="I47" s="61">
        <f>IFERROR(INDEX('Прайс-лист'!$S$11:$S$310,MATCH(ROWS($A$16:A47),'Прайс-лист'!$U$11:$U$310,0)),"")</f>
        <v/>
      </c>
      <c r="J47" s="61">
        <f>IFERROR($I47*0.22,"")</f>
        <v/>
      </c>
      <c r="K47" s="61">
        <f>IFERROR($I47+$J47,"")</f>
        <v/>
      </c>
      <c r="L47" s="59">
        <f>IFERROR(INDEX('Прайс-лист'!$Q$11:$Q$310,MATCH(ROWS($A$16:A47),'Прайс-лист'!$U$11:$U$310,0)),"")</f>
        <v/>
      </c>
    </row>
    <row r="48" ht="15" customHeight="1" s="49">
      <c r="A48" s="64">
        <f>IFERROR(IF(INDEX('Прайс-лист'!$U$11:$U$310,MATCH(ROWS($A$16:A48),'Прайс-лист'!$U$11:$U$310,0))="","",ROWS($A$16:A48)),"")</f>
        <v/>
      </c>
      <c r="B48" s="58">
        <f>IFERROR(INDEX('Прайс-лист'!$A$11:$A$310,MATCH(ROWS($A$16:A48),'Прайс-лист'!$U$11:$U$310,0)),"")</f>
        <v/>
      </c>
      <c r="C48" s="58">
        <f>IFERROR(INDEX('Прайс-лист'!$B$11:$B$310,MATCH(ROWS($A$16:A48),'Прайс-лист'!$U$11:$U$310,0)),"")</f>
        <v/>
      </c>
      <c r="D48" s="59">
        <f>IFERROR(INDEX('Прайс-лист'!$C$11:$C$310,MATCH(ROWS($A$16:A48),'Прайс-лист'!$U$11:$U$310,0)),"")</f>
        <v/>
      </c>
      <c r="E48" s="59">
        <f>IFERROR(INDEX('Прайс-лист'!$E$11:$E$310,MATCH(ROWS($A$16:A48),'Прайс-лист'!$U$11:$U$310,0)),"")</f>
        <v/>
      </c>
      <c r="F48" s="58">
        <f>IFERROR(INDEX('Прайс-лист'!$F$11:$F$310,MATCH(ROWS($A$16:A48),'Прайс-лист'!$U$11:$U$310,0)),"")</f>
        <v/>
      </c>
      <c r="G48" s="61">
        <f>IFERROR(INDEX('Прайс-лист'!$R$11:$R$310,MATCH(ROWS($A$16:A48),'Прайс-лист'!$U$11:$U$310,0)),"")</f>
        <v/>
      </c>
      <c r="H48" s="60">
        <f>IFERROR(INDEX('Прайс-лист'!$P$11:$P$310,MATCH(ROWS($A$16:A48),'Прайс-лист'!$U$11:$U$310,0)),"")</f>
        <v/>
      </c>
      <c r="I48" s="61">
        <f>IFERROR(INDEX('Прайс-лист'!$S$11:$S$310,MATCH(ROWS($A$16:A48),'Прайс-лист'!$U$11:$U$310,0)),"")</f>
        <v/>
      </c>
      <c r="J48" s="61">
        <f>IFERROR($I48*0.22,"")</f>
        <v/>
      </c>
      <c r="K48" s="61">
        <f>IFERROR($I48+$J48,"")</f>
        <v/>
      </c>
      <c r="L48" s="59">
        <f>IFERROR(INDEX('Прайс-лист'!$Q$11:$Q$310,MATCH(ROWS($A$16:A48),'Прайс-лист'!$U$11:$U$310,0)),"")</f>
        <v/>
      </c>
    </row>
    <row r="49" ht="15" customHeight="1" s="49">
      <c r="A49" s="64">
        <f>IFERROR(IF(INDEX('Прайс-лист'!$U$11:$U$310,MATCH(ROWS($A$16:A49),'Прайс-лист'!$U$11:$U$310,0))="","",ROWS($A$16:A49)),"")</f>
        <v/>
      </c>
      <c r="B49" s="58">
        <f>IFERROR(INDEX('Прайс-лист'!$A$11:$A$310,MATCH(ROWS($A$16:A49),'Прайс-лист'!$U$11:$U$310,0)),"")</f>
        <v/>
      </c>
      <c r="C49" s="58">
        <f>IFERROR(INDEX('Прайс-лист'!$B$11:$B$310,MATCH(ROWS($A$16:A49),'Прайс-лист'!$U$11:$U$310,0)),"")</f>
        <v/>
      </c>
      <c r="D49" s="59">
        <f>IFERROR(INDEX('Прайс-лист'!$C$11:$C$310,MATCH(ROWS($A$16:A49),'Прайс-лист'!$U$11:$U$310,0)),"")</f>
        <v/>
      </c>
      <c r="E49" s="59">
        <f>IFERROR(INDEX('Прайс-лист'!$E$11:$E$310,MATCH(ROWS($A$16:A49),'Прайс-лист'!$U$11:$U$310,0)),"")</f>
        <v/>
      </c>
      <c r="F49" s="58">
        <f>IFERROR(INDEX('Прайс-лист'!$F$11:$F$310,MATCH(ROWS($A$16:A49),'Прайс-лист'!$U$11:$U$310,0)),"")</f>
        <v/>
      </c>
      <c r="G49" s="61">
        <f>IFERROR(INDEX('Прайс-лист'!$R$11:$R$310,MATCH(ROWS($A$16:A49),'Прайс-лист'!$U$11:$U$310,0)),"")</f>
        <v/>
      </c>
      <c r="H49" s="60">
        <f>IFERROR(INDEX('Прайс-лист'!$P$11:$P$310,MATCH(ROWS($A$16:A49),'Прайс-лист'!$U$11:$U$310,0)),"")</f>
        <v/>
      </c>
      <c r="I49" s="61">
        <f>IFERROR(INDEX('Прайс-лист'!$S$11:$S$310,MATCH(ROWS($A$16:A49),'Прайс-лист'!$U$11:$U$310,0)),"")</f>
        <v/>
      </c>
      <c r="J49" s="61">
        <f>IFERROR($I49*0.22,"")</f>
        <v/>
      </c>
      <c r="K49" s="61">
        <f>IFERROR($I49+$J49,"")</f>
        <v/>
      </c>
      <c r="L49" s="59">
        <f>IFERROR(INDEX('Прайс-лист'!$Q$11:$Q$310,MATCH(ROWS($A$16:A49),'Прайс-лист'!$U$11:$U$310,0)),"")</f>
        <v/>
      </c>
    </row>
    <row r="50" ht="15" customHeight="1" s="49">
      <c r="A50" s="64">
        <f>IFERROR(IF(INDEX('Прайс-лист'!$U$11:$U$310,MATCH(ROWS($A$16:A50),'Прайс-лист'!$U$11:$U$310,0))="","",ROWS($A$16:A50)),"")</f>
        <v/>
      </c>
      <c r="B50" s="58">
        <f>IFERROR(INDEX('Прайс-лист'!$A$11:$A$310,MATCH(ROWS($A$16:A50),'Прайс-лист'!$U$11:$U$310,0)),"")</f>
        <v/>
      </c>
      <c r="C50" s="58">
        <f>IFERROR(INDEX('Прайс-лист'!$B$11:$B$310,MATCH(ROWS($A$16:A50),'Прайс-лист'!$U$11:$U$310,0)),"")</f>
        <v/>
      </c>
      <c r="D50" s="59">
        <f>IFERROR(INDEX('Прайс-лист'!$C$11:$C$310,MATCH(ROWS($A$16:A50),'Прайс-лист'!$U$11:$U$310,0)),"")</f>
        <v/>
      </c>
      <c r="E50" s="59">
        <f>IFERROR(INDEX('Прайс-лист'!$E$11:$E$310,MATCH(ROWS($A$16:A50),'Прайс-лист'!$U$11:$U$310,0)),"")</f>
        <v/>
      </c>
      <c r="F50" s="58">
        <f>IFERROR(INDEX('Прайс-лист'!$F$11:$F$310,MATCH(ROWS($A$16:A50),'Прайс-лист'!$U$11:$U$310,0)),"")</f>
        <v/>
      </c>
      <c r="G50" s="61">
        <f>IFERROR(INDEX('Прайс-лист'!$R$11:$R$310,MATCH(ROWS($A$16:A50),'Прайс-лист'!$U$11:$U$310,0)),"")</f>
        <v/>
      </c>
      <c r="H50" s="60">
        <f>IFERROR(INDEX('Прайс-лист'!$P$11:$P$310,MATCH(ROWS($A$16:A50),'Прайс-лист'!$U$11:$U$310,0)),"")</f>
        <v/>
      </c>
      <c r="I50" s="61">
        <f>IFERROR(INDEX('Прайс-лист'!$S$11:$S$310,MATCH(ROWS($A$16:A50),'Прайс-лист'!$U$11:$U$310,0)),"")</f>
        <v/>
      </c>
      <c r="J50" s="61">
        <f>IFERROR($I50*0.22,"")</f>
        <v/>
      </c>
      <c r="K50" s="61">
        <f>IFERROR($I50+$J50,"")</f>
        <v/>
      </c>
      <c r="L50" s="59">
        <f>IFERROR(INDEX('Прайс-лист'!$Q$11:$Q$310,MATCH(ROWS($A$16:A50),'Прайс-лист'!$U$11:$U$310,0)),"")</f>
        <v/>
      </c>
    </row>
    <row r="51" ht="15" customHeight="1" s="49">
      <c r="A51" s="64">
        <f>IFERROR(IF(INDEX('Прайс-лист'!$U$11:$U$310,MATCH(ROWS($A$16:A51),'Прайс-лист'!$U$11:$U$310,0))="","",ROWS($A$16:A51)),"")</f>
        <v/>
      </c>
      <c r="B51" s="58">
        <f>IFERROR(INDEX('Прайс-лист'!$A$11:$A$310,MATCH(ROWS($A$16:A51),'Прайс-лист'!$U$11:$U$310,0)),"")</f>
        <v/>
      </c>
      <c r="C51" s="58">
        <f>IFERROR(INDEX('Прайс-лист'!$B$11:$B$310,MATCH(ROWS($A$16:A51),'Прайс-лист'!$U$11:$U$310,0)),"")</f>
        <v/>
      </c>
      <c r="D51" s="59">
        <f>IFERROR(INDEX('Прайс-лист'!$C$11:$C$310,MATCH(ROWS($A$16:A51),'Прайс-лист'!$U$11:$U$310,0)),"")</f>
        <v/>
      </c>
      <c r="E51" s="59">
        <f>IFERROR(INDEX('Прайс-лист'!$E$11:$E$310,MATCH(ROWS($A$16:A51),'Прайс-лист'!$U$11:$U$310,0)),"")</f>
        <v/>
      </c>
      <c r="F51" s="58">
        <f>IFERROR(INDEX('Прайс-лист'!$F$11:$F$310,MATCH(ROWS($A$16:A51),'Прайс-лист'!$U$11:$U$310,0)),"")</f>
        <v/>
      </c>
      <c r="G51" s="61">
        <f>IFERROR(INDEX('Прайс-лист'!$R$11:$R$310,MATCH(ROWS($A$16:A51),'Прайс-лист'!$U$11:$U$310,0)),"")</f>
        <v/>
      </c>
      <c r="H51" s="60">
        <f>IFERROR(INDEX('Прайс-лист'!$P$11:$P$310,MATCH(ROWS($A$16:A51),'Прайс-лист'!$U$11:$U$310,0)),"")</f>
        <v/>
      </c>
      <c r="I51" s="61">
        <f>IFERROR(INDEX('Прайс-лист'!$S$11:$S$310,MATCH(ROWS($A$16:A51),'Прайс-лист'!$U$11:$U$310,0)),"")</f>
        <v/>
      </c>
      <c r="J51" s="61">
        <f>IFERROR($I51*0.22,"")</f>
        <v/>
      </c>
      <c r="K51" s="61">
        <f>IFERROR($I51+$J51,"")</f>
        <v/>
      </c>
      <c r="L51" s="59">
        <f>IFERROR(INDEX('Прайс-лист'!$Q$11:$Q$310,MATCH(ROWS($A$16:A51),'Прайс-лист'!$U$11:$U$310,0)),"")</f>
        <v/>
      </c>
    </row>
    <row r="52" ht="15" customHeight="1" s="49">
      <c r="A52" s="64">
        <f>IFERROR(IF(INDEX('Прайс-лист'!$U$11:$U$310,MATCH(ROWS($A$16:A52),'Прайс-лист'!$U$11:$U$310,0))="","",ROWS($A$16:A52)),"")</f>
        <v/>
      </c>
      <c r="B52" s="58">
        <f>IFERROR(INDEX('Прайс-лист'!$A$11:$A$310,MATCH(ROWS($A$16:A52),'Прайс-лист'!$U$11:$U$310,0)),"")</f>
        <v/>
      </c>
      <c r="C52" s="58">
        <f>IFERROR(INDEX('Прайс-лист'!$B$11:$B$310,MATCH(ROWS($A$16:A52),'Прайс-лист'!$U$11:$U$310,0)),"")</f>
        <v/>
      </c>
      <c r="D52" s="59">
        <f>IFERROR(INDEX('Прайс-лист'!$C$11:$C$310,MATCH(ROWS($A$16:A52),'Прайс-лист'!$U$11:$U$310,0)),"")</f>
        <v/>
      </c>
      <c r="E52" s="59">
        <f>IFERROR(INDEX('Прайс-лист'!$E$11:$E$310,MATCH(ROWS($A$16:A52),'Прайс-лист'!$U$11:$U$310,0)),"")</f>
        <v/>
      </c>
      <c r="F52" s="58">
        <f>IFERROR(INDEX('Прайс-лист'!$F$11:$F$310,MATCH(ROWS($A$16:A52),'Прайс-лист'!$U$11:$U$310,0)),"")</f>
        <v/>
      </c>
      <c r="G52" s="61">
        <f>IFERROR(INDEX('Прайс-лист'!$R$11:$R$310,MATCH(ROWS($A$16:A52),'Прайс-лист'!$U$11:$U$310,0)),"")</f>
        <v/>
      </c>
      <c r="H52" s="60">
        <f>IFERROR(INDEX('Прайс-лист'!$P$11:$P$310,MATCH(ROWS($A$16:A52),'Прайс-лист'!$U$11:$U$310,0)),"")</f>
        <v/>
      </c>
      <c r="I52" s="61">
        <f>IFERROR(INDEX('Прайс-лист'!$S$11:$S$310,MATCH(ROWS($A$16:A52),'Прайс-лист'!$U$11:$U$310,0)),"")</f>
        <v/>
      </c>
      <c r="J52" s="61">
        <f>IFERROR($I52*0.22,"")</f>
        <v/>
      </c>
      <c r="K52" s="61">
        <f>IFERROR($I52+$J52,"")</f>
        <v/>
      </c>
      <c r="L52" s="59">
        <f>IFERROR(INDEX('Прайс-лист'!$Q$11:$Q$310,MATCH(ROWS($A$16:A52),'Прайс-лист'!$U$11:$U$310,0)),"")</f>
        <v/>
      </c>
    </row>
    <row r="53" ht="15" customHeight="1" s="49">
      <c r="A53" s="64">
        <f>IFERROR(IF(INDEX('Прайс-лист'!$U$11:$U$310,MATCH(ROWS($A$16:A53),'Прайс-лист'!$U$11:$U$310,0))="","",ROWS($A$16:A53)),"")</f>
        <v/>
      </c>
      <c r="B53" s="58">
        <f>IFERROR(INDEX('Прайс-лист'!$A$11:$A$310,MATCH(ROWS($A$16:A53),'Прайс-лист'!$U$11:$U$310,0)),"")</f>
        <v/>
      </c>
      <c r="C53" s="58">
        <f>IFERROR(INDEX('Прайс-лист'!$B$11:$B$310,MATCH(ROWS($A$16:A53),'Прайс-лист'!$U$11:$U$310,0)),"")</f>
        <v/>
      </c>
      <c r="D53" s="59">
        <f>IFERROR(INDEX('Прайс-лист'!$C$11:$C$310,MATCH(ROWS($A$16:A53),'Прайс-лист'!$U$11:$U$310,0)),"")</f>
        <v/>
      </c>
      <c r="E53" s="59">
        <f>IFERROR(INDEX('Прайс-лист'!$E$11:$E$310,MATCH(ROWS($A$16:A53),'Прайс-лист'!$U$11:$U$310,0)),"")</f>
        <v/>
      </c>
      <c r="F53" s="58">
        <f>IFERROR(INDEX('Прайс-лист'!$F$11:$F$310,MATCH(ROWS($A$16:A53),'Прайс-лист'!$U$11:$U$310,0)),"")</f>
        <v/>
      </c>
      <c r="G53" s="61">
        <f>IFERROR(INDEX('Прайс-лист'!$R$11:$R$310,MATCH(ROWS($A$16:A53),'Прайс-лист'!$U$11:$U$310,0)),"")</f>
        <v/>
      </c>
      <c r="H53" s="60">
        <f>IFERROR(INDEX('Прайс-лист'!$P$11:$P$310,MATCH(ROWS($A$16:A53),'Прайс-лист'!$U$11:$U$310,0)),"")</f>
        <v/>
      </c>
      <c r="I53" s="61">
        <f>IFERROR(INDEX('Прайс-лист'!$S$11:$S$310,MATCH(ROWS($A$16:A53),'Прайс-лист'!$U$11:$U$310,0)),"")</f>
        <v/>
      </c>
      <c r="J53" s="61">
        <f>IFERROR($I53*0.22,"")</f>
        <v/>
      </c>
      <c r="K53" s="61">
        <f>IFERROR($I53+$J53,"")</f>
        <v/>
      </c>
      <c r="L53" s="59">
        <f>IFERROR(INDEX('Прайс-лист'!$Q$11:$Q$310,MATCH(ROWS($A$16:A53),'Прайс-лист'!$U$11:$U$310,0)),"")</f>
        <v/>
      </c>
    </row>
    <row r="54" ht="15" customHeight="1" s="49">
      <c r="A54" s="64">
        <f>IFERROR(IF(INDEX('Прайс-лист'!$U$11:$U$310,MATCH(ROWS($A$16:A54),'Прайс-лист'!$U$11:$U$310,0))="","",ROWS($A$16:A54)),"")</f>
        <v/>
      </c>
      <c r="B54" s="58">
        <f>IFERROR(INDEX('Прайс-лист'!$A$11:$A$310,MATCH(ROWS($A$16:A54),'Прайс-лист'!$U$11:$U$310,0)),"")</f>
        <v/>
      </c>
      <c r="C54" s="58">
        <f>IFERROR(INDEX('Прайс-лист'!$B$11:$B$310,MATCH(ROWS($A$16:A54),'Прайс-лист'!$U$11:$U$310,0)),"")</f>
        <v/>
      </c>
      <c r="D54" s="59">
        <f>IFERROR(INDEX('Прайс-лист'!$C$11:$C$310,MATCH(ROWS($A$16:A54),'Прайс-лист'!$U$11:$U$310,0)),"")</f>
        <v/>
      </c>
      <c r="E54" s="59">
        <f>IFERROR(INDEX('Прайс-лист'!$E$11:$E$310,MATCH(ROWS($A$16:A54),'Прайс-лист'!$U$11:$U$310,0)),"")</f>
        <v/>
      </c>
      <c r="F54" s="58">
        <f>IFERROR(INDEX('Прайс-лист'!$F$11:$F$310,MATCH(ROWS($A$16:A54),'Прайс-лист'!$U$11:$U$310,0)),"")</f>
        <v/>
      </c>
      <c r="G54" s="61">
        <f>IFERROR(INDEX('Прайс-лист'!$R$11:$R$310,MATCH(ROWS($A$16:A54),'Прайс-лист'!$U$11:$U$310,0)),"")</f>
        <v/>
      </c>
      <c r="H54" s="60">
        <f>IFERROR(INDEX('Прайс-лист'!$P$11:$P$310,MATCH(ROWS($A$16:A54),'Прайс-лист'!$U$11:$U$310,0)),"")</f>
        <v/>
      </c>
      <c r="I54" s="61">
        <f>IFERROR(INDEX('Прайс-лист'!$S$11:$S$310,MATCH(ROWS($A$16:A54),'Прайс-лист'!$U$11:$U$310,0)),"")</f>
        <v/>
      </c>
      <c r="J54" s="61">
        <f>IFERROR($I54*0.22,"")</f>
        <v/>
      </c>
      <c r="K54" s="61">
        <f>IFERROR($I54+$J54,"")</f>
        <v/>
      </c>
      <c r="L54" s="59">
        <f>IFERROR(INDEX('Прайс-лист'!$Q$11:$Q$310,MATCH(ROWS($A$16:A54),'Прайс-лист'!$U$11:$U$310,0)),"")</f>
        <v/>
      </c>
    </row>
    <row r="55" ht="15" customHeight="1" s="49">
      <c r="A55" s="64">
        <f>IFERROR(IF(INDEX('Прайс-лист'!$U$11:$U$310,MATCH(ROWS($A$16:A55),'Прайс-лист'!$U$11:$U$310,0))="","",ROWS($A$16:A55)),"")</f>
        <v/>
      </c>
      <c r="B55" s="58">
        <f>IFERROR(INDEX('Прайс-лист'!$A$11:$A$310,MATCH(ROWS($A$16:A55),'Прайс-лист'!$U$11:$U$310,0)),"")</f>
        <v/>
      </c>
      <c r="C55" s="58">
        <f>IFERROR(INDEX('Прайс-лист'!$B$11:$B$310,MATCH(ROWS($A$16:A55),'Прайс-лист'!$U$11:$U$310,0)),"")</f>
        <v/>
      </c>
      <c r="D55" s="59">
        <f>IFERROR(INDEX('Прайс-лист'!$C$11:$C$310,MATCH(ROWS($A$16:A55),'Прайс-лист'!$U$11:$U$310,0)),"")</f>
        <v/>
      </c>
      <c r="E55" s="59">
        <f>IFERROR(INDEX('Прайс-лист'!$E$11:$E$310,MATCH(ROWS($A$16:A55),'Прайс-лист'!$U$11:$U$310,0)),"")</f>
        <v/>
      </c>
      <c r="F55" s="58">
        <f>IFERROR(INDEX('Прайс-лист'!$F$11:$F$310,MATCH(ROWS($A$16:A55),'Прайс-лист'!$U$11:$U$310,0)),"")</f>
        <v/>
      </c>
      <c r="G55" s="61">
        <f>IFERROR(INDEX('Прайс-лист'!$R$11:$R$310,MATCH(ROWS($A$16:A55),'Прайс-лист'!$U$11:$U$310,0)),"")</f>
        <v/>
      </c>
      <c r="H55" s="60">
        <f>IFERROR(INDEX('Прайс-лист'!$P$11:$P$310,MATCH(ROWS($A$16:A55),'Прайс-лист'!$U$11:$U$310,0)),"")</f>
        <v/>
      </c>
      <c r="I55" s="61">
        <f>IFERROR(INDEX('Прайс-лист'!$S$11:$S$310,MATCH(ROWS($A$16:A55),'Прайс-лист'!$U$11:$U$310,0)),"")</f>
        <v/>
      </c>
      <c r="J55" s="61">
        <f>IFERROR($I55*0.22,"")</f>
        <v/>
      </c>
      <c r="K55" s="61">
        <f>IFERROR($I55+$J55,"")</f>
        <v/>
      </c>
      <c r="L55" s="59">
        <f>IFERROR(INDEX('Прайс-лист'!$Q$11:$Q$310,MATCH(ROWS($A$16:A55),'Прайс-лист'!$U$11:$U$310,0)),"")</f>
        <v/>
      </c>
    </row>
    <row r="56" ht="15" customHeight="1" s="49">
      <c r="A56" s="64">
        <f>IFERROR(IF(INDEX('Прайс-лист'!$U$11:$U$310,MATCH(ROWS($A$16:A56),'Прайс-лист'!$U$11:$U$310,0))="","",ROWS($A$16:A56)),"")</f>
        <v/>
      </c>
      <c r="B56" s="58">
        <f>IFERROR(INDEX('Прайс-лист'!$A$11:$A$310,MATCH(ROWS($A$16:A56),'Прайс-лист'!$U$11:$U$310,0)),"")</f>
        <v/>
      </c>
      <c r="C56" s="58">
        <f>IFERROR(INDEX('Прайс-лист'!$B$11:$B$310,MATCH(ROWS($A$16:A56),'Прайс-лист'!$U$11:$U$310,0)),"")</f>
        <v/>
      </c>
      <c r="D56" s="59">
        <f>IFERROR(INDEX('Прайс-лист'!$C$11:$C$310,MATCH(ROWS($A$16:A56),'Прайс-лист'!$U$11:$U$310,0)),"")</f>
        <v/>
      </c>
      <c r="E56" s="59">
        <f>IFERROR(INDEX('Прайс-лист'!$E$11:$E$310,MATCH(ROWS($A$16:A56),'Прайс-лист'!$U$11:$U$310,0)),"")</f>
        <v/>
      </c>
      <c r="F56" s="58">
        <f>IFERROR(INDEX('Прайс-лист'!$F$11:$F$310,MATCH(ROWS($A$16:A56),'Прайс-лист'!$U$11:$U$310,0)),"")</f>
        <v/>
      </c>
      <c r="G56" s="61">
        <f>IFERROR(INDEX('Прайс-лист'!$R$11:$R$310,MATCH(ROWS($A$16:A56),'Прайс-лист'!$U$11:$U$310,0)),"")</f>
        <v/>
      </c>
      <c r="H56" s="60">
        <f>IFERROR(INDEX('Прайс-лист'!$P$11:$P$310,MATCH(ROWS($A$16:A56),'Прайс-лист'!$U$11:$U$310,0)),"")</f>
        <v/>
      </c>
      <c r="I56" s="61">
        <f>IFERROR(INDEX('Прайс-лист'!$S$11:$S$310,MATCH(ROWS($A$16:A56),'Прайс-лист'!$U$11:$U$310,0)),"")</f>
        <v/>
      </c>
      <c r="J56" s="61">
        <f>IFERROR($I56*0.22,"")</f>
        <v/>
      </c>
      <c r="K56" s="61">
        <f>IFERROR($I56+$J56,"")</f>
        <v/>
      </c>
      <c r="L56" s="59">
        <f>IFERROR(INDEX('Прайс-лист'!$Q$11:$Q$310,MATCH(ROWS($A$16:A56),'Прайс-лист'!$U$11:$U$310,0)),"")</f>
        <v/>
      </c>
    </row>
    <row r="57" ht="15" customHeight="1" s="49">
      <c r="A57" s="64">
        <f>IFERROR(IF(INDEX('Прайс-лист'!$U$11:$U$310,MATCH(ROWS($A$16:A57),'Прайс-лист'!$U$11:$U$310,0))="","",ROWS($A$16:A57)),"")</f>
        <v/>
      </c>
      <c r="B57" s="58">
        <f>IFERROR(INDEX('Прайс-лист'!$A$11:$A$310,MATCH(ROWS($A$16:A57),'Прайс-лист'!$U$11:$U$310,0)),"")</f>
        <v/>
      </c>
      <c r="C57" s="58">
        <f>IFERROR(INDEX('Прайс-лист'!$B$11:$B$310,MATCH(ROWS($A$16:A57),'Прайс-лист'!$U$11:$U$310,0)),"")</f>
        <v/>
      </c>
      <c r="D57" s="59">
        <f>IFERROR(INDEX('Прайс-лист'!$C$11:$C$310,MATCH(ROWS($A$16:A57),'Прайс-лист'!$U$11:$U$310,0)),"")</f>
        <v/>
      </c>
      <c r="E57" s="59">
        <f>IFERROR(INDEX('Прайс-лист'!$E$11:$E$310,MATCH(ROWS($A$16:A57),'Прайс-лист'!$U$11:$U$310,0)),"")</f>
        <v/>
      </c>
      <c r="F57" s="58">
        <f>IFERROR(INDEX('Прайс-лист'!$F$11:$F$310,MATCH(ROWS($A$16:A57),'Прайс-лист'!$U$11:$U$310,0)),"")</f>
        <v/>
      </c>
      <c r="G57" s="61">
        <f>IFERROR(INDEX('Прайс-лист'!$R$11:$R$310,MATCH(ROWS($A$16:A57),'Прайс-лист'!$U$11:$U$310,0)),"")</f>
        <v/>
      </c>
      <c r="H57" s="60">
        <f>IFERROR(INDEX('Прайс-лист'!$P$11:$P$310,MATCH(ROWS($A$16:A57),'Прайс-лист'!$U$11:$U$310,0)),"")</f>
        <v/>
      </c>
      <c r="I57" s="61">
        <f>IFERROR(INDEX('Прайс-лист'!$S$11:$S$310,MATCH(ROWS($A$16:A57),'Прайс-лист'!$U$11:$U$310,0)),"")</f>
        <v/>
      </c>
      <c r="J57" s="61">
        <f>IFERROR($I57*0.22,"")</f>
        <v/>
      </c>
      <c r="K57" s="61">
        <f>IFERROR($I57+$J57,"")</f>
        <v/>
      </c>
      <c r="L57" s="59">
        <f>IFERROR(INDEX('Прайс-лист'!$Q$11:$Q$310,MATCH(ROWS($A$16:A57),'Прайс-лист'!$U$11:$U$310,0)),"")</f>
        <v/>
      </c>
    </row>
    <row r="58" ht="15" customHeight="1" s="49">
      <c r="A58" s="64">
        <f>IFERROR(IF(INDEX('Прайс-лист'!$U$11:$U$310,MATCH(ROWS($A$16:A58),'Прайс-лист'!$U$11:$U$310,0))="","",ROWS($A$16:A58)),"")</f>
        <v/>
      </c>
      <c r="B58" s="58">
        <f>IFERROR(INDEX('Прайс-лист'!$A$11:$A$310,MATCH(ROWS($A$16:A58),'Прайс-лист'!$U$11:$U$310,0)),"")</f>
        <v/>
      </c>
      <c r="C58" s="58">
        <f>IFERROR(INDEX('Прайс-лист'!$B$11:$B$310,MATCH(ROWS($A$16:A58),'Прайс-лист'!$U$11:$U$310,0)),"")</f>
        <v/>
      </c>
      <c r="D58" s="59">
        <f>IFERROR(INDEX('Прайс-лист'!$C$11:$C$310,MATCH(ROWS($A$16:A58),'Прайс-лист'!$U$11:$U$310,0)),"")</f>
        <v/>
      </c>
      <c r="E58" s="59">
        <f>IFERROR(INDEX('Прайс-лист'!$E$11:$E$310,MATCH(ROWS($A$16:A58),'Прайс-лист'!$U$11:$U$310,0)),"")</f>
        <v/>
      </c>
      <c r="F58" s="58">
        <f>IFERROR(INDEX('Прайс-лист'!$F$11:$F$310,MATCH(ROWS($A$16:A58),'Прайс-лист'!$U$11:$U$310,0)),"")</f>
        <v/>
      </c>
      <c r="G58" s="61">
        <f>IFERROR(INDEX('Прайс-лист'!$R$11:$R$310,MATCH(ROWS($A$16:A58),'Прайс-лист'!$U$11:$U$310,0)),"")</f>
        <v/>
      </c>
      <c r="H58" s="60">
        <f>IFERROR(INDEX('Прайс-лист'!$P$11:$P$310,MATCH(ROWS($A$16:A58),'Прайс-лист'!$U$11:$U$310,0)),"")</f>
        <v/>
      </c>
      <c r="I58" s="61">
        <f>IFERROR(INDEX('Прайс-лист'!$S$11:$S$310,MATCH(ROWS($A$16:A58),'Прайс-лист'!$U$11:$U$310,0)),"")</f>
        <v/>
      </c>
      <c r="J58" s="61">
        <f>IFERROR($I58*0.22,"")</f>
        <v/>
      </c>
      <c r="K58" s="61">
        <f>IFERROR($I58+$J58,"")</f>
        <v/>
      </c>
      <c r="L58" s="59">
        <f>IFERROR(INDEX('Прайс-лист'!$Q$11:$Q$310,MATCH(ROWS($A$16:A58),'Прайс-лист'!$U$11:$U$310,0)),"")</f>
        <v/>
      </c>
    </row>
    <row r="59" ht="15" customHeight="1" s="49">
      <c r="A59" s="64">
        <f>IFERROR(IF(INDEX('Прайс-лист'!$U$11:$U$310,MATCH(ROWS($A$16:A59),'Прайс-лист'!$U$11:$U$310,0))="","",ROWS($A$16:A59)),"")</f>
        <v/>
      </c>
      <c r="B59" s="58">
        <f>IFERROR(INDEX('Прайс-лист'!$A$11:$A$310,MATCH(ROWS($A$16:A59),'Прайс-лист'!$U$11:$U$310,0)),"")</f>
        <v/>
      </c>
      <c r="C59" s="58">
        <f>IFERROR(INDEX('Прайс-лист'!$B$11:$B$310,MATCH(ROWS($A$16:A59),'Прайс-лист'!$U$11:$U$310,0)),"")</f>
        <v/>
      </c>
      <c r="D59" s="59">
        <f>IFERROR(INDEX('Прайс-лист'!$C$11:$C$310,MATCH(ROWS($A$16:A59),'Прайс-лист'!$U$11:$U$310,0)),"")</f>
        <v/>
      </c>
      <c r="E59" s="59">
        <f>IFERROR(INDEX('Прайс-лист'!$E$11:$E$310,MATCH(ROWS($A$16:A59),'Прайс-лист'!$U$11:$U$310,0)),"")</f>
        <v/>
      </c>
      <c r="F59" s="58">
        <f>IFERROR(INDEX('Прайс-лист'!$F$11:$F$310,MATCH(ROWS($A$16:A59),'Прайс-лист'!$U$11:$U$310,0)),"")</f>
        <v/>
      </c>
      <c r="G59" s="61">
        <f>IFERROR(INDEX('Прайс-лист'!$R$11:$R$310,MATCH(ROWS($A$16:A59),'Прайс-лист'!$U$11:$U$310,0)),"")</f>
        <v/>
      </c>
      <c r="H59" s="60">
        <f>IFERROR(INDEX('Прайс-лист'!$P$11:$P$310,MATCH(ROWS($A$16:A59),'Прайс-лист'!$U$11:$U$310,0)),"")</f>
        <v/>
      </c>
      <c r="I59" s="61">
        <f>IFERROR(INDEX('Прайс-лист'!$S$11:$S$310,MATCH(ROWS($A$16:A59),'Прайс-лист'!$U$11:$U$310,0)),"")</f>
        <v/>
      </c>
      <c r="J59" s="61">
        <f>IFERROR($I59*0.22,"")</f>
        <v/>
      </c>
      <c r="K59" s="61">
        <f>IFERROR($I59+$J59,"")</f>
        <v/>
      </c>
      <c r="L59" s="59">
        <f>IFERROR(INDEX('Прайс-лист'!$Q$11:$Q$310,MATCH(ROWS($A$16:A59),'Прайс-лист'!$U$11:$U$310,0)),"")</f>
        <v/>
      </c>
    </row>
    <row r="60" ht="15" customHeight="1" s="49">
      <c r="A60" s="64">
        <f>IFERROR(IF(INDEX('Прайс-лист'!$U$11:$U$310,MATCH(ROWS($A$16:A60),'Прайс-лист'!$U$11:$U$310,0))="","",ROWS($A$16:A60)),"")</f>
        <v/>
      </c>
      <c r="B60" s="58">
        <f>IFERROR(INDEX('Прайс-лист'!$A$11:$A$310,MATCH(ROWS($A$16:A60),'Прайс-лист'!$U$11:$U$310,0)),"")</f>
        <v/>
      </c>
      <c r="C60" s="58">
        <f>IFERROR(INDEX('Прайс-лист'!$B$11:$B$310,MATCH(ROWS($A$16:A60),'Прайс-лист'!$U$11:$U$310,0)),"")</f>
        <v/>
      </c>
      <c r="D60" s="59">
        <f>IFERROR(INDEX('Прайс-лист'!$C$11:$C$310,MATCH(ROWS($A$16:A60),'Прайс-лист'!$U$11:$U$310,0)),"")</f>
        <v/>
      </c>
      <c r="E60" s="59">
        <f>IFERROR(INDEX('Прайс-лист'!$E$11:$E$310,MATCH(ROWS($A$16:A60),'Прайс-лист'!$U$11:$U$310,0)),"")</f>
        <v/>
      </c>
      <c r="F60" s="58">
        <f>IFERROR(INDEX('Прайс-лист'!$F$11:$F$310,MATCH(ROWS($A$16:A60),'Прайс-лист'!$U$11:$U$310,0)),"")</f>
        <v/>
      </c>
      <c r="G60" s="61">
        <f>IFERROR(INDEX('Прайс-лист'!$R$11:$R$310,MATCH(ROWS($A$16:A60),'Прайс-лист'!$U$11:$U$310,0)),"")</f>
        <v/>
      </c>
      <c r="H60" s="60">
        <f>IFERROR(INDEX('Прайс-лист'!$P$11:$P$310,MATCH(ROWS($A$16:A60),'Прайс-лист'!$U$11:$U$310,0)),"")</f>
        <v/>
      </c>
      <c r="I60" s="61">
        <f>IFERROR(INDEX('Прайс-лист'!$S$11:$S$310,MATCH(ROWS($A$16:A60),'Прайс-лист'!$U$11:$U$310,0)),"")</f>
        <v/>
      </c>
      <c r="J60" s="61">
        <f>IFERROR($I60*0.22,"")</f>
        <v/>
      </c>
      <c r="K60" s="61">
        <f>IFERROR($I60+$J60,"")</f>
        <v/>
      </c>
      <c r="L60" s="59">
        <f>IFERROR(INDEX('Прайс-лист'!$Q$11:$Q$310,MATCH(ROWS($A$16:A60),'Прайс-лист'!$U$11:$U$310,0)),"")</f>
        <v/>
      </c>
    </row>
    <row r="61" ht="15" customHeight="1" s="49">
      <c r="A61" s="64">
        <f>IFERROR(IF(INDEX('Прайс-лист'!$U$11:$U$310,MATCH(ROWS($A$16:A61),'Прайс-лист'!$U$11:$U$310,0))="","",ROWS($A$16:A61)),"")</f>
        <v/>
      </c>
      <c r="B61" s="58">
        <f>IFERROR(INDEX('Прайс-лист'!$A$11:$A$310,MATCH(ROWS($A$16:A61),'Прайс-лист'!$U$11:$U$310,0)),"")</f>
        <v/>
      </c>
      <c r="C61" s="58">
        <f>IFERROR(INDEX('Прайс-лист'!$B$11:$B$310,MATCH(ROWS($A$16:A61),'Прайс-лист'!$U$11:$U$310,0)),"")</f>
        <v/>
      </c>
      <c r="D61" s="59">
        <f>IFERROR(INDEX('Прайс-лист'!$C$11:$C$310,MATCH(ROWS($A$16:A61),'Прайс-лист'!$U$11:$U$310,0)),"")</f>
        <v/>
      </c>
      <c r="E61" s="59">
        <f>IFERROR(INDEX('Прайс-лист'!$E$11:$E$310,MATCH(ROWS($A$16:A61),'Прайс-лист'!$U$11:$U$310,0)),"")</f>
        <v/>
      </c>
      <c r="F61" s="58">
        <f>IFERROR(INDEX('Прайс-лист'!$F$11:$F$310,MATCH(ROWS($A$16:A61),'Прайс-лист'!$U$11:$U$310,0)),"")</f>
        <v/>
      </c>
      <c r="G61" s="61">
        <f>IFERROR(INDEX('Прайс-лист'!$R$11:$R$310,MATCH(ROWS($A$16:A61),'Прайс-лист'!$U$11:$U$310,0)),"")</f>
        <v/>
      </c>
      <c r="H61" s="60">
        <f>IFERROR(INDEX('Прайс-лист'!$P$11:$P$310,MATCH(ROWS($A$16:A61),'Прайс-лист'!$U$11:$U$310,0)),"")</f>
        <v/>
      </c>
      <c r="I61" s="61">
        <f>IFERROR(INDEX('Прайс-лист'!$S$11:$S$310,MATCH(ROWS($A$16:A61),'Прайс-лист'!$U$11:$U$310,0)),"")</f>
        <v/>
      </c>
      <c r="J61" s="61">
        <f>IFERROR($I61*0.22,"")</f>
        <v/>
      </c>
      <c r="K61" s="61">
        <f>IFERROR($I61+$J61,"")</f>
        <v/>
      </c>
      <c r="L61" s="59">
        <f>IFERROR(INDEX('Прайс-лист'!$Q$11:$Q$310,MATCH(ROWS($A$16:A61),'Прайс-лист'!$U$11:$U$310,0)),"")</f>
        <v/>
      </c>
    </row>
    <row r="62" ht="15" customHeight="1" s="49">
      <c r="A62" s="64">
        <f>IFERROR(IF(INDEX('Прайс-лист'!$U$11:$U$310,MATCH(ROWS($A$16:A62),'Прайс-лист'!$U$11:$U$310,0))="","",ROWS($A$16:A62)),"")</f>
        <v/>
      </c>
      <c r="B62" s="58">
        <f>IFERROR(INDEX('Прайс-лист'!$A$11:$A$310,MATCH(ROWS($A$16:A62),'Прайс-лист'!$U$11:$U$310,0)),"")</f>
        <v/>
      </c>
      <c r="C62" s="58">
        <f>IFERROR(INDEX('Прайс-лист'!$B$11:$B$310,MATCH(ROWS($A$16:A62),'Прайс-лист'!$U$11:$U$310,0)),"")</f>
        <v/>
      </c>
      <c r="D62" s="59">
        <f>IFERROR(INDEX('Прайс-лист'!$C$11:$C$310,MATCH(ROWS($A$16:A62),'Прайс-лист'!$U$11:$U$310,0)),"")</f>
        <v/>
      </c>
      <c r="E62" s="59">
        <f>IFERROR(INDEX('Прайс-лист'!$E$11:$E$310,MATCH(ROWS($A$16:A62),'Прайс-лист'!$U$11:$U$310,0)),"")</f>
        <v/>
      </c>
      <c r="F62" s="58">
        <f>IFERROR(INDEX('Прайс-лист'!$F$11:$F$310,MATCH(ROWS($A$16:A62),'Прайс-лист'!$U$11:$U$310,0)),"")</f>
        <v/>
      </c>
      <c r="G62" s="61">
        <f>IFERROR(INDEX('Прайс-лист'!$R$11:$R$310,MATCH(ROWS($A$16:A62),'Прайс-лист'!$U$11:$U$310,0)),"")</f>
        <v/>
      </c>
      <c r="H62" s="60">
        <f>IFERROR(INDEX('Прайс-лист'!$P$11:$P$310,MATCH(ROWS($A$16:A62),'Прайс-лист'!$U$11:$U$310,0)),"")</f>
        <v/>
      </c>
      <c r="I62" s="61">
        <f>IFERROR(INDEX('Прайс-лист'!$S$11:$S$310,MATCH(ROWS($A$16:A62),'Прайс-лист'!$U$11:$U$310,0)),"")</f>
        <v/>
      </c>
      <c r="J62" s="61">
        <f>IFERROR($I62*0.22,"")</f>
        <v/>
      </c>
      <c r="K62" s="61">
        <f>IFERROR($I62+$J62,"")</f>
        <v/>
      </c>
      <c r="L62" s="59">
        <f>IFERROR(INDEX('Прайс-лист'!$Q$11:$Q$310,MATCH(ROWS($A$16:A62),'Прайс-лист'!$U$11:$U$310,0)),"")</f>
        <v/>
      </c>
    </row>
    <row r="63" ht="15" customHeight="1" s="49">
      <c r="A63" s="64">
        <f>IFERROR(IF(INDEX('Прайс-лист'!$U$11:$U$310,MATCH(ROWS($A$16:A63),'Прайс-лист'!$U$11:$U$310,0))="","",ROWS($A$16:A63)),"")</f>
        <v/>
      </c>
      <c r="B63" s="58">
        <f>IFERROR(INDEX('Прайс-лист'!$A$11:$A$310,MATCH(ROWS($A$16:A63),'Прайс-лист'!$U$11:$U$310,0)),"")</f>
        <v/>
      </c>
      <c r="C63" s="58">
        <f>IFERROR(INDEX('Прайс-лист'!$B$11:$B$310,MATCH(ROWS($A$16:A63),'Прайс-лист'!$U$11:$U$310,0)),"")</f>
        <v/>
      </c>
      <c r="D63" s="59">
        <f>IFERROR(INDEX('Прайс-лист'!$C$11:$C$310,MATCH(ROWS($A$16:A63),'Прайс-лист'!$U$11:$U$310,0)),"")</f>
        <v/>
      </c>
      <c r="E63" s="59">
        <f>IFERROR(INDEX('Прайс-лист'!$E$11:$E$310,MATCH(ROWS($A$16:A63),'Прайс-лист'!$U$11:$U$310,0)),"")</f>
        <v/>
      </c>
      <c r="F63" s="58">
        <f>IFERROR(INDEX('Прайс-лист'!$F$11:$F$310,MATCH(ROWS($A$16:A63),'Прайс-лист'!$U$11:$U$310,0)),"")</f>
        <v/>
      </c>
      <c r="G63" s="61">
        <f>IFERROR(INDEX('Прайс-лист'!$R$11:$R$310,MATCH(ROWS($A$16:A63),'Прайс-лист'!$U$11:$U$310,0)),"")</f>
        <v/>
      </c>
      <c r="H63" s="60">
        <f>IFERROR(INDEX('Прайс-лист'!$P$11:$P$310,MATCH(ROWS($A$16:A63),'Прайс-лист'!$U$11:$U$310,0)),"")</f>
        <v/>
      </c>
      <c r="I63" s="61">
        <f>IFERROR(INDEX('Прайс-лист'!$S$11:$S$310,MATCH(ROWS($A$16:A63),'Прайс-лист'!$U$11:$U$310,0)),"")</f>
        <v/>
      </c>
      <c r="J63" s="61">
        <f>IFERROR($I63*0.22,"")</f>
        <v/>
      </c>
      <c r="K63" s="61">
        <f>IFERROR($I63+$J63,"")</f>
        <v/>
      </c>
      <c r="L63" s="59">
        <f>IFERROR(INDEX('Прайс-лист'!$Q$11:$Q$310,MATCH(ROWS($A$16:A63),'Прайс-лист'!$U$11:$U$310,0)),"")</f>
        <v/>
      </c>
    </row>
    <row r="64" ht="15" customHeight="1" s="49">
      <c r="A64" s="64">
        <f>IFERROR(IF(INDEX('Прайс-лист'!$U$11:$U$310,MATCH(ROWS($A$16:A64),'Прайс-лист'!$U$11:$U$310,0))="","",ROWS($A$16:A64)),"")</f>
        <v/>
      </c>
      <c r="B64" s="58">
        <f>IFERROR(INDEX('Прайс-лист'!$A$11:$A$310,MATCH(ROWS($A$16:A64),'Прайс-лист'!$U$11:$U$310,0)),"")</f>
        <v/>
      </c>
      <c r="C64" s="58">
        <f>IFERROR(INDEX('Прайс-лист'!$B$11:$B$310,MATCH(ROWS($A$16:A64),'Прайс-лист'!$U$11:$U$310,0)),"")</f>
        <v/>
      </c>
      <c r="D64" s="59">
        <f>IFERROR(INDEX('Прайс-лист'!$C$11:$C$310,MATCH(ROWS($A$16:A64),'Прайс-лист'!$U$11:$U$310,0)),"")</f>
        <v/>
      </c>
      <c r="E64" s="59">
        <f>IFERROR(INDEX('Прайс-лист'!$E$11:$E$310,MATCH(ROWS($A$16:A64),'Прайс-лист'!$U$11:$U$310,0)),"")</f>
        <v/>
      </c>
      <c r="F64" s="58">
        <f>IFERROR(INDEX('Прайс-лист'!$F$11:$F$310,MATCH(ROWS($A$16:A64),'Прайс-лист'!$U$11:$U$310,0)),"")</f>
        <v/>
      </c>
      <c r="G64" s="61">
        <f>IFERROR(INDEX('Прайс-лист'!$R$11:$R$310,MATCH(ROWS($A$16:A64),'Прайс-лист'!$U$11:$U$310,0)),"")</f>
        <v/>
      </c>
      <c r="H64" s="60">
        <f>IFERROR(INDEX('Прайс-лист'!$P$11:$P$310,MATCH(ROWS($A$16:A64),'Прайс-лист'!$U$11:$U$310,0)),"")</f>
        <v/>
      </c>
      <c r="I64" s="61">
        <f>IFERROR(INDEX('Прайс-лист'!$S$11:$S$310,MATCH(ROWS($A$16:A64),'Прайс-лист'!$U$11:$U$310,0)),"")</f>
        <v/>
      </c>
      <c r="J64" s="61">
        <f>IFERROR($I64*0.22,"")</f>
        <v/>
      </c>
      <c r="K64" s="61">
        <f>IFERROR($I64+$J64,"")</f>
        <v/>
      </c>
      <c r="L64" s="59">
        <f>IFERROR(INDEX('Прайс-лист'!$Q$11:$Q$310,MATCH(ROWS($A$16:A64),'Прайс-лист'!$U$11:$U$310,0)),"")</f>
        <v/>
      </c>
    </row>
    <row r="65" ht="15" customHeight="1" s="49">
      <c r="A65" s="64">
        <f>IFERROR(IF(INDEX('Прайс-лист'!$U$11:$U$310,MATCH(ROWS($A$16:A65),'Прайс-лист'!$U$11:$U$310,0))="","",ROWS($A$16:A65)),"")</f>
        <v/>
      </c>
      <c r="B65" s="58">
        <f>IFERROR(INDEX('Прайс-лист'!$A$11:$A$310,MATCH(ROWS($A$16:A65),'Прайс-лист'!$U$11:$U$310,0)),"")</f>
        <v/>
      </c>
      <c r="C65" s="58">
        <f>IFERROR(INDEX('Прайс-лист'!$B$11:$B$310,MATCH(ROWS($A$16:A65),'Прайс-лист'!$U$11:$U$310,0)),"")</f>
        <v/>
      </c>
      <c r="D65" s="59">
        <f>IFERROR(INDEX('Прайс-лист'!$C$11:$C$310,MATCH(ROWS($A$16:A65),'Прайс-лист'!$U$11:$U$310,0)),"")</f>
        <v/>
      </c>
      <c r="E65" s="59">
        <f>IFERROR(INDEX('Прайс-лист'!$E$11:$E$310,MATCH(ROWS($A$16:A65),'Прайс-лист'!$U$11:$U$310,0)),"")</f>
        <v/>
      </c>
      <c r="F65" s="58">
        <f>IFERROR(INDEX('Прайс-лист'!$F$11:$F$310,MATCH(ROWS($A$16:A65),'Прайс-лист'!$U$11:$U$310,0)),"")</f>
        <v/>
      </c>
      <c r="G65" s="61">
        <f>IFERROR(INDEX('Прайс-лист'!$R$11:$R$310,MATCH(ROWS($A$16:A65),'Прайс-лист'!$U$11:$U$310,0)),"")</f>
        <v/>
      </c>
      <c r="H65" s="60">
        <f>IFERROR(INDEX('Прайс-лист'!$P$11:$P$310,MATCH(ROWS($A$16:A65),'Прайс-лист'!$U$11:$U$310,0)),"")</f>
        <v/>
      </c>
      <c r="I65" s="61">
        <f>IFERROR(INDEX('Прайс-лист'!$S$11:$S$310,MATCH(ROWS($A$16:A65),'Прайс-лист'!$U$11:$U$310,0)),"")</f>
        <v/>
      </c>
      <c r="J65" s="61">
        <f>IFERROR($I65*0.22,"")</f>
        <v/>
      </c>
      <c r="K65" s="61">
        <f>IFERROR($I65+$J65,"")</f>
        <v/>
      </c>
      <c r="L65" s="59">
        <f>IFERROR(INDEX('Прайс-лист'!$Q$11:$Q$310,MATCH(ROWS($A$16:A65),'Прайс-лист'!$U$11:$U$310,0)),"")</f>
        <v/>
      </c>
    </row>
    <row r="66" ht="15" customHeight="1" s="49">
      <c r="A66" s="64">
        <f>IFERROR(IF(INDEX('Прайс-лист'!$U$11:$U$310,MATCH(ROWS($A$16:A66),'Прайс-лист'!$U$11:$U$310,0))="","",ROWS($A$16:A66)),"")</f>
        <v/>
      </c>
      <c r="B66" s="58">
        <f>IFERROR(INDEX('Прайс-лист'!$A$11:$A$310,MATCH(ROWS($A$16:A66),'Прайс-лист'!$U$11:$U$310,0)),"")</f>
        <v/>
      </c>
      <c r="C66" s="58">
        <f>IFERROR(INDEX('Прайс-лист'!$B$11:$B$310,MATCH(ROWS($A$16:A66),'Прайс-лист'!$U$11:$U$310,0)),"")</f>
        <v/>
      </c>
      <c r="D66" s="59">
        <f>IFERROR(INDEX('Прайс-лист'!$C$11:$C$310,MATCH(ROWS($A$16:A66),'Прайс-лист'!$U$11:$U$310,0)),"")</f>
        <v/>
      </c>
      <c r="E66" s="59">
        <f>IFERROR(INDEX('Прайс-лист'!$E$11:$E$310,MATCH(ROWS($A$16:A66),'Прайс-лист'!$U$11:$U$310,0)),"")</f>
        <v/>
      </c>
      <c r="F66" s="58">
        <f>IFERROR(INDEX('Прайс-лист'!$F$11:$F$310,MATCH(ROWS($A$16:A66),'Прайс-лист'!$U$11:$U$310,0)),"")</f>
        <v/>
      </c>
      <c r="G66" s="61">
        <f>IFERROR(INDEX('Прайс-лист'!$R$11:$R$310,MATCH(ROWS($A$16:A66),'Прайс-лист'!$U$11:$U$310,0)),"")</f>
        <v/>
      </c>
      <c r="H66" s="60">
        <f>IFERROR(INDEX('Прайс-лист'!$P$11:$P$310,MATCH(ROWS($A$16:A66),'Прайс-лист'!$U$11:$U$310,0)),"")</f>
        <v/>
      </c>
      <c r="I66" s="61">
        <f>IFERROR(INDEX('Прайс-лист'!$S$11:$S$310,MATCH(ROWS($A$16:A66),'Прайс-лист'!$U$11:$U$310,0)),"")</f>
        <v/>
      </c>
      <c r="J66" s="61">
        <f>IFERROR($I66*0.22,"")</f>
        <v/>
      </c>
      <c r="K66" s="61">
        <f>IFERROR($I66+$J66,"")</f>
        <v/>
      </c>
      <c r="L66" s="59">
        <f>IFERROR(INDEX('Прайс-лист'!$Q$11:$Q$310,MATCH(ROWS($A$16:A66),'Прайс-лист'!$U$11:$U$310,0)),"")</f>
        <v/>
      </c>
    </row>
    <row r="67" ht="15" customHeight="1" s="49">
      <c r="A67" s="64">
        <f>IFERROR(IF(INDEX('Прайс-лист'!$U$11:$U$310,MATCH(ROWS($A$16:A67),'Прайс-лист'!$U$11:$U$310,0))="","",ROWS($A$16:A67)),"")</f>
        <v/>
      </c>
      <c r="B67" s="58">
        <f>IFERROR(INDEX('Прайс-лист'!$A$11:$A$310,MATCH(ROWS($A$16:A67),'Прайс-лист'!$U$11:$U$310,0)),"")</f>
        <v/>
      </c>
      <c r="C67" s="58">
        <f>IFERROR(INDEX('Прайс-лист'!$B$11:$B$310,MATCH(ROWS($A$16:A67),'Прайс-лист'!$U$11:$U$310,0)),"")</f>
        <v/>
      </c>
      <c r="D67" s="59">
        <f>IFERROR(INDEX('Прайс-лист'!$C$11:$C$310,MATCH(ROWS($A$16:A67),'Прайс-лист'!$U$11:$U$310,0)),"")</f>
        <v/>
      </c>
      <c r="E67" s="59">
        <f>IFERROR(INDEX('Прайс-лист'!$E$11:$E$310,MATCH(ROWS($A$16:A67),'Прайс-лист'!$U$11:$U$310,0)),"")</f>
        <v/>
      </c>
      <c r="F67" s="58">
        <f>IFERROR(INDEX('Прайс-лист'!$F$11:$F$310,MATCH(ROWS($A$16:A67),'Прайс-лист'!$U$11:$U$310,0)),"")</f>
        <v/>
      </c>
      <c r="G67" s="61">
        <f>IFERROR(INDEX('Прайс-лист'!$R$11:$R$310,MATCH(ROWS($A$16:A67),'Прайс-лист'!$U$11:$U$310,0)),"")</f>
        <v/>
      </c>
      <c r="H67" s="60">
        <f>IFERROR(INDEX('Прайс-лист'!$P$11:$P$310,MATCH(ROWS($A$16:A67),'Прайс-лист'!$U$11:$U$310,0)),"")</f>
        <v/>
      </c>
      <c r="I67" s="61">
        <f>IFERROR(INDEX('Прайс-лист'!$S$11:$S$310,MATCH(ROWS($A$16:A67),'Прайс-лист'!$U$11:$U$310,0)),"")</f>
        <v/>
      </c>
      <c r="J67" s="61">
        <f>IFERROR($I67*0.22,"")</f>
        <v/>
      </c>
      <c r="K67" s="61">
        <f>IFERROR($I67+$J67,"")</f>
        <v/>
      </c>
      <c r="L67" s="59">
        <f>IFERROR(INDEX('Прайс-лист'!$Q$11:$Q$310,MATCH(ROWS($A$16:A67),'Прайс-лист'!$U$11:$U$310,0)),"")</f>
        <v/>
      </c>
    </row>
    <row r="68" ht="15" customHeight="1" s="49">
      <c r="A68" s="64">
        <f>IFERROR(IF(INDEX('Прайс-лист'!$U$11:$U$310,MATCH(ROWS($A$16:A68),'Прайс-лист'!$U$11:$U$310,0))="","",ROWS($A$16:A68)),"")</f>
        <v/>
      </c>
      <c r="B68" s="58">
        <f>IFERROR(INDEX('Прайс-лист'!$A$11:$A$310,MATCH(ROWS($A$16:A68),'Прайс-лист'!$U$11:$U$310,0)),"")</f>
        <v/>
      </c>
      <c r="C68" s="58">
        <f>IFERROR(INDEX('Прайс-лист'!$B$11:$B$310,MATCH(ROWS($A$16:A68),'Прайс-лист'!$U$11:$U$310,0)),"")</f>
        <v/>
      </c>
      <c r="D68" s="59">
        <f>IFERROR(INDEX('Прайс-лист'!$C$11:$C$310,MATCH(ROWS($A$16:A68),'Прайс-лист'!$U$11:$U$310,0)),"")</f>
        <v/>
      </c>
      <c r="E68" s="59">
        <f>IFERROR(INDEX('Прайс-лист'!$E$11:$E$310,MATCH(ROWS($A$16:A68),'Прайс-лист'!$U$11:$U$310,0)),"")</f>
        <v/>
      </c>
      <c r="F68" s="58">
        <f>IFERROR(INDEX('Прайс-лист'!$F$11:$F$310,MATCH(ROWS($A$16:A68),'Прайс-лист'!$U$11:$U$310,0)),"")</f>
        <v/>
      </c>
      <c r="G68" s="61">
        <f>IFERROR(INDEX('Прайс-лист'!$R$11:$R$310,MATCH(ROWS($A$16:A68),'Прайс-лист'!$U$11:$U$310,0)),"")</f>
        <v/>
      </c>
      <c r="H68" s="60">
        <f>IFERROR(INDEX('Прайс-лист'!$P$11:$P$310,MATCH(ROWS($A$16:A68),'Прайс-лист'!$U$11:$U$310,0)),"")</f>
        <v/>
      </c>
      <c r="I68" s="61">
        <f>IFERROR(INDEX('Прайс-лист'!$S$11:$S$310,MATCH(ROWS($A$16:A68),'Прайс-лист'!$U$11:$U$310,0)),"")</f>
        <v/>
      </c>
      <c r="J68" s="61">
        <f>IFERROR($I68*0.22,"")</f>
        <v/>
      </c>
      <c r="K68" s="61">
        <f>IFERROR($I68+$J68,"")</f>
        <v/>
      </c>
      <c r="L68" s="59">
        <f>IFERROR(INDEX('Прайс-лист'!$Q$11:$Q$310,MATCH(ROWS($A$16:A68),'Прайс-лист'!$U$11:$U$310,0)),"")</f>
        <v/>
      </c>
    </row>
    <row r="69" ht="15" customHeight="1" s="49">
      <c r="A69" s="64">
        <f>IFERROR(IF(INDEX('Прайс-лист'!$U$11:$U$310,MATCH(ROWS($A$16:A69),'Прайс-лист'!$U$11:$U$310,0))="","",ROWS($A$16:A69)),"")</f>
        <v/>
      </c>
      <c r="B69" s="58">
        <f>IFERROR(INDEX('Прайс-лист'!$A$11:$A$310,MATCH(ROWS($A$16:A69),'Прайс-лист'!$U$11:$U$310,0)),"")</f>
        <v/>
      </c>
      <c r="C69" s="58">
        <f>IFERROR(INDEX('Прайс-лист'!$B$11:$B$310,MATCH(ROWS($A$16:A69),'Прайс-лист'!$U$11:$U$310,0)),"")</f>
        <v/>
      </c>
      <c r="D69" s="59">
        <f>IFERROR(INDEX('Прайс-лист'!$C$11:$C$310,MATCH(ROWS($A$16:A69),'Прайс-лист'!$U$11:$U$310,0)),"")</f>
        <v/>
      </c>
      <c r="E69" s="59">
        <f>IFERROR(INDEX('Прайс-лист'!$E$11:$E$310,MATCH(ROWS($A$16:A69),'Прайс-лист'!$U$11:$U$310,0)),"")</f>
        <v/>
      </c>
      <c r="F69" s="58">
        <f>IFERROR(INDEX('Прайс-лист'!$F$11:$F$310,MATCH(ROWS($A$16:A69),'Прайс-лист'!$U$11:$U$310,0)),"")</f>
        <v/>
      </c>
      <c r="G69" s="61">
        <f>IFERROR(INDEX('Прайс-лист'!$R$11:$R$310,MATCH(ROWS($A$16:A69),'Прайс-лист'!$U$11:$U$310,0)),"")</f>
        <v/>
      </c>
      <c r="H69" s="60">
        <f>IFERROR(INDEX('Прайс-лист'!$P$11:$P$310,MATCH(ROWS($A$16:A69),'Прайс-лист'!$U$11:$U$310,0)),"")</f>
        <v/>
      </c>
      <c r="I69" s="61">
        <f>IFERROR(INDEX('Прайс-лист'!$S$11:$S$310,MATCH(ROWS($A$16:A69),'Прайс-лист'!$U$11:$U$310,0)),"")</f>
        <v/>
      </c>
      <c r="J69" s="61">
        <f>IFERROR($I69*0.22,"")</f>
        <v/>
      </c>
      <c r="K69" s="61">
        <f>IFERROR($I69+$J69,"")</f>
        <v/>
      </c>
      <c r="L69" s="59">
        <f>IFERROR(INDEX('Прайс-лист'!$Q$11:$Q$310,MATCH(ROWS($A$16:A69),'Прайс-лист'!$U$11:$U$310,0)),"")</f>
        <v/>
      </c>
    </row>
    <row r="70" ht="15" customHeight="1" s="49">
      <c r="A70" s="64">
        <f>IFERROR(IF(INDEX('Прайс-лист'!$U$11:$U$310,MATCH(ROWS($A$16:A70),'Прайс-лист'!$U$11:$U$310,0))="","",ROWS($A$16:A70)),"")</f>
        <v/>
      </c>
      <c r="B70" s="58">
        <f>IFERROR(INDEX('Прайс-лист'!$A$11:$A$310,MATCH(ROWS($A$16:A70),'Прайс-лист'!$U$11:$U$310,0)),"")</f>
        <v/>
      </c>
      <c r="C70" s="58">
        <f>IFERROR(INDEX('Прайс-лист'!$B$11:$B$310,MATCH(ROWS($A$16:A70),'Прайс-лист'!$U$11:$U$310,0)),"")</f>
        <v/>
      </c>
      <c r="D70" s="59">
        <f>IFERROR(INDEX('Прайс-лист'!$C$11:$C$310,MATCH(ROWS($A$16:A70),'Прайс-лист'!$U$11:$U$310,0)),"")</f>
        <v/>
      </c>
      <c r="E70" s="59">
        <f>IFERROR(INDEX('Прайс-лист'!$E$11:$E$310,MATCH(ROWS($A$16:A70),'Прайс-лист'!$U$11:$U$310,0)),"")</f>
        <v/>
      </c>
      <c r="F70" s="58">
        <f>IFERROR(INDEX('Прайс-лист'!$F$11:$F$310,MATCH(ROWS($A$16:A70),'Прайс-лист'!$U$11:$U$310,0)),"")</f>
        <v/>
      </c>
      <c r="G70" s="61">
        <f>IFERROR(INDEX('Прайс-лист'!$R$11:$R$310,MATCH(ROWS($A$16:A70),'Прайс-лист'!$U$11:$U$310,0)),"")</f>
        <v/>
      </c>
      <c r="H70" s="60">
        <f>IFERROR(INDEX('Прайс-лист'!$P$11:$P$310,MATCH(ROWS($A$16:A70),'Прайс-лист'!$U$11:$U$310,0)),"")</f>
        <v/>
      </c>
      <c r="I70" s="61">
        <f>IFERROR(INDEX('Прайс-лист'!$S$11:$S$310,MATCH(ROWS($A$16:A70),'Прайс-лист'!$U$11:$U$310,0)),"")</f>
        <v/>
      </c>
      <c r="J70" s="61">
        <f>IFERROR($I70*0.22,"")</f>
        <v/>
      </c>
      <c r="K70" s="61">
        <f>IFERROR($I70+$J70,"")</f>
        <v/>
      </c>
      <c r="L70" s="59">
        <f>IFERROR(INDEX('Прайс-лист'!$Q$11:$Q$310,MATCH(ROWS($A$16:A70),'Прайс-лист'!$U$11:$U$310,0)),"")</f>
        <v/>
      </c>
    </row>
    <row r="71" ht="15" customHeight="1" s="49">
      <c r="A71" s="64">
        <f>IFERROR(IF(INDEX('Прайс-лист'!$U$11:$U$310,MATCH(ROWS($A$16:A71),'Прайс-лист'!$U$11:$U$310,0))="","",ROWS($A$16:A71)),"")</f>
        <v/>
      </c>
      <c r="B71" s="58">
        <f>IFERROR(INDEX('Прайс-лист'!$A$11:$A$310,MATCH(ROWS($A$16:A71),'Прайс-лист'!$U$11:$U$310,0)),"")</f>
        <v/>
      </c>
      <c r="C71" s="58">
        <f>IFERROR(INDEX('Прайс-лист'!$B$11:$B$310,MATCH(ROWS($A$16:A71),'Прайс-лист'!$U$11:$U$310,0)),"")</f>
        <v/>
      </c>
      <c r="D71" s="59">
        <f>IFERROR(INDEX('Прайс-лист'!$C$11:$C$310,MATCH(ROWS($A$16:A71),'Прайс-лист'!$U$11:$U$310,0)),"")</f>
        <v/>
      </c>
      <c r="E71" s="59">
        <f>IFERROR(INDEX('Прайс-лист'!$E$11:$E$310,MATCH(ROWS($A$16:A71),'Прайс-лист'!$U$11:$U$310,0)),"")</f>
        <v/>
      </c>
      <c r="F71" s="58">
        <f>IFERROR(INDEX('Прайс-лист'!$F$11:$F$310,MATCH(ROWS($A$16:A71),'Прайс-лист'!$U$11:$U$310,0)),"")</f>
        <v/>
      </c>
      <c r="G71" s="61">
        <f>IFERROR(INDEX('Прайс-лист'!$R$11:$R$310,MATCH(ROWS($A$16:A71),'Прайс-лист'!$U$11:$U$310,0)),"")</f>
        <v/>
      </c>
      <c r="H71" s="60">
        <f>IFERROR(INDEX('Прайс-лист'!$P$11:$P$310,MATCH(ROWS($A$16:A71),'Прайс-лист'!$U$11:$U$310,0)),"")</f>
        <v/>
      </c>
      <c r="I71" s="61">
        <f>IFERROR(INDEX('Прайс-лист'!$S$11:$S$310,MATCH(ROWS($A$16:A71),'Прайс-лист'!$U$11:$U$310,0)),"")</f>
        <v/>
      </c>
      <c r="J71" s="61">
        <f>IFERROR($I71*0.22,"")</f>
        <v/>
      </c>
      <c r="K71" s="61">
        <f>IFERROR($I71+$J71,"")</f>
        <v/>
      </c>
      <c r="L71" s="59">
        <f>IFERROR(INDEX('Прайс-лист'!$Q$11:$Q$310,MATCH(ROWS($A$16:A71),'Прайс-лист'!$U$11:$U$310,0)),"")</f>
        <v/>
      </c>
    </row>
    <row r="72" ht="15" customHeight="1" s="49">
      <c r="A72" s="64">
        <f>IFERROR(IF(INDEX('Прайс-лист'!$U$11:$U$310,MATCH(ROWS($A$16:A72),'Прайс-лист'!$U$11:$U$310,0))="","",ROWS($A$16:A72)),"")</f>
        <v/>
      </c>
      <c r="B72" s="58">
        <f>IFERROR(INDEX('Прайс-лист'!$A$11:$A$310,MATCH(ROWS($A$16:A72),'Прайс-лист'!$U$11:$U$310,0)),"")</f>
        <v/>
      </c>
      <c r="C72" s="58">
        <f>IFERROR(INDEX('Прайс-лист'!$B$11:$B$310,MATCH(ROWS($A$16:A72),'Прайс-лист'!$U$11:$U$310,0)),"")</f>
        <v/>
      </c>
      <c r="D72" s="59">
        <f>IFERROR(INDEX('Прайс-лист'!$C$11:$C$310,MATCH(ROWS($A$16:A72),'Прайс-лист'!$U$11:$U$310,0)),"")</f>
        <v/>
      </c>
      <c r="E72" s="59">
        <f>IFERROR(INDEX('Прайс-лист'!$E$11:$E$310,MATCH(ROWS($A$16:A72),'Прайс-лист'!$U$11:$U$310,0)),"")</f>
        <v/>
      </c>
      <c r="F72" s="58">
        <f>IFERROR(INDEX('Прайс-лист'!$F$11:$F$310,MATCH(ROWS($A$16:A72),'Прайс-лист'!$U$11:$U$310,0)),"")</f>
        <v/>
      </c>
      <c r="G72" s="61">
        <f>IFERROR(INDEX('Прайс-лист'!$R$11:$R$310,MATCH(ROWS($A$16:A72),'Прайс-лист'!$U$11:$U$310,0)),"")</f>
        <v/>
      </c>
      <c r="H72" s="60">
        <f>IFERROR(INDEX('Прайс-лист'!$P$11:$P$310,MATCH(ROWS($A$16:A72),'Прайс-лист'!$U$11:$U$310,0)),"")</f>
        <v/>
      </c>
      <c r="I72" s="61">
        <f>IFERROR(INDEX('Прайс-лист'!$S$11:$S$310,MATCH(ROWS($A$16:A72),'Прайс-лист'!$U$11:$U$310,0)),"")</f>
        <v/>
      </c>
      <c r="J72" s="61">
        <f>IFERROR($I72*0.22,"")</f>
        <v/>
      </c>
      <c r="K72" s="61">
        <f>IFERROR($I72+$J72,"")</f>
        <v/>
      </c>
      <c r="L72" s="59">
        <f>IFERROR(INDEX('Прайс-лист'!$Q$11:$Q$310,MATCH(ROWS($A$16:A72),'Прайс-лист'!$U$11:$U$310,0)),"")</f>
        <v/>
      </c>
    </row>
    <row r="73" ht="15" customHeight="1" s="49">
      <c r="A73" s="64">
        <f>IFERROR(IF(INDEX('Прайс-лист'!$U$11:$U$310,MATCH(ROWS($A$16:A73),'Прайс-лист'!$U$11:$U$310,0))="","",ROWS($A$16:A73)),"")</f>
        <v/>
      </c>
      <c r="B73" s="58">
        <f>IFERROR(INDEX('Прайс-лист'!$A$11:$A$310,MATCH(ROWS($A$16:A73),'Прайс-лист'!$U$11:$U$310,0)),"")</f>
        <v/>
      </c>
      <c r="C73" s="58">
        <f>IFERROR(INDEX('Прайс-лист'!$B$11:$B$310,MATCH(ROWS($A$16:A73),'Прайс-лист'!$U$11:$U$310,0)),"")</f>
        <v/>
      </c>
      <c r="D73" s="59">
        <f>IFERROR(INDEX('Прайс-лист'!$C$11:$C$310,MATCH(ROWS($A$16:A73),'Прайс-лист'!$U$11:$U$310,0)),"")</f>
        <v/>
      </c>
      <c r="E73" s="59">
        <f>IFERROR(INDEX('Прайс-лист'!$E$11:$E$310,MATCH(ROWS($A$16:A73),'Прайс-лист'!$U$11:$U$310,0)),"")</f>
        <v/>
      </c>
      <c r="F73" s="58">
        <f>IFERROR(INDEX('Прайс-лист'!$F$11:$F$310,MATCH(ROWS($A$16:A73),'Прайс-лист'!$U$11:$U$310,0)),"")</f>
        <v/>
      </c>
      <c r="G73" s="61">
        <f>IFERROR(INDEX('Прайс-лист'!$R$11:$R$310,MATCH(ROWS($A$16:A73),'Прайс-лист'!$U$11:$U$310,0)),"")</f>
        <v/>
      </c>
      <c r="H73" s="60">
        <f>IFERROR(INDEX('Прайс-лист'!$P$11:$P$310,MATCH(ROWS($A$16:A73),'Прайс-лист'!$U$11:$U$310,0)),"")</f>
        <v/>
      </c>
      <c r="I73" s="61">
        <f>IFERROR(INDEX('Прайс-лист'!$S$11:$S$310,MATCH(ROWS($A$16:A73),'Прайс-лист'!$U$11:$U$310,0)),"")</f>
        <v/>
      </c>
      <c r="J73" s="61">
        <f>IFERROR($I73*0.22,"")</f>
        <v/>
      </c>
      <c r="K73" s="61">
        <f>IFERROR($I73+$J73,"")</f>
        <v/>
      </c>
      <c r="L73" s="59">
        <f>IFERROR(INDEX('Прайс-лист'!$Q$11:$Q$310,MATCH(ROWS($A$16:A73),'Прайс-лист'!$U$11:$U$310,0)),"")</f>
        <v/>
      </c>
    </row>
    <row r="74" ht="15" customHeight="1" s="49">
      <c r="A74" s="64">
        <f>IFERROR(IF(INDEX('Прайс-лист'!$U$11:$U$310,MATCH(ROWS($A$16:A74),'Прайс-лист'!$U$11:$U$310,0))="","",ROWS($A$16:A74)),"")</f>
        <v/>
      </c>
      <c r="B74" s="58">
        <f>IFERROR(INDEX('Прайс-лист'!$A$11:$A$310,MATCH(ROWS($A$16:A74),'Прайс-лист'!$U$11:$U$310,0)),"")</f>
        <v/>
      </c>
      <c r="C74" s="58">
        <f>IFERROR(INDEX('Прайс-лист'!$B$11:$B$310,MATCH(ROWS($A$16:A74),'Прайс-лист'!$U$11:$U$310,0)),"")</f>
        <v/>
      </c>
      <c r="D74" s="59">
        <f>IFERROR(INDEX('Прайс-лист'!$C$11:$C$310,MATCH(ROWS($A$16:A74),'Прайс-лист'!$U$11:$U$310,0)),"")</f>
        <v/>
      </c>
      <c r="E74" s="59">
        <f>IFERROR(INDEX('Прайс-лист'!$E$11:$E$310,MATCH(ROWS($A$16:A74),'Прайс-лист'!$U$11:$U$310,0)),"")</f>
        <v/>
      </c>
      <c r="F74" s="58">
        <f>IFERROR(INDEX('Прайс-лист'!$F$11:$F$310,MATCH(ROWS($A$16:A74),'Прайс-лист'!$U$11:$U$310,0)),"")</f>
        <v/>
      </c>
      <c r="G74" s="61">
        <f>IFERROR(INDEX('Прайс-лист'!$R$11:$R$310,MATCH(ROWS($A$16:A74),'Прайс-лист'!$U$11:$U$310,0)),"")</f>
        <v/>
      </c>
      <c r="H74" s="60">
        <f>IFERROR(INDEX('Прайс-лист'!$P$11:$P$310,MATCH(ROWS($A$16:A74),'Прайс-лист'!$U$11:$U$310,0)),"")</f>
        <v/>
      </c>
      <c r="I74" s="61">
        <f>IFERROR(INDEX('Прайс-лист'!$S$11:$S$310,MATCH(ROWS($A$16:A74),'Прайс-лист'!$U$11:$U$310,0)),"")</f>
        <v/>
      </c>
      <c r="J74" s="61">
        <f>IFERROR($I74*0.22,"")</f>
        <v/>
      </c>
      <c r="K74" s="61">
        <f>IFERROR($I74+$J74,"")</f>
        <v/>
      </c>
      <c r="L74" s="59">
        <f>IFERROR(INDEX('Прайс-лист'!$Q$11:$Q$310,MATCH(ROWS($A$16:A74),'Прайс-лист'!$U$11:$U$310,0)),"")</f>
        <v/>
      </c>
    </row>
    <row r="75" ht="15" customHeight="1" s="49">
      <c r="A75" s="64">
        <f>IFERROR(IF(INDEX('Прайс-лист'!$U$11:$U$310,MATCH(ROWS($A$16:A75),'Прайс-лист'!$U$11:$U$310,0))="","",ROWS($A$16:A75)),"")</f>
        <v/>
      </c>
      <c r="B75" s="58">
        <f>IFERROR(INDEX('Прайс-лист'!$A$11:$A$310,MATCH(ROWS($A$16:A75),'Прайс-лист'!$U$11:$U$310,0)),"")</f>
        <v/>
      </c>
      <c r="C75" s="58">
        <f>IFERROR(INDEX('Прайс-лист'!$B$11:$B$310,MATCH(ROWS($A$16:A75),'Прайс-лист'!$U$11:$U$310,0)),"")</f>
        <v/>
      </c>
      <c r="D75" s="59">
        <f>IFERROR(INDEX('Прайс-лист'!$C$11:$C$310,MATCH(ROWS($A$16:A75),'Прайс-лист'!$U$11:$U$310,0)),"")</f>
        <v/>
      </c>
      <c r="E75" s="59">
        <f>IFERROR(INDEX('Прайс-лист'!$E$11:$E$310,MATCH(ROWS($A$16:A75),'Прайс-лист'!$U$11:$U$310,0)),"")</f>
        <v/>
      </c>
      <c r="F75" s="58">
        <f>IFERROR(INDEX('Прайс-лист'!$F$11:$F$310,MATCH(ROWS($A$16:A75),'Прайс-лист'!$U$11:$U$310,0)),"")</f>
        <v/>
      </c>
      <c r="G75" s="61">
        <f>IFERROR(INDEX('Прайс-лист'!$R$11:$R$310,MATCH(ROWS($A$16:A75),'Прайс-лист'!$U$11:$U$310,0)),"")</f>
        <v/>
      </c>
      <c r="H75" s="60">
        <f>IFERROR(INDEX('Прайс-лист'!$P$11:$P$310,MATCH(ROWS($A$16:A75),'Прайс-лист'!$U$11:$U$310,0)),"")</f>
        <v/>
      </c>
      <c r="I75" s="61">
        <f>IFERROR(INDEX('Прайс-лист'!$S$11:$S$310,MATCH(ROWS($A$16:A75),'Прайс-лист'!$U$11:$U$310,0)),"")</f>
        <v/>
      </c>
      <c r="J75" s="61">
        <f>IFERROR($I75*0.22,"")</f>
        <v/>
      </c>
      <c r="K75" s="61">
        <f>IFERROR($I75+$J75,"")</f>
        <v/>
      </c>
      <c r="L75" s="59">
        <f>IFERROR(INDEX('Прайс-лист'!$Q$11:$Q$310,MATCH(ROWS($A$16:A75),'Прайс-лист'!$U$11:$U$310,0)),"")</f>
        <v/>
      </c>
    </row>
    <row r="76" ht="15" customHeight="1" s="49">
      <c r="A76" s="64">
        <f>IFERROR(IF(INDEX('Прайс-лист'!$U$11:$U$310,MATCH(ROWS($A$16:A76),'Прайс-лист'!$U$11:$U$310,0))="","",ROWS($A$16:A76)),"")</f>
        <v/>
      </c>
      <c r="B76" s="58">
        <f>IFERROR(INDEX('Прайс-лист'!$A$11:$A$310,MATCH(ROWS($A$16:A76),'Прайс-лист'!$U$11:$U$310,0)),"")</f>
        <v/>
      </c>
      <c r="C76" s="58">
        <f>IFERROR(INDEX('Прайс-лист'!$B$11:$B$310,MATCH(ROWS($A$16:A76),'Прайс-лист'!$U$11:$U$310,0)),"")</f>
        <v/>
      </c>
      <c r="D76" s="59">
        <f>IFERROR(INDEX('Прайс-лист'!$C$11:$C$310,MATCH(ROWS($A$16:A76),'Прайс-лист'!$U$11:$U$310,0)),"")</f>
        <v/>
      </c>
      <c r="E76" s="59">
        <f>IFERROR(INDEX('Прайс-лист'!$E$11:$E$310,MATCH(ROWS($A$16:A76),'Прайс-лист'!$U$11:$U$310,0)),"")</f>
        <v/>
      </c>
      <c r="F76" s="58">
        <f>IFERROR(INDEX('Прайс-лист'!$F$11:$F$310,MATCH(ROWS($A$16:A76),'Прайс-лист'!$U$11:$U$310,0)),"")</f>
        <v/>
      </c>
      <c r="G76" s="61">
        <f>IFERROR(INDEX('Прайс-лист'!$R$11:$R$310,MATCH(ROWS($A$16:A76),'Прайс-лист'!$U$11:$U$310,0)),"")</f>
        <v/>
      </c>
      <c r="H76" s="60">
        <f>IFERROR(INDEX('Прайс-лист'!$P$11:$P$310,MATCH(ROWS($A$16:A76),'Прайс-лист'!$U$11:$U$310,0)),"")</f>
        <v/>
      </c>
      <c r="I76" s="61">
        <f>IFERROR(INDEX('Прайс-лист'!$S$11:$S$310,MATCH(ROWS($A$16:A76),'Прайс-лист'!$U$11:$U$310,0)),"")</f>
        <v/>
      </c>
      <c r="J76" s="61">
        <f>IFERROR($I76*0.22,"")</f>
        <v/>
      </c>
      <c r="K76" s="61">
        <f>IFERROR($I76+$J76,"")</f>
        <v/>
      </c>
      <c r="L76" s="59">
        <f>IFERROR(INDEX('Прайс-лист'!$Q$11:$Q$310,MATCH(ROWS($A$16:A76),'Прайс-лист'!$U$11:$U$310,0)),"")</f>
        <v/>
      </c>
    </row>
    <row r="77" ht="15" customHeight="1" s="49">
      <c r="A77" s="64">
        <f>IFERROR(IF(INDEX('Прайс-лист'!$U$11:$U$310,MATCH(ROWS($A$16:A77),'Прайс-лист'!$U$11:$U$310,0))="","",ROWS($A$16:A77)),"")</f>
        <v/>
      </c>
      <c r="B77" s="58">
        <f>IFERROR(INDEX('Прайс-лист'!$A$11:$A$310,MATCH(ROWS($A$16:A77),'Прайс-лист'!$U$11:$U$310,0)),"")</f>
        <v/>
      </c>
      <c r="C77" s="58">
        <f>IFERROR(INDEX('Прайс-лист'!$B$11:$B$310,MATCH(ROWS($A$16:A77),'Прайс-лист'!$U$11:$U$310,0)),"")</f>
        <v/>
      </c>
      <c r="D77" s="59">
        <f>IFERROR(INDEX('Прайс-лист'!$C$11:$C$310,MATCH(ROWS($A$16:A77),'Прайс-лист'!$U$11:$U$310,0)),"")</f>
        <v/>
      </c>
      <c r="E77" s="59">
        <f>IFERROR(INDEX('Прайс-лист'!$E$11:$E$310,MATCH(ROWS($A$16:A77),'Прайс-лист'!$U$11:$U$310,0)),"")</f>
        <v/>
      </c>
      <c r="F77" s="58">
        <f>IFERROR(INDEX('Прайс-лист'!$F$11:$F$310,MATCH(ROWS($A$16:A77),'Прайс-лист'!$U$11:$U$310,0)),"")</f>
        <v/>
      </c>
      <c r="G77" s="61">
        <f>IFERROR(INDEX('Прайс-лист'!$R$11:$R$310,MATCH(ROWS($A$16:A77),'Прайс-лист'!$U$11:$U$310,0)),"")</f>
        <v/>
      </c>
      <c r="H77" s="60">
        <f>IFERROR(INDEX('Прайс-лист'!$P$11:$P$310,MATCH(ROWS($A$16:A77),'Прайс-лист'!$U$11:$U$310,0)),"")</f>
        <v/>
      </c>
      <c r="I77" s="61">
        <f>IFERROR(INDEX('Прайс-лист'!$S$11:$S$310,MATCH(ROWS($A$16:A77),'Прайс-лист'!$U$11:$U$310,0)),"")</f>
        <v/>
      </c>
      <c r="J77" s="61">
        <f>IFERROR($I77*0.22,"")</f>
        <v/>
      </c>
      <c r="K77" s="61">
        <f>IFERROR($I77+$J77,"")</f>
        <v/>
      </c>
      <c r="L77" s="59">
        <f>IFERROR(INDEX('Прайс-лист'!$Q$11:$Q$310,MATCH(ROWS($A$16:A77),'Прайс-лист'!$U$11:$U$310,0)),"")</f>
        <v/>
      </c>
    </row>
    <row r="78" ht="15" customHeight="1" s="49">
      <c r="A78" s="64">
        <f>IFERROR(IF(INDEX('Прайс-лист'!$U$11:$U$310,MATCH(ROWS($A$16:A78),'Прайс-лист'!$U$11:$U$310,0))="","",ROWS($A$16:A78)),"")</f>
        <v/>
      </c>
      <c r="B78" s="58">
        <f>IFERROR(INDEX('Прайс-лист'!$A$11:$A$310,MATCH(ROWS($A$16:A78),'Прайс-лист'!$U$11:$U$310,0)),"")</f>
        <v/>
      </c>
      <c r="C78" s="58">
        <f>IFERROR(INDEX('Прайс-лист'!$B$11:$B$310,MATCH(ROWS($A$16:A78),'Прайс-лист'!$U$11:$U$310,0)),"")</f>
        <v/>
      </c>
      <c r="D78" s="59">
        <f>IFERROR(INDEX('Прайс-лист'!$C$11:$C$310,MATCH(ROWS($A$16:A78),'Прайс-лист'!$U$11:$U$310,0)),"")</f>
        <v/>
      </c>
      <c r="E78" s="59">
        <f>IFERROR(INDEX('Прайс-лист'!$E$11:$E$310,MATCH(ROWS($A$16:A78),'Прайс-лист'!$U$11:$U$310,0)),"")</f>
        <v/>
      </c>
      <c r="F78" s="58">
        <f>IFERROR(INDEX('Прайс-лист'!$F$11:$F$310,MATCH(ROWS($A$16:A78),'Прайс-лист'!$U$11:$U$310,0)),"")</f>
        <v/>
      </c>
      <c r="G78" s="61">
        <f>IFERROR(INDEX('Прайс-лист'!$R$11:$R$310,MATCH(ROWS($A$16:A78),'Прайс-лист'!$U$11:$U$310,0)),"")</f>
        <v/>
      </c>
      <c r="H78" s="60">
        <f>IFERROR(INDEX('Прайс-лист'!$P$11:$P$310,MATCH(ROWS($A$16:A78),'Прайс-лист'!$U$11:$U$310,0)),"")</f>
        <v/>
      </c>
      <c r="I78" s="61">
        <f>IFERROR(INDEX('Прайс-лист'!$S$11:$S$310,MATCH(ROWS($A$16:A78),'Прайс-лист'!$U$11:$U$310,0)),"")</f>
        <v/>
      </c>
      <c r="J78" s="61">
        <f>IFERROR($I78*0.22,"")</f>
        <v/>
      </c>
      <c r="K78" s="61">
        <f>IFERROR($I78+$J78,"")</f>
        <v/>
      </c>
      <c r="L78" s="59">
        <f>IFERROR(INDEX('Прайс-лист'!$Q$11:$Q$310,MATCH(ROWS($A$16:A78),'Прайс-лист'!$U$11:$U$310,0)),"")</f>
        <v/>
      </c>
    </row>
    <row r="79" ht="15" customHeight="1" s="49">
      <c r="A79" s="64">
        <f>IFERROR(IF(INDEX('Прайс-лист'!$U$11:$U$310,MATCH(ROWS($A$16:A79),'Прайс-лист'!$U$11:$U$310,0))="","",ROWS($A$16:A79)),"")</f>
        <v/>
      </c>
      <c r="B79" s="58">
        <f>IFERROR(INDEX('Прайс-лист'!$A$11:$A$310,MATCH(ROWS($A$16:A79),'Прайс-лист'!$U$11:$U$310,0)),"")</f>
        <v/>
      </c>
      <c r="C79" s="58">
        <f>IFERROR(INDEX('Прайс-лист'!$B$11:$B$310,MATCH(ROWS($A$16:A79),'Прайс-лист'!$U$11:$U$310,0)),"")</f>
        <v/>
      </c>
      <c r="D79" s="59">
        <f>IFERROR(INDEX('Прайс-лист'!$C$11:$C$310,MATCH(ROWS($A$16:A79),'Прайс-лист'!$U$11:$U$310,0)),"")</f>
        <v/>
      </c>
      <c r="E79" s="59">
        <f>IFERROR(INDEX('Прайс-лист'!$E$11:$E$310,MATCH(ROWS($A$16:A79),'Прайс-лист'!$U$11:$U$310,0)),"")</f>
        <v/>
      </c>
      <c r="F79" s="58">
        <f>IFERROR(INDEX('Прайс-лист'!$F$11:$F$310,MATCH(ROWS($A$16:A79),'Прайс-лист'!$U$11:$U$310,0)),"")</f>
        <v/>
      </c>
      <c r="G79" s="61">
        <f>IFERROR(INDEX('Прайс-лист'!$R$11:$R$310,MATCH(ROWS($A$16:A79),'Прайс-лист'!$U$11:$U$310,0)),"")</f>
        <v/>
      </c>
      <c r="H79" s="60">
        <f>IFERROR(INDEX('Прайс-лист'!$P$11:$P$310,MATCH(ROWS($A$16:A79),'Прайс-лист'!$U$11:$U$310,0)),"")</f>
        <v/>
      </c>
      <c r="I79" s="61">
        <f>IFERROR(INDEX('Прайс-лист'!$S$11:$S$310,MATCH(ROWS($A$16:A79),'Прайс-лист'!$U$11:$U$310,0)),"")</f>
        <v/>
      </c>
      <c r="J79" s="61">
        <f>IFERROR($I79*0.22,"")</f>
        <v/>
      </c>
      <c r="K79" s="61">
        <f>IFERROR($I79+$J79,"")</f>
        <v/>
      </c>
      <c r="L79" s="59">
        <f>IFERROR(INDEX('Прайс-лист'!$Q$11:$Q$310,MATCH(ROWS($A$16:A79),'Прайс-лист'!$U$11:$U$310,0)),"")</f>
        <v/>
      </c>
    </row>
    <row r="80" ht="15" customHeight="1" s="49">
      <c r="A80" s="64">
        <f>IFERROR(IF(INDEX('Прайс-лист'!$U$11:$U$310,MATCH(ROWS($A$16:A80),'Прайс-лист'!$U$11:$U$310,0))="","",ROWS($A$16:A80)),"")</f>
        <v/>
      </c>
      <c r="B80" s="58">
        <f>IFERROR(INDEX('Прайс-лист'!$A$11:$A$310,MATCH(ROWS($A$16:A80),'Прайс-лист'!$U$11:$U$310,0)),"")</f>
        <v/>
      </c>
      <c r="C80" s="58">
        <f>IFERROR(INDEX('Прайс-лист'!$B$11:$B$310,MATCH(ROWS($A$16:A80),'Прайс-лист'!$U$11:$U$310,0)),"")</f>
        <v/>
      </c>
      <c r="D80" s="59">
        <f>IFERROR(INDEX('Прайс-лист'!$C$11:$C$310,MATCH(ROWS($A$16:A80),'Прайс-лист'!$U$11:$U$310,0)),"")</f>
        <v/>
      </c>
      <c r="E80" s="59">
        <f>IFERROR(INDEX('Прайс-лист'!$E$11:$E$310,MATCH(ROWS($A$16:A80),'Прайс-лист'!$U$11:$U$310,0)),"")</f>
        <v/>
      </c>
      <c r="F80" s="58">
        <f>IFERROR(INDEX('Прайс-лист'!$F$11:$F$310,MATCH(ROWS($A$16:A80),'Прайс-лист'!$U$11:$U$310,0)),"")</f>
        <v/>
      </c>
      <c r="G80" s="61">
        <f>IFERROR(INDEX('Прайс-лист'!$R$11:$R$310,MATCH(ROWS($A$16:A80),'Прайс-лист'!$U$11:$U$310,0)),"")</f>
        <v/>
      </c>
      <c r="H80" s="60">
        <f>IFERROR(INDEX('Прайс-лист'!$P$11:$P$310,MATCH(ROWS($A$16:A80),'Прайс-лист'!$U$11:$U$310,0)),"")</f>
        <v/>
      </c>
      <c r="I80" s="61">
        <f>IFERROR(INDEX('Прайс-лист'!$S$11:$S$310,MATCH(ROWS($A$16:A80),'Прайс-лист'!$U$11:$U$310,0)),"")</f>
        <v/>
      </c>
      <c r="J80" s="61">
        <f>IFERROR($I80*0.22,"")</f>
        <v/>
      </c>
      <c r="K80" s="61">
        <f>IFERROR($I80+$J80,"")</f>
        <v/>
      </c>
      <c r="L80" s="59">
        <f>IFERROR(INDEX('Прайс-лист'!$Q$11:$Q$310,MATCH(ROWS($A$16:A80),'Прайс-лист'!$U$11:$U$310,0)),"")</f>
        <v/>
      </c>
    </row>
    <row r="81" ht="15" customHeight="1" s="49">
      <c r="A81" s="64">
        <f>IFERROR(IF(INDEX('Прайс-лист'!$U$11:$U$310,MATCH(ROWS($A$16:A81),'Прайс-лист'!$U$11:$U$310,0))="","",ROWS($A$16:A81)),"")</f>
        <v/>
      </c>
      <c r="B81" s="58">
        <f>IFERROR(INDEX('Прайс-лист'!$A$11:$A$310,MATCH(ROWS($A$16:A81),'Прайс-лист'!$U$11:$U$310,0)),"")</f>
        <v/>
      </c>
      <c r="C81" s="58">
        <f>IFERROR(INDEX('Прайс-лист'!$B$11:$B$310,MATCH(ROWS($A$16:A81),'Прайс-лист'!$U$11:$U$310,0)),"")</f>
        <v/>
      </c>
      <c r="D81" s="59">
        <f>IFERROR(INDEX('Прайс-лист'!$C$11:$C$310,MATCH(ROWS($A$16:A81),'Прайс-лист'!$U$11:$U$310,0)),"")</f>
        <v/>
      </c>
      <c r="E81" s="59">
        <f>IFERROR(INDEX('Прайс-лист'!$E$11:$E$310,MATCH(ROWS($A$16:A81),'Прайс-лист'!$U$11:$U$310,0)),"")</f>
        <v/>
      </c>
      <c r="F81" s="58">
        <f>IFERROR(INDEX('Прайс-лист'!$F$11:$F$310,MATCH(ROWS($A$16:A81),'Прайс-лист'!$U$11:$U$310,0)),"")</f>
        <v/>
      </c>
      <c r="G81" s="61">
        <f>IFERROR(INDEX('Прайс-лист'!$R$11:$R$310,MATCH(ROWS($A$16:A81),'Прайс-лист'!$U$11:$U$310,0)),"")</f>
        <v/>
      </c>
      <c r="H81" s="60">
        <f>IFERROR(INDEX('Прайс-лист'!$P$11:$P$310,MATCH(ROWS($A$16:A81),'Прайс-лист'!$U$11:$U$310,0)),"")</f>
        <v/>
      </c>
      <c r="I81" s="61">
        <f>IFERROR(INDEX('Прайс-лист'!$S$11:$S$310,MATCH(ROWS($A$16:A81),'Прайс-лист'!$U$11:$U$310,0)),"")</f>
        <v/>
      </c>
      <c r="J81" s="61">
        <f>IFERROR($I81*0.22,"")</f>
        <v/>
      </c>
      <c r="K81" s="61">
        <f>IFERROR($I81+$J81,"")</f>
        <v/>
      </c>
      <c r="L81" s="59">
        <f>IFERROR(INDEX('Прайс-лист'!$Q$11:$Q$310,MATCH(ROWS($A$16:A81),'Прайс-лист'!$U$11:$U$310,0)),"")</f>
        <v/>
      </c>
    </row>
    <row r="82" ht="15" customHeight="1" s="49">
      <c r="A82" s="64">
        <f>IFERROR(IF(INDEX('Прайс-лист'!$U$11:$U$310,MATCH(ROWS($A$16:A82),'Прайс-лист'!$U$11:$U$310,0))="","",ROWS($A$16:A82)),"")</f>
        <v/>
      </c>
      <c r="B82" s="58">
        <f>IFERROR(INDEX('Прайс-лист'!$A$11:$A$310,MATCH(ROWS($A$16:A82),'Прайс-лист'!$U$11:$U$310,0)),"")</f>
        <v/>
      </c>
      <c r="C82" s="58">
        <f>IFERROR(INDEX('Прайс-лист'!$B$11:$B$310,MATCH(ROWS($A$16:A82),'Прайс-лист'!$U$11:$U$310,0)),"")</f>
        <v/>
      </c>
      <c r="D82" s="59">
        <f>IFERROR(INDEX('Прайс-лист'!$C$11:$C$310,MATCH(ROWS($A$16:A82),'Прайс-лист'!$U$11:$U$310,0)),"")</f>
        <v/>
      </c>
      <c r="E82" s="59">
        <f>IFERROR(INDEX('Прайс-лист'!$E$11:$E$310,MATCH(ROWS($A$16:A82),'Прайс-лист'!$U$11:$U$310,0)),"")</f>
        <v/>
      </c>
      <c r="F82" s="58">
        <f>IFERROR(INDEX('Прайс-лист'!$F$11:$F$310,MATCH(ROWS($A$16:A82),'Прайс-лист'!$U$11:$U$310,0)),"")</f>
        <v/>
      </c>
      <c r="G82" s="61">
        <f>IFERROR(INDEX('Прайс-лист'!$R$11:$R$310,MATCH(ROWS($A$16:A82),'Прайс-лист'!$U$11:$U$310,0)),"")</f>
        <v/>
      </c>
      <c r="H82" s="60">
        <f>IFERROR(INDEX('Прайс-лист'!$P$11:$P$310,MATCH(ROWS($A$16:A82),'Прайс-лист'!$U$11:$U$310,0)),"")</f>
        <v/>
      </c>
      <c r="I82" s="61">
        <f>IFERROR(INDEX('Прайс-лист'!$S$11:$S$310,MATCH(ROWS($A$16:A82),'Прайс-лист'!$U$11:$U$310,0)),"")</f>
        <v/>
      </c>
      <c r="J82" s="61">
        <f>IFERROR($I82*0.22,"")</f>
        <v/>
      </c>
      <c r="K82" s="61">
        <f>IFERROR($I82+$J82,"")</f>
        <v/>
      </c>
      <c r="L82" s="59">
        <f>IFERROR(INDEX('Прайс-лист'!$Q$11:$Q$310,MATCH(ROWS($A$16:A82),'Прайс-лист'!$U$11:$U$310,0)),"")</f>
        <v/>
      </c>
    </row>
    <row r="83" ht="15" customHeight="1" s="49">
      <c r="A83" s="64">
        <f>IFERROR(IF(INDEX('Прайс-лист'!$U$11:$U$310,MATCH(ROWS($A$16:A83),'Прайс-лист'!$U$11:$U$310,0))="","",ROWS($A$16:A83)),"")</f>
        <v/>
      </c>
      <c r="B83" s="58">
        <f>IFERROR(INDEX('Прайс-лист'!$A$11:$A$310,MATCH(ROWS($A$16:A83),'Прайс-лист'!$U$11:$U$310,0)),"")</f>
        <v/>
      </c>
      <c r="C83" s="58">
        <f>IFERROR(INDEX('Прайс-лист'!$B$11:$B$310,MATCH(ROWS($A$16:A83),'Прайс-лист'!$U$11:$U$310,0)),"")</f>
        <v/>
      </c>
      <c r="D83" s="59">
        <f>IFERROR(INDEX('Прайс-лист'!$C$11:$C$310,MATCH(ROWS($A$16:A83),'Прайс-лист'!$U$11:$U$310,0)),"")</f>
        <v/>
      </c>
      <c r="E83" s="59">
        <f>IFERROR(INDEX('Прайс-лист'!$E$11:$E$310,MATCH(ROWS($A$16:A83),'Прайс-лист'!$U$11:$U$310,0)),"")</f>
        <v/>
      </c>
      <c r="F83" s="58">
        <f>IFERROR(INDEX('Прайс-лист'!$F$11:$F$310,MATCH(ROWS($A$16:A83),'Прайс-лист'!$U$11:$U$310,0)),"")</f>
        <v/>
      </c>
      <c r="G83" s="61">
        <f>IFERROR(INDEX('Прайс-лист'!$R$11:$R$310,MATCH(ROWS($A$16:A83),'Прайс-лист'!$U$11:$U$310,0)),"")</f>
        <v/>
      </c>
      <c r="H83" s="60">
        <f>IFERROR(INDEX('Прайс-лист'!$P$11:$P$310,MATCH(ROWS($A$16:A83),'Прайс-лист'!$U$11:$U$310,0)),"")</f>
        <v/>
      </c>
      <c r="I83" s="61">
        <f>IFERROR(INDEX('Прайс-лист'!$S$11:$S$310,MATCH(ROWS($A$16:A83),'Прайс-лист'!$U$11:$U$310,0)),"")</f>
        <v/>
      </c>
      <c r="J83" s="61">
        <f>IFERROR($I83*0.22,"")</f>
        <v/>
      </c>
      <c r="K83" s="61">
        <f>IFERROR($I83+$J83,"")</f>
        <v/>
      </c>
      <c r="L83" s="59">
        <f>IFERROR(INDEX('Прайс-лист'!$Q$11:$Q$310,MATCH(ROWS($A$16:A83),'Прайс-лист'!$U$11:$U$310,0)),"")</f>
        <v/>
      </c>
    </row>
    <row r="84" ht="15" customHeight="1" s="49">
      <c r="A84" s="64">
        <f>IFERROR(IF(INDEX('Прайс-лист'!$U$11:$U$310,MATCH(ROWS($A$16:A84),'Прайс-лист'!$U$11:$U$310,0))="","",ROWS($A$16:A84)),"")</f>
        <v/>
      </c>
      <c r="B84" s="58">
        <f>IFERROR(INDEX('Прайс-лист'!$A$11:$A$310,MATCH(ROWS($A$16:A84),'Прайс-лист'!$U$11:$U$310,0)),"")</f>
        <v/>
      </c>
      <c r="C84" s="58">
        <f>IFERROR(INDEX('Прайс-лист'!$B$11:$B$310,MATCH(ROWS($A$16:A84),'Прайс-лист'!$U$11:$U$310,0)),"")</f>
        <v/>
      </c>
      <c r="D84" s="59">
        <f>IFERROR(INDEX('Прайс-лист'!$C$11:$C$310,MATCH(ROWS($A$16:A84),'Прайс-лист'!$U$11:$U$310,0)),"")</f>
        <v/>
      </c>
      <c r="E84" s="59">
        <f>IFERROR(INDEX('Прайс-лист'!$E$11:$E$310,MATCH(ROWS($A$16:A84),'Прайс-лист'!$U$11:$U$310,0)),"")</f>
        <v/>
      </c>
      <c r="F84" s="58">
        <f>IFERROR(INDEX('Прайс-лист'!$F$11:$F$310,MATCH(ROWS($A$16:A84),'Прайс-лист'!$U$11:$U$310,0)),"")</f>
        <v/>
      </c>
      <c r="G84" s="61">
        <f>IFERROR(INDEX('Прайс-лист'!$R$11:$R$310,MATCH(ROWS($A$16:A84),'Прайс-лист'!$U$11:$U$310,0)),"")</f>
        <v/>
      </c>
      <c r="H84" s="60">
        <f>IFERROR(INDEX('Прайс-лист'!$P$11:$P$310,MATCH(ROWS($A$16:A84),'Прайс-лист'!$U$11:$U$310,0)),"")</f>
        <v/>
      </c>
      <c r="I84" s="61">
        <f>IFERROR(INDEX('Прайс-лист'!$S$11:$S$310,MATCH(ROWS($A$16:A84),'Прайс-лист'!$U$11:$U$310,0)),"")</f>
        <v/>
      </c>
      <c r="J84" s="61">
        <f>IFERROR($I84*0.22,"")</f>
        <v/>
      </c>
      <c r="K84" s="61">
        <f>IFERROR($I84+$J84,"")</f>
        <v/>
      </c>
      <c r="L84" s="59">
        <f>IFERROR(INDEX('Прайс-лист'!$Q$11:$Q$310,MATCH(ROWS($A$16:A84),'Прайс-лист'!$U$11:$U$310,0)),"")</f>
        <v/>
      </c>
    </row>
    <row r="85" ht="15" customHeight="1" s="49">
      <c r="A85" s="64">
        <f>IFERROR(IF(INDEX('Прайс-лист'!$U$11:$U$310,MATCH(ROWS($A$16:A85),'Прайс-лист'!$U$11:$U$310,0))="","",ROWS($A$16:A85)),"")</f>
        <v/>
      </c>
      <c r="B85" s="58">
        <f>IFERROR(INDEX('Прайс-лист'!$A$11:$A$310,MATCH(ROWS($A$16:A85),'Прайс-лист'!$U$11:$U$310,0)),"")</f>
        <v/>
      </c>
      <c r="C85" s="58">
        <f>IFERROR(INDEX('Прайс-лист'!$B$11:$B$310,MATCH(ROWS($A$16:A85),'Прайс-лист'!$U$11:$U$310,0)),"")</f>
        <v/>
      </c>
      <c r="D85" s="59">
        <f>IFERROR(INDEX('Прайс-лист'!$C$11:$C$310,MATCH(ROWS($A$16:A85),'Прайс-лист'!$U$11:$U$310,0)),"")</f>
        <v/>
      </c>
      <c r="E85" s="59">
        <f>IFERROR(INDEX('Прайс-лист'!$E$11:$E$310,MATCH(ROWS($A$16:A85),'Прайс-лист'!$U$11:$U$310,0)),"")</f>
        <v/>
      </c>
      <c r="F85" s="58">
        <f>IFERROR(INDEX('Прайс-лист'!$F$11:$F$310,MATCH(ROWS($A$16:A85),'Прайс-лист'!$U$11:$U$310,0)),"")</f>
        <v/>
      </c>
      <c r="G85" s="61">
        <f>IFERROR(INDEX('Прайс-лист'!$R$11:$R$310,MATCH(ROWS($A$16:A85),'Прайс-лист'!$U$11:$U$310,0)),"")</f>
        <v/>
      </c>
      <c r="H85" s="60">
        <f>IFERROR(INDEX('Прайс-лист'!$P$11:$P$310,MATCH(ROWS($A$16:A85),'Прайс-лист'!$U$11:$U$310,0)),"")</f>
        <v/>
      </c>
      <c r="I85" s="61">
        <f>IFERROR(INDEX('Прайс-лист'!$S$11:$S$310,MATCH(ROWS($A$16:A85),'Прайс-лист'!$U$11:$U$310,0)),"")</f>
        <v/>
      </c>
      <c r="J85" s="61">
        <f>IFERROR($I85*0.22,"")</f>
        <v/>
      </c>
      <c r="K85" s="61">
        <f>IFERROR($I85+$J85,"")</f>
        <v/>
      </c>
      <c r="L85" s="59">
        <f>IFERROR(INDEX('Прайс-лист'!$Q$11:$Q$310,MATCH(ROWS($A$16:A85),'Прайс-лист'!$U$11:$U$310,0)),"")</f>
        <v/>
      </c>
    </row>
    <row r="86" ht="15" customHeight="1" s="49">
      <c r="A86" s="64">
        <f>IFERROR(IF(INDEX('Прайс-лист'!$U$11:$U$310,MATCH(ROWS($A$16:A86),'Прайс-лист'!$U$11:$U$310,0))="","",ROWS($A$16:A86)),"")</f>
        <v/>
      </c>
      <c r="B86" s="58">
        <f>IFERROR(INDEX('Прайс-лист'!$A$11:$A$310,MATCH(ROWS($A$16:A86),'Прайс-лист'!$U$11:$U$310,0)),"")</f>
        <v/>
      </c>
      <c r="C86" s="58">
        <f>IFERROR(INDEX('Прайс-лист'!$B$11:$B$310,MATCH(ROWS($A$16:A86),'Прайс-лист'!$U$11:$U$310,0)),"")</f>
        <v/>
      </c>
      <c r="D86" s="59">
        <f>IFERROR(INDEX('Прайс-лист'!$C$11:$C$310,MATCH(ROWS($A$16:A86),'Прайс-лист'!$U$11:$U$310,0)),"")</f>
        <v/>
      </c>
      <c r="E86" s="59">
        <f>IFERROR(INDEX('Прайс-лист'!$E$11:$E$310,MATCH(ROWS($A$16:A86),'Прайс-лист'!$U$11:$U$310,0)),"")</f>
        <v/>
      </c>
      <c r="F86" s="58">
        <f>IFERROR(INDEX('Прайс-лист'!$F$11:$F$310,MATCH(ROWS($A$16:A86),'Прайс-лист'!$U$11:$U$310,0)),"")</f>
        <v/>
      </c>
      <c r="G86" s="61">
        <f>IFERROR(INDEX('Прайс-лист'!$R$11:$R$310,MATCH(ROWS($A$16:A86),'Прайс-лист'!$U$11:$U$310,0)),"")</f>
        <v/>
      </c>
      <c r="H86" s="60">
        <f>IFERROR(INDEX('Прайс-лист'!$P$11:$P$310,MATCH(ROWS($A$16:A86),'Прайс-лист'!$U$11:$U$310,0)),"")</f>
        <v/>
      </c>
      <c r="I86" s="61">
        <f>IFERROR(INDEX('Прайс-лист'!$S$11:$S$310,MATCH(ROWS($A$16:A86),'Прайс-лист'!$U$11:$U$310,0)),"")</f>
        <v/>
      </c>
      <c r="J86" s="61">
        <f>IFERROR($I86*0.22,"")</f>
        <v/>
      </c>
      <c r="K86" s="61">
        <f>IFERROR($I86+$J86,"")</f>
        <v/>
      </c>
      <c r="L86" s="59">
        <f>IFERROR(INDEX('Прайс-лист'!$Q$11:$Q$310,MATCH(ROWS($A$16:A86),'Прайс-лист'!$U$11:$U$310,0)),"")</f>
        <v/>
      </c>
    </row>
    <row r="87" ht="15" customHeight="1" s="49">
      <c r="A87" s="64">
        <f>IFERROR(IF(INDEX('Прайс-лист'!$U$11:$U$310,MATCH(ROWS($A$16:A87),'Прайс-лист'!$U$11:$U$310,0))="","",ROWS($A$16:A87)),"")</f>
        <v/>
      </c>
      <c r="B87" s="58">
        <f>IFERROR(INDEX('Прайс-лист'!$A$11:$A$310,MATCH(ROWS($A$16:A87),'Прайс-лист'!$U$11:$U$310,0)),"")</f>
        <v/>
      </c>
      <c r="C87" s="58">
        <f>IFERROR(INDEX('Прайс-лист'!$B$11:$B$310,MATCH(ROWS($A$16:A87),'Прайс-лист'!$U$11:$U$310,0)),"")</f>
        <v/>
      </c>
      <c r="D87" s="59">
        <f>IFERROR(INDEX('Прайс-лист'!$C$11:$C$310,MATCH(ROWS($A$16:A87),'Прайс-лист'!$U$11:$U$310,0)),"")</f>
        <v/>
      </c>
      <c r="E87" s="59">
        <f>IFERROR(INDEX('Прайс-лист'!$E$11:$E$310,MATCH(ROWS($A$16:A87),'Прайс-лист'!$U$11:$U$310,0)),"")</f>
        <v/>
      </c>
      <c r="F87" s="58">
        <f>IFERROR(INDEX('Прайс-лист'!$F$11:$F$310,MATCH(ROWS($A$16:A87),'Прайс-лист'!$U$11:$U$310,0)),"")</f>
        <v/>
      </c>
      <c r="G87" s="61">
        <f>IFERROR(INDEX('Прайс-лист'!$R$11:$R$310,MATCH(ROWS($A$16:A87),'Прайс-лист'!$U$11:$U$310,0)),"")</f>
        <v/>
      </c>
      <c r="H87" s="60">
        <f>IFERROR(INDEX('Прайс-лист'!$P$11:$P$310,MATCH(ROWS($A$16:A87),'Прайс-лист'!$U$11:$U$310,0)),"")</f>
        <v/>
      </c>
      <c r="I87" s="61">
        <f>IFERROR(INDEX('Прайс-лист'!$S$11:$S$310,MATCH(ROWS($A$16:A87),'Прайс-лист'!$U$11:$U$310,0)),"")</f>
        <v/>
      </c>
      <c r="J87" s="61">
        <f>IFERROR($I87*0.22,"")</f>
        <v/>
      </c>
      <c r="K87" s="61">
        <f>IFERROR($I87+$J87,"")</f>
        <v/>
      </c>
      <c r="L87" s="59">
        <f>IFERROR(INDEX('Прайс-лист'!$Q$11:$Q$310,MATCH(ROWS($A$16:A87),'Прайс-лист'!$U$11:$U$310,0)),"")</f>
        <v/>
      </c>
    </row>
    <row r="88" ht="15" customHeight="1" s="49">
      <c r="A88" s="64">
        <f>IFERROR(IF(INDEX('Прайс-лист'!$U$11:$U$310,MATCH(ROWS($A$16:A88),'Прайс-лист'!$U$11:$U$310,0))="","",ROWS($A$16:A88)),"")</f>
        <v/>
      </c>
      <c r="B88" s="58">
        <f>IFERROR(INDEX('Прайс-лист'!$A$11:$A$310,MATCH(ROWS($A$16:A88),'Прайс-лист'!$U$11:$U$310,0)),"")</f>
        <v/>
      </c>
      <c r="C88" s="58">
        <f>IFERROR(INDEX('Прайс-лист'!$B$11:$B$310,MATCH(ROWS($A$16:A88),'Прайс-лист'!$U$11:$U$310,0)),"")</f>
        <v/>
      </c>
      <c r="D88" s="59">
        <f>IFERROR(INDEX('Прайс-лист'!$C$11:$C$310,MATCH(ROWS($A$16:A88),'Прайс-лист'!$U$11:$U$310,0)),"")</f>
        <v/>
      </c>
      <c r="E88" s="59">
        <f>IFERROR(INDEX('Прайс-лист'!$E$11:$E$310,MATCH(ROWS($A$16:A88),'Прайс-лист'!$U$11:$U$310,0)),"")</f>
        <v/>
      </c>
      <c r="F88" s="58">
        <f>IFERROR(INDEX('Прайс-лист'!$F$11:$F$310,MATCH(ROWS($A$16:A88),'Прайс-лист'!$U$11:$U$310,0)),"")</f>
        <v/>
      </c>
      <c r="G88" s="61">
        <f>IFERROR(INDEX('Прайс-лист'!$R$11:$R$310,MATCH(ROWS($A$16:A88),'Прайс-лист'!$U$11:$U$310,0)),"")</f>
        <v/>
      </c>
      <c r="H88" s="60">
        <f>IFERROR(INDEX('Прайс-лист'!$P$11:$P$310,MATCH(ROWS($A$16:A88),'Прайс-лист'!$U$11:$U$310,0)),"")</f>
        <v/>
      </c>
      <c r="I88" s="61">
        <f>IFERROR(INDEX('Прайс-лист'!$S$11:$S$310,MATCH(ROWS($A$16:A88),'Прайс-лист'!$U$11:$U$310,0)),"")</f>
        <v/>
      </c>
      <c r="J88" s="61">
        <f>IFERROR($I88*0.22,"")</f>
        <v/>
      </c>
      <c r="K88" s="61">
        <f>IFERROR($I88+$J88,"")</f>
        <v/>
      </c>
      <c r="L88" s="59">
        <f>IFERROR(INDEX('Прайс-лист'!$Q$11:$Q$310,MATCH(ROWS($A$16:A88),'Прайс-лист'!$U$11:$U$310,0)),"")</f>
        <v/>
      </c>
    </row>
    <row r="89" ht="15" customHeight="1" s="49">
      <c r="A89" s="64">
        <f>IFERROR(IF(INDEX('Прайс-лист'!$U$11:$U$310,MATCH(ROWS($A$16:A89),'Прайс-лист'!$U$11:$U$310,0))="","",ROWS($A$16:A89)),"")</f>
        <v/>
      </c>
      <c r="B89" s="58">
        <f>IFERROR(INDEX('Прайс-лист'!$A$11:$A$310,MATCH(ROWS($A$16:A89),'Прайс-лист'!$U$11:$U$310,0)),"")</f>
        <v/>
      </c>
      <c r="C89" s="58">
        <f>IFERROR(INDEX('Прайс-лист'!$B$11:$B$310,MATCH(ROWS($A$16:A89),'Прайс-лист'!$U$11:$U$310,0)),"")</f>
        <v/>
      </c>
      <c r="D89" s="59">
        <f>IFERROR(INDEX('Прайс-лист'!$C$11:$C$310,MATCH(ROWS($A$16:A89),'Прайс-лист'!$U$11:$U$310,0)),"")</f>
        <v/>
      </c>
      <c r="E89" s="59">
        <f>IFERROR(INDEX('Прайс-лист'!$E$11:$E$310,MATCH(ROWS($A$16:A89),'Прайс-лист'!$U$11:$U$310,0)),"")</f>
        <v/>
      </c>
      <c r="F89" s="58">
        <f>IFERROR(INDEX('Прайс-лист'!$F$11:$F$310,MATCH(ROWS($A$16:A89),'Прайс-лист'!$U$11:$U$310,0)),"")</f>
        <v/>
      </c>
      <c r="G89" s="61">
        <f>IFERROR(INDEX('Прайс-лист'!$R$11:$R$310,MATCH(ROWS($A$16:A89),'Прайс-лист'!$U$11:$U$310,0)),"")</f>
        <v/>
      </c>
      <c r="H89" s="60">
        <f>IFERROR(INDEX('Прайс-лист'!$P$11:$P$310,MATCH(ROWS($A$16:A89),'Прайс-лист'!$U$11:$U$310,0)),"")</f>
        <v/>
      </c>
      <c r="I89" s="61">
        <f>IFERROR(INDEX('Прайс-лист'!$S$11:$S$310,MATCH(ROWS($A$16:A89),'Прайс-лист'!$U$11:$U$310,0)),"")</f>
        <v/>
      </c>
      <c r="J89" s="61">
        <f>IFERROR($I89*0.22,"")</f>
        <v/>
      </c>
      <c r="K89" s="61">
        <f>IFERROR($I89+$J89,"")</f>
        <v/>
      </c>
      <c r="L89" s="59">
        <f>IFERROR(INDEX('Прайс-лист'!$Q$11:$Q$310,MATCH(ROWS($A$16:A89),'Прайс-лист'!$U$11:$U$310,0)),"")</f>
        <v/>
      </c>
    </row>
    <row r="90" ht="15" customHeight="1" s="49">
      <c r="A90" s="64">
        <f>IFERROR(IF(INDEX('Прайс-лист'!$U$11:$U$310,MATCH(ROWS($A$16:A90),'Прайс-лист'!$U$11:$U$310,0))="","",ROWS($A$16:A90)),"")</f>
        <v/>
      </c>
      <c r="B90" s="58">
        <f>IFERROR(INDEX('Прайс-лист'!$A$11:$A$310,MATCH(ROWS($A$16:A90),'Прайс-лист'!$U$11:$U$310,0)),"")</f>
        <v/>
      </c>
      <c r="C90" s="58">
        <f>IFERROR(INDEX('Прайс-лист'!$B$11:$B$310,MATCH(ROWS($A$16:A90),'Прайс-лист'!$U$11:$U$310,0)),"")</f>
        <v/>
      </c>
      <c r="D90" s="59">
        <f>IFERROR(INDEX('Прайс-лист'!$C$11:$C$310,MATCH(ROWS($A$16:A90),'Прайс-лист'!$U$11:$U$310,0)),"")</f>
        <v/>
      </c>
      <c r="E90" s="59">
        <f>IFERROR(INDEX('Прайс-лист'!$E$11:$E$310,MATCH(ROWS($A$16:A90),'Прайс-лист'!$U$11:$U$310,0)),"")</f>
        <v/>
      </c>
      <c r="F90" s="58">
        <f>IFERROR(INDEX('Прайс-лист'!$F$11:$F$310,MATCH(ROWS($A$16:A90),'Прайс-лист'!$U$11:$U$310,0)),"")</f>
        <v/>
      </c>
      <c r="G90" s="61">
        <f>IFERROR(INDEX('Прайс-лист'!$R$11:$R$310,MATCH(ROWS($A$16:A90),'Прайс-лист'!$U$11:$U$310,0)),"")</f>
        <v/>
      </c>
      <c r="H90" s="60">
        <f>IFERROR(INDEX('Прайс-лист'!$P$11:$P$310,MATCH(ROWS($A$16:A90),'Прайс-лист'!$U$11:$U$310,0)),"")</f>
        <v/>
      </c>
      <c r="I90" s="61">
        <f>IFERROR(INDEX('Прайс-лист'!$S$11:$S$310,MATCH(ROWS($A$16:A90),'Прайс-лист'!$U$11:$U$310,0)),"")</f>
        <v/>
      </c>
      <c r="J90" s="61">
        <f>IFERROR($I90*0.22,"")</f>
        <v/>
      </c>
      <c r="K90" s="61">
        <f>IFERROR($I90+$J90,"")</f>
        <v/>
      </c>
      <c r="L90" s="59">
        <f>IFERROR(INDEX('Прайс-лист'!$Q$11:$Q$310,MATCH(ROWS($A$16:A90),'Прайс-лист'!$U$11:$U$310,0)),"")</f>
        <v/>
      </c>
    </row>
    <row r="91" ht="15" customHeight="1" s="49">
      <c r="A91" s="64">
        <f>IFERROR(IF(INDEX('Прайс-лист'!$U$11:$U$310,MATCH(ROWS($A$16:A91),'Прайс-лист'!$U$11:$U$310,0))="","",ROWS($A$16:A91)),"")</f>
        <v/>
      </c>
      <c r="B91" s="58">
        <f>IFERROR(INDEX('Прайс-лист'!$A$11:$A$310,MATCH(ROWS($A$16:A91),'Прайс-лист'!$U$11:$U$310,0)),"")</f>
        <v/>
      </c>
      <c r="C91" s="58">
        <f>IFERROR(INDEX('Прайс-лист'!$B$11:$B$310,MATCH(ROWS($A$16:A91),'Прайс-лист'!$U$11:$U$310,0)),"")</f>
        <v/>
      </c>
      <c r="D91" s="59">
        <f>IFERROR(INDEX('Прайс-лист'!$C$11:$C$310,MATCH(ROWS($A$16:A91),'Прайс-лист'!$U$11:$U$310,0)),"")</f>
        <v/>
      </c>
      <c r="E91" s="59">
        <f>IFERROR(INDEX('Прайс-лист'!$E$11:$E$310,MATCH(ROWS($A$16:A91),'Прайс-лист'!$U$11:$U$310,0)),"")</f>
        <v/>
      </c>
      <c r="F91" s="58">
        <f>IFERROR(INDEX('Прайс-лист'!$F$11:$F$310,MATCH(ROWS($A$16:A91),'Прайс-лист'!$U$11:$U$310,0)),"")</f>
        <v/>
      </c>
      <c r="G91" s="61">
        <f>IFERROR(INDEX('Прайс-лист'!$R$11:$R$310,MATCH(ROWS($A$16:A91),'Прайс-лист'!$U$11:$U$310,0)),"")</f>
        <v/>
      </c>
      <c r="H91" s="60">
        <f>IFERROR(INDEX('Прайс-лист'!$P$11:$P$310,MATCH(ROWS($A$16:A91),'Прайс-лист'!$U$11:$U$310,0)),"")</f>
        <v/>
      </c>
      <c r="I91" s="61">
        <f>IFERROR(INDEX('Прайс-лист'!$S$11:$S$310,MATCH(ROWS($A$16:A91),'Прайс-лист'!$U$11:$U$310,0)),"")</f>
        <v/>
      </c>
      <c r="J91" s="61">
        <f>IFERROR($I91*0.22,"")</f>
        <v/>
      </c>
      <c r="K91" s="61">
        <f>IFERROR($I91+$J91,"")</f>
        <v/>
      </c>
      <c r="L91" s="59">
        <f>IFERROR(INDEX('Прайс-лист'!$Q$11:$Q$310,MATCH(ROWS($A$16:A91),'Прайс-лист'!$U$11:$U$310,0)),"")</f>
        <v/>
      </c>
    </row>
    <row r="92" ht="15" customHeight="1" s="49">
      <c r="A92" s="64">
        <f>IFERROR(IF(INDEX('Прайс-лист'!$U$11:$U$310,MATCH(ROWS($A$16:A92),'Прайс-лист'!$U$11:$U$310,0))="","",ROWS($A$16:A92)),"")</f>
        <v/>
      </c>
      <c r="B92" s="58">
        <f>IFERROR(INDEX('Прайс-лист'!$A$11:$A$310,MATCH(ROWS($A$16:A92),'Прайс-лист'!$U$11:$U$310,0)),"")</f>
        <v/>
      </c>
      <c r="C92" s="58">
        <f>IFERROR(INDEX('Прайс-лист'!$B$11:$B$310,MATCH(ROWS($A$16:A92),'Прайс-лист'!$U$11:$U$310,0)),"")</f>
        <v/>
      </c>
      <c r="D92" s="59">
        <f>IFERROR(INDEX('Прайс-лист'!$C$11:$C$310,MATCH(ROWS($A$16:A92),'Прайс-лист'!$U$11:$U$310,0)),"")</f>
        <v/>
      </c>
      <c r="E92" s="59">
        <f>IFERROR(INDEX('Прайс-лист'!$E$11:$E$310,MATCH(ROWS($A$16:A92),'Прайс-лист'!$U$11:$U$310,0)),"")</f>
        <v/>
      </c>
      <c r="F92" s="58">
        <f>IFERROR(INDEX('Прайс-лист'!$F$11:$F$310,MATCH(ROWS($A$16:A92),'Прайс-лист'!$U$11:$U$310,0)),"")</f>
        <v/>
      </c>
      <c r="G92" s="61">
        <f>IFERROR(INDEX('Прайс-лист'!$R$11:$R$310,MATCH(ROWS($A$16:A92),'Прайс-лист'!$U$11:$U$310,0)),"")</f>
        <v/>
      </c>
      <c r="H92" s="60">
        <f>IFERROR(INDEX('Прайс-лист'!$P$11:$P$310,MATCH(ROWS($A$16:A92),'Прайс-лист'!$U$11:$U$310,0)),"")</f>
        <v/>
      </c>
      <c r="I92" s="61">
        <f>IFERROR(INDEX('Прайс-лист'!$S$11:$S$310,MATCH(ROWS($A$16:A92),'Прайс-лист'!$U$11:$U$310,0)),"")</f>
        <v/>
      </c>
      <c r="J92" s="61">
        <f>IFERROR($I92*0.22,"")</f>
        <v/>
      </c>
      <c r="K92" s="61">
        <f>IFERROR($I92+$J92,"")</f>
        <v/>
      </c>
      <c r="L92" s="59">
        <f>IFERROR(INDEX('Прайс-лист'!$Q$11:$Q$310,MATCH(ROWS($A$16:A92),'Прайс-лист'!$U$11:$U$310,0)),"")</f>
        <v/>
      </c>
    </row>
    <row r="93" ht="15" customHeight="1" s="49">
      <c r="A93" s="64">
        <f>IFERROR(IF(INDEX('Прайс-лист'!$U$11:$U$310,MATCH(ROWS($A$16:A93),'Прайс-лист'!$U$11:$U$310,0))="","",ROWS($A$16:A93)),"")</f>
        <v/>
      </c>
      <c r="B93" s="58">
        <f>IFERROR(INDEX('Прайс-лист'!$A$11:$A$310,MATCH(ROWS($A$16:A93),'Прайс-лист'!$U$11:$U$310,0)),"")</f>
        <v/>
      </c>
      <c r="C93" s="58">
        <f>IFERROR(INDEX('Прайс-лист'!$B$11:$B$310,MATCH(ROWS($A$16:A93),'Прайс-лист'!$U$11:$U$310,0)),"")</f>
        <v/>
      </c>
      <c r="D93" s="59">
        <f>IFERROR(INDEX('Прайс-лист'!$C$11:$C$310,MATCH(ROWS($A$16:A93),'Прайс-лист'!$U$11:$U$310,0)),"")</f>
        <v/>
      </c>
      <c r="E93" s="59">
        <f>IFERROR(INDEX('Прайс-лист'!$E$11:$E$310,MATCH(ROWS($A$16:A93),'Прайс-лист'!$U$11:$U$310,0)),"")</f>
        <v/>
      </c>
      <c r="F93" s="58">
        <f>IFERROR(INDEX('Прайс-лист'!$F$11:$F$310,MATCH(ROWS($A$16:A93),'Прайс-лист'!$U$11:$U$310,0)),"")</f>
        <v/>
      </c>
      <c r="G93" s="61">
        <f>IFERROR(INDEX('Прайс-лист'!$R$11:$R$310,MATCH(ROWS($A$16:A93),'Прайс-лист'!$U$11:$U$310,0)),"")</f>
        <v/>
      </c>
      <c r="H93" s="60">
        <f>IFERROR(INDEX('Прайс-лист'!$P$11:$P$310,MATCH(ROWS($A$16:A93),'Прайс-лист'!$U$11:$U$310,0)),"")</f>
        <v/>
      </c>
      <c r="I93" s="61">
        <f>IFERROR(INDEX('Прайс-лист'!$S$11:$S$310,MATCH(ROWS($A$16:A93),'Прайс-лист'!$U$11:$U$310,0)),"")</f>
        <v/>
      </c>
      <c r="J93" s="61">
        <f>IFERROR($I93*0.22,"")</f>
        <v/>
      </c>
      <c r="K93" s="61">
        <f>IFERROR($I93+$J93,"")</f>
        <v/>
      </c>
      <c r="L93" s="59">
        <f>IFERROR(INDEX('Прайс-лист'!$Q$11:$Q$310,MATCH(ROWS($A$16:A93),'Прайс-лист'!$U$11:$U$310,0)),"")</f>
        <v/>
      </c>
    </row>
    <row r="94" ht="15" customHeight="1" s="49">
      <c r="A94" s="64">
        <f>IFERROR(IF(INDEX('Прайс-лист'!$U$11:$U$310,MATCH(ROWS($A$16:A94),'Прайс-лист'!$U$11:$U$310,0))="","",ROWS($A$16:A94)),"")</f>
        <v/>
      </c>
      <c r="B94" s="58">
        <f>IFERROR(INDEX('Прайс-лист'!$A$11:$A$310,MATCH(ROWS($A$16:A94),'Прайс-лист'!$U$11:$U$310,0)),"")</f>
        <v/>
      </c>
      <c r="C94" s="58">
        <f>IFERROR(INDEX('Прайс-лист'!$B$11:$B$310,MATCH(ROWS($A$16:A94),'Прайс-лист'!$U$11:$U$310,0)),"")</f>
        <v/>
      </c>
      <c r="D94" s="59">
        <f>IFERROR(INDEX('Прайс-лист'!$C$11:$C$310,MATCH(ROWS($A$16:A94),'Прайс-лист'!$U$11:$U$310,0)),"")</f>
        <v/>
      </c>
      <c r="E94" s="59">
        <f>IFERROR(INDEX('Прайс-лист'!$E$11:$E$310,MATCH(ROWS($A$16:A94),'Прайс-лист'!$U$11:$U$310,0)),"")</f>
        <v/>
      </c>
      <c r="F94" s="58">
        <f>IFERROR(INDEX('Прайс-лист'!$F$11:$F$310,MATCH(ROWS($A$16:A94),'Прайс-лист'!$U$11:$U$310,0)),"")</f>
        <v/>
      </c>
      <c r="G94" s="61">
        <f>IFERROR(INDEX('Прайс-лист'!$R$11:$R$310,MATCH(ROWS($A$16:A94),'Прайс-лист'!$U$11:$U$310,0)),"")</f>
        <v/>
      </c>
      <c r="H94" s="60">
        <f>IFERROR(INDEX('Прайс-лист'!$P$11:$P$310,MATCH(ROWS($A$16:A94),'Прайс-лист'!$U$11:$U$310,0)),"")</f>
        <v/>
      </c>
      <c r="I94" s="61">
        <f>IFERROR(INDEX('Прайс-лист'!$S$11:$S$310,MATCH(ROWS($A$16:A94),'Прайс-лист'!$U$11:$U$310,0)),"")</f>
        <v/>
      </c>
      <c r="J94" s="61">
        <f>IFERROR($I94*0.22,"")</f>
        <v/>
      </c>
      <c r="K94" s="61">
        <f>IFERROR($I94+$J94,"")</f>
        <v/>
      </c>
      <c r="L94" s="59">
        <f>IFERROR(INDEX('Прайс-лист'!$Q$11:$Q$310,MATCH(ROWS($A$16:A94),'Прайс-лист'!$U$11:$U$310,0)),"")</f>
        <v/>
      </c>
    </row>
    <row r="95" ht="15" customHeight="1" s="49">
      <c r="A95" s="64">
        <f>IFERROR(IF(INDEX('Прайс-лист'!$U$11:$U$310,MATCH(ROWS($A$16:A95),'Прайс-лист'!$U$11:$U$310,0))="","",ROWS($A$16:A95)),"")</f>
        <v/>
      </c>
      <c r="B95" s="58">
        <f>IFERROR(INDEX('Прайс-лист'!$A$11:$A$310,MATCH(ROWS($A$16:A95),'Прайс-лист'!$U$11:$U$310,0)),"")</f>
        <v/>
      </c>
      <c r="C95" s="58">
        <f>IFERROR(INDEX('Прайс-лист'!$B$11:$B$310,MATCH(ROWS($A$16:A95),'Прайс-лист'!$U$11:$U$310,0)),"")</f>
        <v/>
      </c>
      <c r="D95" s="59">
        <f>IFERROR(INDEX('Прайс-лист'!$C$11:$C$310,MATCH(ROWS($A$16:A95),'Прайс-лист'!$U$11:$U$310,0)),"")</f>
        <v/>
      </c>
      <c r="E95" s="59">
        <f>IFERROR(INDEX('Прайс-лист'!$E$11:$E$310,MATCH(ROWS($A$16:A95),'Прайс-лист'!$U$11:$U$310,0)),"")</f>
        <v/>
      </c>
      <c r="F95" s="58">
        <f>IFERROR(INDEX('Прайс-лист'!$F$11:$F$310,MATCH(ROWS($A$16:A95),'Прайс-лист'!$U$11:$U$310,0)),"")</f>
        <v/>
      </c>
      <c r="G95" s="61">
        <f>IFERROR(INDEX('Прайс-лист'!$R$11:$R$310,MATCH(ROWS($A$16:A95),'Прайс-лист'!$U$11:$U$310,0)),"")</f>
        <v/>
      </c>
      <c r="H95" s="60">
        <f>IFERROR(INDEX('Прайс-лист'!$P$11:$P$310,MATCH(ROWS($A$16:A95),'Прайс-лист'!$U$11:$U$310,0)),"")</f>
        <v/>
      </c>
      <c r="I95" s="61">
        <f>IFERROR(INDEX('Прайс-лист'!$S$11:$S$310,MATCH(ROWS($A$16:A95),'Прайс-лист'!$U$11:$U$310,0)),"")</f>
        <v/>
      </c>
      <c r="J95" s="61">
        <f>IFERROR($I95*0.22,"")</f>
        <v/>
      </c>
      <c r="K95" s="61">
        <f>IFERROR($I95+$J95,"")</f>
        <v/>
      </c>
      <c r="L95" s="59">
        <f>IFERROR(INDEX('Прайс-лист'!$Q$11:$Q$310,MATCH(ROWS($A$16:A95),'Прайс-лист'!$U$11:$U$310,0)),"")</f>
        <v/>
      </c>
    </row>
    <row r="96" ht="15" customHeight="1" s="49">
      <c r="A96" s="64">
        <f>IFERROR(IF(INDEX('Прайс-лист'!$U$11:$U$310,MATCH(ROWS($A$16:A96),'Прайс-лист'!$U$11:$U$310,0))="","",ROWS($A$16:A96)),"")</f>
        <v/>
      </c>
      <c r="B96" s="58">
        <f>IFERROR(INDEX('Прайс-лист'!$A$11:$A$310,MATCH(ROWS($A$16:A96),'Прайс-лист'!$U$11:$U$310,0)),"")</f>
        <v/>
      </c>
      <c r="C96" s="58">
        <f>IFERROR(INDEX('Прайс-лист'!$B$11:$B$310,MATCH(ROWS($A$16:A96),'Прайс-лист'!$U$11:$U$310,0)),"")</f>
        <v/>
      </c>
      <c r="D96" s="59">
        <f>IFERROR(INDEX('Прайс-лист'!$C$11:$C$310,MATCH(ROWS($A$16:A96),'Прайс-лист'!$U$11:$U$310,0)),"")</f>
        <v/>
      </c>
      <c r="E96" s="59">
        <f>IFERROR(INDEX('Прайс-лист'!$E$11:$E$310,MATCH(ROWS($A$16:A96),'Прайс-лист'!$U$11:$U$310,0)),"")</f>
        <v/>
      </c>
      <c r="F96" s="58">
        <f>IFERROR(INDEX('Прайс-лист'!$F$11:$F$310,MATCH(ROWS($A$16:A96),'Прайс-лист'!$U$11:$U$310,0)),"")</f>
        <v/>
      </c>
      <c r="G96" s="61">
        <f>IFERROR(INDEX('Прайс-лист'!$R$11:$R$310,MATCH(ROWS($A$16:A96),'Прайс-лист'!$U$11:$U$310,0)),"")</f>
        <v/>
      </c>
      <c r="H96" s="60">
        <f>IFERROR(INDEX('Прайс-лист'!$P$11:$P$310,MATCH(ROWS($A$16:A96),'Прайс-лист'!$U$11:$U$310,0)),"")</f>
        <v/>
      </c>
      <c r="I96" s="61">
        <f>IFERROR(INDEX('Прайс-лист'!$S$11:$S$310,MATCH(ROWS($A$16:A96),'Прайс-лист'!$U$11:$U$310,0)),"")</f>
        <v/>
      </c>
      <c r="J96" s="61">
        <f>IFERROR($I96*0.22,"")</f>
        <v/>
      </c>
      <c r="K96" s="61">
        <f>IFERROR($I96+$J96,"")</f>
        <v/>
      </c>
      <c r="L96" s="59">
        <f>IFERROR(INDEX('Прайс-лист'!$Q$11:$Q$310,MATCH(ROWS($A$16:A96),'Прайс-лист'!$U$11:$U$310,0)),"")</f>
        <v/>
      </c>
    </row>
    <row r="97" ht="15" customHeight="1" s="49">
      <c r="A97" s="64">
        <f>IFERROR(IF(INDEX('Прайс-лист'!$U$11:$U$310,MATCH(ROWS($A$16:A97),'Прайс-лист'!$U$11:$U$310,0))="","",ROWS($A$16:A97)),"")</f>
        <v/>
      </c>
      <c r="B97" s="58">
        <f>IFERROR(INDEX('Прайс-лист'!$A$11:$A$310,MATCH(ROWS($A$16:A97),'Прайс-лист'!$U$11:$U$310,0)),"")</f>
        <v/>
      </c>
      <c r="C97" s="58">
        <f>IFERROR(INDEX('Прайс-лист'!$B$11:$B$310,MATCH(ROWS($A$16:A97),'Прайс-лист'!$U$11:$U$310,0)),"")</f>
        <v/>
      </c>
      <c r="D97" s="59">
        <f>IFERROR(INDEX('Прайс-лист'!$C$11:$C$310,MATCH(ROWS($A$16:A97),'Прайс-лист'!$U$11:$U$310,0)),"")</f>
        <v/>
      </c>
      <c r="E97" s="59">
        <f>IFERROR(INDEX('Прайс-лист'!$E$11:$E$310,MATCH(ROWS($A$16:A97),'Прайс-лист'!$U$11:$U$310,0)),"")</f>
        <v/>
      </c>
      <c r="F97" s="58">
        <f>IFERROR(INDEX('Прайс-лист'!$F$11:$F$310,MATCH(ROWS($A$16:A97),'Прайс-лист'!$U$11:$U$310,0)),"")</f>
        <v/>
      </c>
      <c r="G97" s="61">
        <f>IFERROR(INDEX('Прайс-лист'!$R$11:$R$310,MATCH(ROWS($A$16:A97),'Прайс-лист'!$U$11:$U$310,0)),"")</f>
        <v/>
      </c>
      <c r="H97" s="60">
        <f>IFERROR(INDEX('Прайс-лист'!$P$11:$P$310,MATCH(ROWS($A$16:A97),'Прайс-лист'!$U$11:$U$310,0)),"")</f>
        <v/>
      </c>
      <c r="I97" s="61">
        <f>IFERROR(INDEX('Прайс-лист'!$S$11:$S$310,MATCH(ROWS($A$16:A97),'Прайс-лист'!$U$11:$U$310,0)),"")</f>
        <v/>
      </c>
      <c r="J97" s="61">
        <f>IFERROR($I97*0.22,"")</f>
        <v/>
      </c>
      <c r="K97" s="61">
        <f>IFERROR($I97+$J97,"")</f>
        <v/>
      </c>
      <c r="L97" s="59">
        <f>IFERROR(INDEX('Прайс-лист'!$Q$11:$Q$310,MATCH(ROWS($A$16:A97),'Прайс-лист'!$U$11:$U$310,0)),"")</f>
        <v/>
      </c>
    </row>
    <row r="98" ht="15" customHeight="1" s="49">
      <c r="A98" s="64">
        <f>IFERROR(IF(INDEX('Прайс-лист'!$U$11:$U$310,MATCH(ROWS($A$16:A98),'Прайс-лист'!$U$11:$U$310,0))="","",ROWS($A$16:A98)),"")</f>
        <v/>
      </c>
      <c r="B98" s="58">
        <f>IFERROR(INDEX('Прайс-лист'!$A$11:$A$310,MATCH(ROWS($A$16:A98),'Прайс-лист'!$U$11:$U$310,0)),"")</f>
        <v/>
      </c>
      <c r="C98" s="58">
        <f>IFERROR(INDEX('Прайс-лист'!$B$11:$B$310,MATCH(ROWS($A$16:A98),'Прайс-лист'!$U$11:$U$310,0)),"")</f>
        <v/>
      </c>
      <c r="D98" s="59">
        <f>IFERROR(INDEX('Прайс-лист'!$C$11:$C$310,MATCH(ROWS($A$16:A98),'Прайс-лист'!$U$11:$U$310,0)),"")</f>
        <v/>
      </c>
      <c r="E98" s="59">
        <f>IFERROR(INDEX('Прайс-лист'!$E$11:$E$310,MATCH(ROWS($A$16:A98),'Прайс-лист'!$U$11:$U$310,0)),"")</f>
        <v/>
      </c>
      <c r="F98" s="58">
        <f>IFERROR(INDEX('Прайс-лист'!$F$11:$F$310,MATCH(ROWS($A$16:A98),'Прайс-лист'!$U$11:$U$310,0)),"")</f>
        <v/>
      </c>
      <c r="G98" s="61">
        <f>IFERROR(INDEX('Прайс-лист'!$R$11:$R$310,MATCH(ROWS($A$16:A98),'Прайс-лист'!$U$11:$U$310,0)),"")</f>
        <v/>
      </c>
      <c r="H98" s="60">
        <f>IFERROR(INDEX('Прайс-лист'!$P$11:$P$310,MATCH(ROWS($A$16:A98),'Прайс-лист'!$U$11:$U$310,0)),"")</f>
        <v/>
      </c>
      <c r="I98" s="61">
        <f>IFERROR(INDEX('Прайс-лист'!$S$11:$S$310,MATCH(ROWS($A$16:A98),'Прайс-лист'!$U$11:$U$310,0)),"")</f>
        <v/>
      </c>
      <c r="J98" s="61">
        <f>IFERROR($I98*0.22,"")</f>
        <v/>
      </c>
      <c r="K98" s="61">
        <f>IFERROR($I98+$J98,"")</f>
        <v/>
      </c>
      <c r="L98" s="59">
        <f>IFERROR(INDEX('Прайс-лист'!$Q$11:$Q$310,MATCH(ROWS($A$16:A98),'Прайс-лист'!$U$11:$U$310,0)),"")</f>
        <v/>
      </c>
    </row>
    <row r="99" ht="15" customHeight="1" s="49">
      <c r="A99" s="64">
        <f>IFERROR(IF(INDEX('Прайс-лист'!$U$11:$U$310,MATCH(ROWS($A$16:A99),'Прайс-лист'!$U$11:$U$310,0))="","",ROWS($A$16:A99)),"")</f>
        <v/>
      </c>
      <c r="B99" s="58">
        <f>IFERROR(INDEX('Прайс-лист'!$A$11:$A$310,MATCH(ROWS($A$16:A99),'Прайс-лист'!$U$11:$U$310,0)),"")</f>
        <v/>
      </c>
      <c r="C99" s="58">
        <f>IFERROR(INDEX('Прайс-лист'!$B$11:$B$310,MATCH(ROWS($A$16:A99),'Прайс-лист'!$U$11:$U$310,0)),"")</f>
        <v/>
      </c>
      <c r="D99" s="59">
        <f>IFERROR(INDEX('Прайс-лист'!$C$11:$C$310,MATCH(ROWS($A$16:A99),'Прайс-лист'!$U$11:$U$310,0)),"")</f>
        <v/>
      </c>
      <c r="E99" s="59">
        <f>IFERROR(INDEX('Прайс-лист'!$E$11:$E$310,MATCH(ROWS($A$16:A99),'Прайс-лист'!$U$11:$U$310,0)),"")</f>
        <v/>
      </c>
      <c r="F99" s="58">
        <f>IFERROR(INDEX('Прайс-лист'!$F$11:$F$310,MATCH(ROWS($A$16:A99),'Прайс-лист'!$U$11:$U$310,0)),"")</f>
        <v/>
      </c>
      <c r="G99" s="61">
        <f>IFERROR(INDEX('Прайс-лист'!$R$11:$R$310,MATCH(ROWS($A$16:A99),'Прайс-лист'!$U$11:$U$310,0)),"")</f>
        <v/>
      </c>
      <c r="H99" s="60">
        <f>IFERROR(INDEX('Прайс-лист'!$P$11:$P$310,MATCH(ROWS($A$16:A99),'Прайс-лист'!$U$11:$U$310,0)),"")</f>
        <v/>
      </c>
      <c r="I99" s="61">
        <f>IFERROR(INDEX('Прайс-лист'!$S$11:$S$310,MATCH(ROWS($A$16:A99),'Прайс-лист'!$U$11:$U$310,0)),"")</f>
        <v/>
      </c>
      <c r="J99" s="61">
        <f>IFERROR($I99*0.22,"")</f>
        <v/>
      </c>
      <c r="K99" s="61">
        <f>IFERROR($I99+$J99,"")</f>
        <v/>
      </c>
      <c r="L99" s="59">
        <f>IFERROR(INDEX('Прайс-лист'!$Q$11:$Q$310,MATCH(ROWS($A$16:A99),'Прайс-лист'!$U$11:$U$310,0)),"")</f>
        <v/>
      </c>
    </row>
    <row r="100" ht="15" customHeight="1" s="49">
      <c r="A100" s="64">
        <f>IFERROR(IF(INDEX('Прайс-лист'!$U$11:$U$310,MATCH(ROWS($A$16:A100),'Прайс-лист'!$U$11:$U$310,0))="","",ROWS($A$16:A100)),"")</f>
        <v/>
      </c>
      <c r="B100" s="58">
        <f>IFERROR(INDEX('Прайс-лист'!$A$11:$A$310,MATCH(ROWS($A$16:A100),'Прайс-лист'!$U$11:$U$310,0)),"")</f>
        <v/>
      </c>
      <c r="C100" s="58">
        <f>IFERROR(INDEX('Прайс-лист'!$B$11:$B$310,MATCH(ROWS($A$16:A100),'Прайс-лист'!$U$11:$U$310,0)),"")</f>
        <v/>
      </c>
      <c r="D100" s="59">
        <f>IFERROR(INDEX('Прайс-лист'!$C$11:$C$310,MATCH(ROWS($A$16:A100),'Прайс-лист'!$U$11:$U$310,0)),"")</f>
        <v/>
      </c>
      <c r="E100" s="59">
        <f>IFERROR(INDEX('Прайс-лист'!$E$11:$E$310,MATCH(ROWS($A$16:A100),'Прайс-лист'!$U$11:$U$310,0)),"")</f>
        <v/>
      </c>
      <c r="F100" s="58">
        <f>IFERROR(INDEX('Прайс-лист'!$F$11:$F$310,MATCH(ROWS($A$16:A100),'Прайс-лист'!$U$11:$U$310,0)),"")</f>
        <v/>
      </c>
      <c r="G100" s="61">
        <f>IFERROR(INDEX('Прайс-лист'!$R$11:$R$310,MATCH(ROWS($A$16:A100),'Прайс-лист'!$U$11:$U$310,0)),"")</f>
        <v/>
      </c>
      <c r="H100" s="60">
        <f>IFERROR(INDEX('Прайс-лист'!$P$11:$P$310,MATCH(ROWS($A$16:A100),'Прайс-лист'!$U$11:$U$310,0)),"")</f>
        <v/>
      </c>
      <c r="I100" s="61">
        <f>IFERROR(INDEX('Прайс-лист'!$S$11:$S$310,MATCH(ROWS($A$16:A100),'Прайс-лист'!$U$11:$U$310,0)),"")</f>
        <v/>
      </c>
      <c r="J100" s="61">
        <f>IFERROR($I100*0.22,"")</f>
        <v/>
      </c>
      <c r="K100" s="61">
        <f>IFERROR($I100+$J100,"")</f>
        <v/>
      </c>
      <c r="L100" s="59">
        <f>IFERROR(INDEX('Прайс-лист'!$Q$11:$Q$310,MATCH(ROWS($A$16:A100),'Прайс-лист'!$U$11:$U$310,0)),"")</f>
        <v/>
      </c>
    </row>
    <row r="101" ht="15" customHeight="1" s="49">
      <c r="A101" s="64">
        <f>IFERROR(IF(INDEX('Прайс-лист'!$U$11:$U$310,MATCH(ROWS($A$16:A101),'Прайс-лист'!$U$11:$U$310,0))="","",ROWS($A$16:A101)),"")</f>
        <v/>
      </c>
      <c r="B101" s="58">
        <f>IFERROR(INDEX('Прайс-лист'!$A$11:$A$310,MATCH(ROWS($A$16:A101),'Прайс-лист'!$U$11:$U$310,0)),"")</f>
        <v/>
      </c>
      <c r="C101" s="58">
        <f>IFERROR(INDEX('Прайс-лист'!$B$11:$B$310,MATCH(ROWS($A$16:A101),'Прайс-лист'!$U$11:$U$310,0)),"")</f>
        <v/>
      </c>
      <c r="D101" s="59">
        <f>IFERROR(INDEX('Прайс-лист'!$C$11:$C$310,MATCH(ROWS($A$16:A101),'Прайс-лист'!$U$11:$U$310,0)),"")</f>
        <v/>
      </c>
      <c r="E101" s="59">
        <f>IFERROR(INDEX('Прайс-лист'!$E$11:$E$310,MATCH(ROWS($A$16:A101),'Прайс-лист'!$U$11:$U$310,0)),"")</f>
        <v/>
      </c>
      <c r="F101" s="58">
        <f>IFERROR(INDEX('Прайс-лист'!$F$11:$F$310,MATCH(ROWS($A$16:A101),'Прайс-лист'!$U$11:$U$310,0)),"")</f>
        <v/>
      </c>
      <c r="G101" s="61">
        <f>IFERROR(INDEX('Прайс-лист'!$R$11:$R$310,MATCH(ROWS($A$16:A101),'Прайс-лист'!$U$11:$U$310,0)),"")</f>
        <v/>
      </c>
      <c r="H101" s="60">
        <f>IFERROR(INDEX('Прайс-лист'!$P$11:$P$310,MATCH(ROWS($A$16:A101),'Прайс-лист'!$U$11:$U$310,0)),"")</f>
        <v/>
      </c>
      <c r="I101" s="61">
        <f>IFERROR(INDEX('Прайс-лист'!$S$11:$S$310,MATCH(ROWS($A$16:A101),'Прайс-лист'!$U$11:$U$310,0)),"")</f>
        <v/>
      </c>
      <c r="J101" s="61">
        <f>IFERROR($I101*0.22,"")</f>
        <v/>
      </c>
      <c r="K101" s="61">
        <f>IFERROR($I101+$J101,"")</f>
        <v/>
      </c>
      <c r="L101" s="59">
        <f>IFERROR(INDEX('Прайс-лист'!$Q$11:$Q$310,MATCH(ROWS($A$16:A101),'Прайс-лист'!$U$11:$U$310,0)),"")</f>
        <v/>
      </c>
    </row>
    <row r="102" ht="15" customHeight="1" s="49">
      <c r="A102" s="64">
        <f>IFERROR(IF(INDEX('Прайс-лист'!$U$11:$U$310,MATCH(ROWS($A$16:A102),'Прайс-лист'!$U$11:$U$310,0))="","",ROWS($A$16:A102)),"")</f>
        <v/>
      </c>
      <c r="B102" s="58">
        <f>IFERROR(INDEX('Прайс-лист'!$A$11:$A$310,MATCH(ROWS($A$16:A102),'Прайс-лист'!$U$11:$U$310,0)),"")</f>
        <v/>
      </c>
      <c r="C102" s="58">
        <f>IFERROR(INDEX('Прайс-лист'!$B$11:$B$310,MATCH(ROWS($A$16:A102),'Прайс-лист'!$U$11:$U$310,0)),"")</f>
        <v/>
      </c>
      <c r="D102" s="59">
        <f>IFERROR(INDEX('Прайс-лист'!$C$11:$C$310,MATCH(ROWS($A$16:A102),'Прайс-лист'!$U$11:$U$310,0)),"")</f>
        <v/>
      </c>
      <c r="E102" s="59">
        <f>IFERROR(INDEX('Прайс-лист'!$E$11:$E$310,MATCH(ROWS($A$16:A102),'Прайс-лист'!$U$11:$U$310,0)),"")</f>
        <v/>
      </c>
      <c r="F102" s="58">
        <f>IFERROR(INDEX('Прайс-лист'!$F$11:$F$310,MATCH(ROWS($A$16:A102),'Прайс-лист'!$U$11:$U$310,0)),"")</f>
        <v/>
      </c>
      <c r="G102" s="61">
        <f>IFERROR(INDEX('Прайс-лист'!$R$11:$R$310,MATCH(ROWS($A$16:A102),'Прайс-лист'!$U$11:$U$310,0)),"")</f>
        <v/>
      </c>
      <c r="H102" s="60">
        <f>IFERROR(INDEX('Прайс-лист'!$P$11:$P$310,MATCH(ROWS($A$16:A102),'Прайс-лист'!$U$11:$U$310,0)),"")</f>
        <v/>
      </c>
      <c r="I102" s="61">
        <f>IFERROR(INDEX('Прайс-лист'!$S$11:$S$310,MATCH(ROWS($A$16:A102),'Прайс-лист'!$U$11:$U$310,0)),"")</f>
        <v/>
      </c>
      <c r="J102" s="61">
        <f>IFERROR($I102*0.22,"")</f>
        <v/>
      </c>
      <c r="K102" s="61">
        <f>IFERROR($I102+$J102,"")</f>
        <v/>
      </c>
      <c r="L102" s="59">
        <f>IFERROR(INDEX('Прайс-лист'!$Q$11:$Q$310,MATCH(ROWS($A$16:A102),'Прайс-лист'!$U$11:$U$310,0)),"")</f>
        <v/>
      </c>
    </row>
    <row r="103" ht="15" customHeight="1" s="49">
      <c r="A103" s="64">
        <f>IFERROR(IF(INDEX('Прайс-лист'!$U$11:$U$310,MATCH(ROWS($A$16:A103),'Прайс-лист'!$U$11:$U$310,0))="","",ROWS($A$16:A103)),"")</f>
        <v/>
      </c>
      <c r="B103" s="58">
        <f>IFERROR(INDEX('Прайс-лист'!$A$11:$A$310,MATCH(ROWS($A$16:A103),'Прайс-лист'!$U$11:$U$310,0)),"")</f>
        <v/>
      </c>
      <c r="C103" s="58">
        <f>IFERROR(INDEX('Прайс-лист'!$B$11:$B$310,MATCH(ROWS($A$16:A103),'Прайс-лист'!$U$11:$U$310,0)),"")</f>
        <v/>
      </c>
      <c r="D103" s="59">
        <f>IFERROR(INDEX('Прайс-лист'!$C$11:$C$310,MATCH(ROWS($A$16:A103),'Прайс-лист'!$U$11:$U$310,0)),"")</f>
        <v/>
      </c>
      <c r="E103" s="59">
        <f>IFERROR(INDEX('Прайс-лист'!$E$11:$E$310,MATCH(ROWS($A$16:A103),'Прайс-лист'!$U$11:$U$310,0)),"")</f>
        <v/>
      </c>
      <c r="F103" s="58">
        <f>IFERROR(INDEX('Прайс-лист'!$F$11:$F$310,MATCH(ROWS($A$16:A103),'Прайс-лист'!$U$11:$U$310,0)),"")</f>
        <v/>
      </c>
      <c r="G103" s="61">
        <f>IFERROR(INDEX('Прайс-лист'!$R$11:$R$310,MATCH(ROWS($A$16:A103),'Прайс-лист'!$U$11:$U$310,0)),"")</f>
        <v/>
      </c>
      <c r="H103" s="60">
        <f>IFERROR(INDEX('Прайс-лист'!$P$11:$P$310,MATCH(ROWS($A$16:A103),'Прайс-лист'!$U$11:$U$310,0)),"")</f>
        <v/>
      </c>
      <c r="I103" s="61">
        <f>IFERROR(INDEX('Прайс-лист'!$S$11:$S$310,MATCH(ROWS($A$16:A103),'Прайс-лист'!$U$11:$U$310,0)),"")</f>
        <v/>
      </c>
      <c r="J103" s="61">
        <f>IFERROR($I103*0.22,"")</f>
        <v/>
      </c>
      <c r="K103" s="61">
        <f>IFERROR($I103+$J103,"")</f>
        <v/>
      </c>
      <c r="L103" s="59">
        <f>IFERROR(INDEX('Прайс-лист'!$Q$11:$Q$310,MATCH(ROWS($A$16:A103),'Прайс-лист'!$U$11:$U$310,0)),"")</f>
        <v/>
      </c>
    </row>
    <row r="104" ht="15" customHeight="1" s="49">
      <c r="A104" s="64">
        <f>IFERROR(IF(INDEX('Прайс-лист'!$U$11:$U$310,MATCH(ROWS($A$16:A104),'Прайс-лист'!$U$11:$U$310,0))="","",ROWS($A$16:A104)),"")</f>
        <v/>
      </c>
      <c r="B104" s="58">
        <f>IFERROR(INDEX('Прайс-лист'!$A$11:$A$310,MATCH(ROWS($A$16:A104),'Прайс-лист'!$U$11:$U$310,0)),"")</f>
        <v/>
      </c>
      <c r="C104" s="58">
        <f>IFERROR(INDEX('Прайс-лист'!$B$11:$B$310,MATCH(ROWS($A$16:A104),'Прайс-лист'!$U$11:$U$310,0)),"")</f>
        <v/>
      </c>
      <c r="D104" s="59">
        <f>IFERROR(INDEX('Прайс-лист'!$C$11:$C$310,MATCH(ROWS($A$16:A104),'Прайс-лист'!$U$11:$U$310,0)),"")</f>
        <v/>
      </c>
      <c r="E104" s="59">
        <f>IFERROR(INDEX('Прайс-лист'!$E$11:$E$310,MATCH(ROWS($A$16:A104),'Прайс-лист'!$U$11:$U$310,0)),"")</f>
        <v/>
      </c>
      <c r="F104" s="58">
        <f>IFERROR(INDEX('Прайс-лист'!$F$11:$F$310,MATCH(ROWS($A$16:A104),'Прайс-лист'!$U$11:$U$310,0)),"")</f>
        <v/>
      </c>
      <c r="G104" s="61">
        <f>IFERROR(INDEX('Прайс-лист'!$R$11:$R$310,MATCH(ROWS($A$16:A104),'Прайс-лист'!$U$11:$U$310,0)),"")</f>
        <v/>
      </c>
      <c r="H104" s="60">
        <f>IFERROR(INDEX('Прайс-лист'!$P$11:$P$310,MATCH(ROWS($A$16:A104),'Прайс-лист'!$U$11:$U$310,0)),"")</f>
        <v/>
      </c>
      <c r="I104" s="61">
        <f>IFERROR(INDEX('Прайс-лист'!$S$11:$S$310,MATCH(ROWS($A$16:A104),'Прайс-лист'!$U$11:$U$310,0)),"")</f>
        <v/>
      </c>
      <c r="J104" s="61">
        <f>IFERROR($I104*0.22,"")</f>
        <v/>
      </c>
      <c r="K104" s="61">
        <f>IFERROR($I104+$J104,"")</f>
        <v/>
      </c>
      <c r="L104" s="59">
        <f>IFERROR(INDEX('Прайс-лист'!$Q$11:$Q$310,MATCH(ROWS($A$16:A104),'Прайс-лист'!$U$11:$U$310,0)),"")</f>
        <v/>
      </c>
    </row>
    <row r="105" ht="15" customHeight="1" s="49">
      <c r="A105" s="64">
        <f>IFERROR(IF(INDEX('Прайс-лист'!$U$11:$U$310,MATCH(ROWS($A$16:A105),'Прайс-лист'!$U$11:$U$310,0))="","",ROWS($A$16:A105)),"")</f>
        <v/>
      </c>
      <c r="B105" s="58">
        <f>IFERROR(INDEX('Прайс-лист'!$A$11:$A$310,MATCH(ROWS($A$16:A105),'Прайс-лист'!$U$11:$U$310,0)),"")</f>
        <v/>
      </c>
      <c r="C105" s="58">
        <f>IFERROR(INDEX('Прайс-лист'!$B$11:$B$310,MATCH(ROWS($A$16:A105),'Прайс-лист'!$U$11:$U$310,0)),"")</f>
        <v/>
      </c>
      <c r="D105" s="59">
        <f>IFERROR(INDEX('Прайс-лист'!$C$11:$C$310,MATCH(ROWS($A$16:A105),'Прайс-лист'!$U$11:$U$310,0)),"")</f>
        <v/>
      </c>
      <c r="E105" s="59">
        <f>IFERROR(INDEX('Прайс-лист'!$E$11:$E$310,MATCH(ROWS($A$16:A105),'Прайс-лист'!$U$11:$U$310,0)),"")</f>
        <v/>
      </c>
      <c r="F105" s="58">
        <f>IFERROR(INDEX('Прайс-лист'!$F$11:$F$310,MATCH(ROWS($A$16:A105),'Прайс-лист'!$U$11:$U$310,0)),"")</f>
        <v/>
      </c>
      <c r="G105" s="61">
        <f>IFERROR(INDEX('Прайс-лист'!$R$11:$R$310,MATCH(ROWS($A$16:A105),'Прайс-лист'!$U$11:$U$310,0)),"")</f>
        <v/>
      </c>
      <c r="H105" s="60">
        <f>IFERROR(INDEX('Прайс-лист'!$P$11:$P$310,MATCH(ROWS($A$16:A105),'Прайс-лист'!$U$11:$U$310,0)),"")</f>
        <v/>
      </c>
      <c r="I105" s="61">
        <f>IFERROR(INDEX('Прайс-лист'!$S$11:$S$310,MATCH(ROWS($A$16:A105),'Прайс-лист'!$U$11:$U$310,0)),"")</f>
        <v/>
      </c>
      <c r="J105" s="61">
        <f>IFERROR($I105*0.22,"")</f>
        <v/>
      </c>
      <c r="K105" s="61">
        <f>IFERROR($I105+$J105,"")</f>
        <v/>
      </c>
      <c r="L105" s="59">
        <f>IFERROR(INDEX('Прайс-лист'!$Q$11:$Q$310,MATCH(ROWS($A$16:A105),'Прайс-лист'!$U$11:$U$310,0)),"")</f>
        <v/>
      </c>
    </row>
    <row r="106" ht="15" customHeight="1" s="49">
      <c r="A106" s="64">
        <f>IFERROR(IF(INDEX('Прайс-лист'!$U$11:$U$310,MATCH(ROWS($A$16:A106),'Прайс-лист'!$U$11:$U$310,0))="","",ROWS($A$16:A106)),"")</f>
        <v/>
      </c>
      <c r="B106" s="58">
        <f>IFERROR(INDEX('Прайс-лист'!$A$11:$A$310,MATCH(ROWS($A$16:A106),'Прайс-лист'!$U$11:$U$310,0)),"")</f>
        <v/>
      </c>
      <c r="C106" s="58">
        <f>IFERROR(INDEX('Прайс-лист'!$B$11:$B$310,MATCH(ROWS($A$16:A106),'Прайс-лист'!$U$11:$U$310,0)),"")</f>
        <v/>
      </c>
      <c r="D106" s="59">
        <f>IFERROR(INDEX('Прайс-лист'!$C$11:$C$310,MATCH(ROWS($A$16:A106),'Прайс-лист'!$U$11:$U$310,0)),"")</f>
        <v/>
      </c>
      <c r="E106" s="59">
        <f>IFERROR(INDEX('Прайс-лист'!$E$11:$E$310,MATCH(ROWS($A$16:A106),'Прайс-лист'!$U$11:$U$310,0)),"")</f>
        <v/>
      </c>
      <c r="F106" s="58">
        <f>IFERROR(INDEX('Прайс-лист'!$F$11:$F$310,MATCH(ROWS($A$16:A106),'Прайс-лист'!$U$11:$U$310,0)),"")</f>
        <v/>
      </c>
      <c r="G106" s="61">
        <f>IFERROR(INDEX('Прайс-лист'!$R$11:$R$310,MATCH(ROWS($A$16:A106),'Прайс-лист'!$U$11:$U$310,0)),"")</f>
        <v/>
      </c>
      <c r="H106" s="60">
        <f>IFERROR(INDEX('Прайс-лист'!$P$11:$P$310,MATCH(ROWS($A$16:A106),'Прайс-лист'!$U$11:$U$310,0)),"")</f>
        <v/>
      </c>
      <c r="I106" s="61">
        <f>IFERROR(INDEX('Прайс-лист'!$S$11:$S$310,MATCH(ROWS($A$16:A106),'Прайс-лист'!$U$11:$U$310,0)),"")</f>
        <v/>
      </c>
      <c r="J106" s="61">
        <f>IFERROR($I106*0.22,"")</f>
        <v/>
      </c>
      <c r="K106" s="61">
        <f>IFERROR($I106+$J106,"")</f>
        <v/>
      </c>
      <c r="L106" s="59">
        <f>IFERROR(INDEX('Прайс-лист'!$Q$11:$Q$310,MATCH(ROWS($A$16:A106),'Прайс-лист'!$U$11:$U$310,0)),"")</f>
        <v/>
      </c>
    </row>
    <row r="107" ht="15" customHeight="1" s="49">
      <c r="A107" s="64">
        <f>IFERROR(IF(INDEX('Прайс-лист'!$U$11:$U$310,MATCH(ROWS($A$16:A107),'Прайс-лист'!$U$11:$U$310,0))="","",ROWS($A$16:A107)),"")</f>
        <v/>
      </c>
      <c r="B107" s="58">
        <f>IFERROR(INDEX('Прайс-лист'!$A$11:$A$310,MATCH(ROWS($A$16:A107),'Прайс-лист'!$U$11:$U$310,0)),"")</f>
        <v/>
      </c>
      <c r="C107" s="58">
        <f>IFERROR(INDEX('Прайс-лист'!$B$11:$B$310,MATCH(ROWS($A$16:A107),'Прайс-лист'!$U$11:$U$310,0)),"")</f>
        <v/>
      </c>
      <c r="D107" s="59">
        <f>IFERROR(INDEX('Прайс-лист'!$C$11:$C$310,MATCH(ROWS($A$16:A107),'Прайс-лист'!$U$11:$U$310,0)),"")</f>
        <v/>
      </c>
      <c r="E107" s="59">
        <f>IFERROR(INDEX('Прайс-лист'!$E$11:$E$310,MATCH(ROWS($A$16:A107),'Прайс-лист'!$U$11:$U$310,0)),"")</f>
        <v/>
      </c>
      <c r="F107" s="58">
        <f>IFERROR(INDEX('Прайс-лист'!$F$11:$F$310,MATCH(ROWS($A$16:A107),'Прайс-лист'!$U$11:$U$310,0)),"")</f>
        <v/>
      </c>
      <c r="G107" s="61">
        <f>IFERROR(INDEX('Прайс-лист'!$R$11:$R$310,MATCH(ROWS($A$16:A107),'Прайс-лист'!$U$11:$U$310,0)),"")</f>
        <v/>
      </c>
      <c r="H107" s="60">
        <f>IFERROR(INDEX('Прайс-лист'!$P$11:$P$310,MATCH(ROWS($A$16:A107),'Прайс-лист'!$U$11:$U$310,0)),"")</f>
        <v/>
      </c>
      <c r="I107" s="61">
        <f>IFERROR(INDEX('Прайс-лист'!$S$11:$S$310,MATCH(ROWS($A$16:A107),'Прайс-лист'!$U$11:$U$310,0)),"")</f>
        <v/>
      </c>
      <c r="J107" s="61">
        <f>IFERROR($I107*0.22,"")</f>
        <v/>
      </c>
      <c r="K107" s="61">
        <f>IFERROR($I107+$J107,"")</f>
        <v/>
      </c>
      <c r="L107" s="59">
        <f>IFERROR(INDEX('Прайс-лист'!$Q$11:$Q$310,MATCH(ROWS($A$16:A107),'Прайс-лист'!$U$11:$U$310,0)),"")</f>
        <v/>
      </c>
    </row>
    <row r="108" ht="15" customHeight="1" s="49">
      <c r="A108" s="64">
        <f>IFERROR(IF(INDEX('Прайс-лист'!$U$11:$U$310,MATCH(ROWS($A$16:A108),'Прайс-лист'!$U$11:$U$310,0))="","",ROWS($A$16:A108)),"")</f>
        <v/>
      </c>
      <c r="B108" s="58">
        <f>IFERROR(INDEX('Прайс-лист'!$A$11:$A$310,MATCH(ROWS($A$16:A108),'Прайс-лист'!$U$11:$U$310,0)),"")</f>
        <v/>
      </c>
      <c r="C108" s="58">
        <f>IFERROR(INDEX('Прайс-лист'!$B$11:$B$310,MATCH(ROWS($A$16:A108),'Прайс-лист'!$U$11:$U$310,0)),"")</f>
        <v/>
      </c>
      <c r="D108" s="59">
        <f>IFERROR(INDEX('Прайс-лист'!$C$11:$C$310,MATCH(ROWS($A$16:A108),'Прайс-лист'!$U$11:$U$310,0)),"")</f>
        <v/>
      </c>
      <c r="E108" s="59">
        <f>IFERROR(INDEX('Прайс-лист'!$E$11:$E$310,MATCH(ROWS($A$16:A108),'Прайс-лист'!$U$11:$U$310,0)),"")</f>
        <v/>
      </c>
      <c r="F108" s="58">
        <f>IFERROR(INDEX('Прайс-лист'!$F$11:$F$310,MATCH(ROWS($A$16:A108),'Прайс-лист'!$U$11:$U$310,0)),"")</f>
        <v/>
      </c>
      <c r="G108" s="61">
        <f>IFERROR(INDEX('Прайс-лист'!$R$11:$R$310,MATCH(ROWS($A$16:A108),'Прайс-лист'!$U$11:$U$310,0)),"")</f>
        <v/>
      </c>
      <c r="H108" s="60">
        <f>IFERROR(INDEX('Прайс-лист'!$P$11:$P$310,MATCH(ROWS($A$16:A108),'Прайс-лист'!$U$11:$U$310,0)),"")</f>
        <v/>
      </c>
      <c r="I108" s="61">
        <f>IFERROR(INDEX('Прайс-лист'!$S$11:$S$310,MATCH(ROWS($A$16:A108),'Прайс-лист'!$U$11:$U$310,0)),"")</f>
        <v/>
      </c>
      <c r="J108" s="61">
        <f>IFERROR($I108*0.22,"")</f>
        <v/>
      </c>
      <c r="K108" s="61">
        <f>IFERROR($I108+$J108,"")</f>
        <v/>
      </c>
      <c r="L108" s="59">
        <f>IFERROR(INDEX('Прайс-лист'!$Q$11:$Q$310,MATCH(ROWS($A$16:A108),'Прайс-лист'!$U$11:$U$310,0)),"")</f>
        <v/>
      </c>
    </row>
    <row r="109" ht="15" customHeight="1" s="49">
      <c r="A109" s="64">
        <f>IFERROR(IF(INDEX('Прайс-лист'!$U$11:$U$310,MATCH(ROWS($A$16:A109),'Прайс-лист'!$U$11:$U$310,0))="","",ROWS($A$16:A109)),"")</f>
        <v/>
      </c>
      <c r="B109" s="58">
        <f>IFERROR(INDEX('Прайс-лист'!$A$11:$A$310,MATCH(ROWS($A$16:A109),'Прайс-лист'!$U$11:$U$310,0)),"")</f>
        <v/>
      </c>
      <c r="C109" s="58">
        <f>IFERROR(INDEX('Прайс-лист'!$B$11:$B$310,MATCH(ROWS($A$16:A109),'Прайс-лист'!$U$11:$U$310,0)),"")</f>
        <v/>
      </c>
      <c r="D109" s="59">
        <f>IFERROR(INDEX('Прайс-лист'!$C$11:$C$310,MATCH(ROWS($A$16:A109),'Прайс-лист'!$U$11:$U$310,0)),"")</f>
        <v/>
      </c>
      <c r="E109" s="59">
        <f>IFERROR(INDEX('Прайс-лист'!$E$11:$E$310,MATCH(ROWS($A$16:A109),'Прайс-лист'!$U$11:$U$310,0)),"")</f>
        <v/>
      </c>
      <c r="F109" s="58">
        <f>IFERROR(INDEX('Прайс-лист'!$F$11:$F$310,MATCH(ROWS($A$16:A109),'Прайс-лист'!$U$11:$U$310,0)),"")</f>
        <v/>
      </c>
      <c r="G109" s="61">
        <f>IFERROR(INDEX('Прайс-лист'!$R$11:$R$310,MATCH(ROWS($A$16:A109),'Прайс-лист'!$U$11:$U$310,0)),"")</f>
        <v/>
      </c>
      <c r="H109" s="60">
        <f>IFERROR(INDEX('Прайс-лист'!$P$11:$P$310,MATCH(ROWS($A$16:A109),'Прайс-лист'!$U$11:$U$310,0)),"")</f>
        <v/>
      </c>
      <c r="I109" s="61">
        <f>IFERROR(INDEX('Прайс-лист'!$S$11:$S$310,MATCH(ROWS($A$16:A109),'Прайс-лист'!$U$11:$U$310,0)),"")</f>
        <v/>
      </c>
      <c r="J109" s="61">
        <f>IFERROR($I109*0.22,"")</f>
        <v/>
      </c>
      <c r="K109" s="61">
        <f>IFERROR($I109+$J109,"")</f>
        <v/>
      </c>
      <c r="L109" s="59">
        <f>IFERROR(INDEX('Прайс-лист'!$Q$11:$Q$310,MATCH(ROWS($A$16:A109),'Прайс-лист'!$U$11:$U$310,0)),"")</f>
        <v/>
      </c>
    </row>
    <row r="110" ht="15" customHeight="1" s="49">
      <c r="A110" s="64">
        <f>IFERROR(IF(INDEX('Прайс-лист'!$U$11:$U$310,MATCH(ROWS($A$16:A110),'Прайс-лист'!$U$11:$U$310,0))="","",ROWS($A$16:A110)),"")</f>
        <v/>
      </c>
      <c r="B110" s="58">
        <f>IFERROR(INDEX('Прайс-лист'!$A$11:$A$310,MATCH(ROWS($A$16:A110),'Прайс-лист'!$U$11:$U$310,0)),"")</f>
        <v/>
      </c>
      <c r="C110" s="58">
        <f>IFERROR(INDEX('Прайс-лист'!$B$11:$B$310,MATCH(ROWS($A$16:A110),'Прайс-лист'!$U$11:$U$310,0)),"")</f>
        <v/>
      </c>
      <c r="D110" s="59">
        <f>IFERROR(INDEX('Прайс-лист'!$C$11:$C$310,MATCH(ROWS($A$16:A110),'Прайс-лист'!$U$11:$U$310,0)),"")</f>
        <v/>
      </c>
      <c r="E110" s="59">
        <f>IFERROR(INDEX('Прайс-лист'!$E$11:$E$310,MATCH(ROWS($A$16:A110),'Прайс-лист'!$U$11:$U$310,0)),"")</f>
        <v/>
      </c>
      <c r="F110" s="58">
        <f>IFERROR(INDEX('Прайс-лист'!$F$11:$F$310,MATCH(ROWS($A$16:A110),'Прайс-лист'!$U$11:$U$310,0)),"")</f>
        <v/>
      </c>
      <c r="G110" s="61">
        <f>IFERROR(INDEX('Прайс-лист'!$R$11:$R$310,MATCH(ROWS($A$16:A110),'Прайс-лист'!$U$11:$U$310,0)),"")</f>
        <v/>
      </c>
      <c r="H110" s="60">
        <f>IFERROR(INDEX('Прайс-лист'!$P$11:$P$310,MATCH(ROWS($A$16:A110),'Прайс-лист'!$U$11:$U$310,0)),"")</f>
        <v/>
      </c>
      <c r="I110" s="61">
        <f>IFERROR(INDEX('Прайс-лист'!$S$11:$S$310,MATCH(ROWS($A$16:A110),'Прайс-лист'!$U$11:$U$310,0)),"")</f>
        <v/>
      </c>
      <c r="J110" s="61">
        <f>IFERROR($I110*0.22,"")</f>
        <v/>
      </c>
      <c r="K110" s="61">
        <f>IFERROR($I110+$J110,"")</f>
        <v/>
      </c>
      <c r="L110" s="59">
        <f>IFERROR(INDEX('Прайс-лист'!$Q$11:$Q$310,MATCH(ROWS($A$16:A110),'Прайс-лист'!$U$11:$U$310,0)),"")</f>
        <v/>
      </c>
    </row>
    <row r="111" ht="15" customHeight="1" s="49">
      <c r="A111" s="64">
        <f>IFERROR(IF(INDEX('Прайс-лист'!$U$11:$U$310,MATCH(ROWS($A$16:A111),'Прайс-лист'!$U$11:$U$310,0))="","",ROWS($A$16:A111)),"")</f>
        <v/>
      </c>
      <c r="B111" s="58">
        <f>IFERROR(INDEX('Прайс-лист'!$A$11:$A$310,MATCH(ROWS($A$16:A111),'Прайс-лист'!$U$11:$U$310,0)),"")</f>
        <v/>
      </c>
      <c r="C111" s="58">
        <f>IFERROR(INDEX('Прайс-лист'!$B$11:$B$310,MATCH(ROWS($A$16:A111),'Прайс-лист'!$U$11:$U$310,0)),"")</f>
        <v/>
      </c>
      <c r="D111" s="59">
        <f>IFERROR(INDEX('Прайс-лист'!$C$11:$C$310,MATCH(ROWS($A$16:A111),'Прайс-лист'!$U$11:$U$310,0)),"")</f>
        <v/>
      </c>
      <c r="E111" s="59">
        <f>IFERROR(INDEX('Прайс-лист'!$E$11:$E$310,MATCH(ROWS($A$16:A111),'Прайс-лист'!$U$11:$U$310,0)),"")</f>
        <v/>
      </c>
      <c r="F111" s="58">
        <f>IFERROR(INDEX('Прайс-лист'!$F$11:$F$310,MATCH(ROWS($A$16:A111),'Прайс-лист'!$U$11:$U$310,0)),"")</f>
        <v/>
      </c>
      <c r="G111" s="61">
        <f>IFERROR(INDEX('Прайс-лист'!$R$11:$R$310,MATCH(ROWS($A$16:A111),'Прайс-лист'!$U$11:$U$310,0)),"")</f>
        <v/>
      </c>
      <c r="H111" s="60">
        <f>IFERROR(INDEX('Прайс-лист'!$P$11:$P$310,MATCH(ROWS($A$16:A111),'Прайс-лист'!$U$11:$U$310,0)),"")</f>
        <v/>
      </c>
      <c r="I111" s="61">
        <f>IFERROR(INDEX('Прайс-лист'!$S$11:$S$310,MATCH(ROWS($A$16:A111),'Прайс-лист'!$U$11:$U$310,0)),"")</f>
        <v/>
      </c>
      <c r="J111" s="61">
        <f>IFERROR($I111*0.22,"")</f>
        <v/>
      </c>
      <c r="K111" s="61">
        <f>IFERROR($I111+$J111,"")</f>
        <v/>
      </c>
      <c r="L111" s="59">
        <f>IFERROR(INDEX('Прайс-лист'!$Q$11:$Q$310,MATCH(ROWS($A$16:A111),'Прайс-лист'!$U$11:$U$310,0)),"")</f>
        <v/>
      </c>
    </row>
    <row r="112" ht="15" customHeight="1" s="49">
      <c r="A112" s="64">
        <f>IFERROR(IF(INDEX('Прайс-лист'!$U$11:$U$310,MATCH(ROWS($A$16:A112),'Прайс-лист'!$U$11:$U$310,0))="","",ROWS($A$16:A112)),"")</f>
        <v/>
      </c>
      <c r="B112" s="58">
        <f>IFERROR(INDEX('Прайс-лист'!$A$11:$A$310,MATCH(ROWS($A$16:A112),'Прайс-лист'!$U$11:$U$310,0)),"")</f>
        <v/>
      </c>
      <c r="C112" s="58">
        <f>IFERROR(INDEX('Прайс-лист'!$B$11:$B$310,MATCH(ROWS($A$16:A112),'Прайс-лист'!$U$11:$U$310,0)),"")</f>
        <v/>
      </c>
      <c r="D112" s="59">
        <f>IFERROR(INDEX('Прайс-лист'!$C$11:$C$310,MATCH(ROWS($A$16:A112),'Прайс-лист'!$U$11:$U$310,0)),"")</f>
        <v/>
      </c>
      <c r="E112" s="59">
        <f>IFERROR(INDEX('Прайс-лист'!$E$11:$E$310,MATCH(ROWS($A$16:A112),'Прайс-лист'!$U$11:$U$310,0)),"")</f>
        <v/>
      </c>
      <c r="F112" s="58">
        <f>IFERROR(INDEX('Прайс-лист'!$F$11:$F$310,MATCH(ROWS($A$16:A112),'Прайс-лист'!$U$11:$U$310,0)),"")</f>
        <v/>
      </c>
      <c r="G112" s="61">
        <f>IFERROR(INDEX('Прайс-лист'!$R$11:$R$310,MATCH(ROWS($A$16:A112),'Прайс-лист'!$U$11:$U$310,0)),"")</f>
        <v/>
      </c>
      <c r="H112" s="60">
        <f>IFERROR(INDEX('Прайс-лист'!$P$11:$P$310,MATCH(ROWS($A$16:A112),'Прайс-лист'!$U$11:$U$310,0)),"")</f>
        <v/>
      </c>
      <c r="I112" s="61">
        <f>IFERROR(INDEX('Прайс-лист'!$S$11:$S$310,MATCH(ROWS($A$16:A112),'Прайс-лист'!$U$11:$U$310,0)),"")</f>
        <v/>
      </c>
      <c r="J112" s="61">
        <f>IFERROR($I112*0.22,"")</f>
        <v/>
      </c>
      <c r="K112" s="61">
        <f>IFERROR($I112+$J112,"")</f>
        <v/>
      </c>
      <c r="L112" s="59">
        <f>IFERROR(INDEX('Прайс-лист'!$Q$11:$Q$310,MATCH(ROWS($A$16:A112),'Прайс-лист'!$U$11:$U$310,0)),"")</f>
        <v/>
      </c>
    </row>
    <row r="113" ht="15" customHeight="1" s="49">
      <c r="A113" s="64">
        <f>IFERROR(IF(INDEX('Прайс-лист'!$U$11:$U$310,MATCH(ROWS($A$16:A113),'Прайс-лист'!$U$11:$U$310,0))="","",ROWS($A$16:A113)),"")</f>
        <v/>
      </c>
      <c r="B113" s="58">
        <f>IFERROR(INDEX('Прайс-лист'!$A$11:$A$310,MATCH(ROWS($A$16:A113),'Прайс-лист'!$U$11:$U$310,0)),"")</f>
        <v/>
      </c>
      <c r="C113" s="58">
        <f>IFERROR(INDEX('Прайс-лист'!$B$11:$B$310,MATCH(ROWS($A$16:A113),'Прайс-лист'!$U$11:$U$310,0)),"")</f>
        <v/>
      </c>
      <c r="D113" s="59">
        <f>IFERROR(INDEX('Прайс-лист'!$C$11:$C$310,MATCH(ROWS($A$16:A113),'Прайс-лист'!$U$11:$U$310,0)),"")</f>
        <v/>
      </c>
      <c r="E113" s="59">
        <f>IFERROR(INDEX('Прайс-лист'!$E$11:$E$310,MATCH(ROWS($A$16:A113),'Прайс-лист'!$U$11:$U$310,0)),"")</f>
        <v/>
      </c>
      <c r="F113" s="58">
        <f>IFERROR(INDEX('Прайс-лист'!$F$11:$F$310,MATCH(ROWS($A$16:A113),'Прайс-лист'!$U$11:$U$310,0)),"")</f>
        <v/>
      </c>
      <c r="G113" s="61">
        <f>IFERROR(INDEX('Прайс-лист'!$R$11:$R$310,MATCH(ROWS($A$16:A113),'Прайс-лист'!$U$11:$U$310,0)),"")</f>
        <v/>
      </c>
      <c r="H113" s="60">
        <f>IFERROR(INDEX('Прайс-лист'!$P$11:$P$310,MATCH(ROWS($A$16:A113),'Прайс-лист'!$U$11:$U$310,0)),"")</f>
        <v/>
      </c>
      <c r="I113" s="61">
        <f>IFERROR(INDEX('Прайс-лист'!$S$11:$S$310,MATCH(ROWS($A$16:A113),'Прайс-лист'!$U$11:$U$310,0)),"")</f>
        <v/>
      </c>
      <c r="J113" s="61">
        <f>IFERROR($I113*0.22,"")</f>
        <v/>
      </c>
      <c r="K113" s="61">
        <f>IFERROR($I113+$J113,"")</f>
        <v/>
      </c>
      <c r="L113" s="59">
        <f>IFERROR(INDEX('Прайс-лист'!$Q$11:$Q$310,MATCH(ROWS($A$16:A113),'Прайс-лист'!$U$11:$U$310,0)),"")</f>
        <v/>
      </c>
    </row>
    <row r="114" ht="15" customHeight="1" s="49">
      <c r="A114" s="64">
        <f>IFERROR(IF(INDEX('Прайс-лист'!$U$11:$U$310,MATCH(ROWS($A$16:A114),'Прайс-лист'!$U$11:$U$310,0))="","",ROWS($A$16:A114)),"")</f>
        <v/>
      </c>
      <c r="B114" s="58">
        <f>IFERROR(INDEX('Прайс-лист'!$A$11:$A$310,MATCH(ROWS($A$16:A114),'Прайс-лист'!$U$11:$U$310,0)),"")</f>
        <v/>
      </c>
      <c r="C114" s="58">
        <f>IFERROR(INDEX('Прайс-лист'!$B$11:$B$310,MATCH(ROWS($A$16:A114),'Прайс-лист'!$U$11:$U$310,0)),"")</f>
        <v/>
      </c>
      <c r="D114" s="59">
        <f>IFERROR(INDEX('Прайс-лист'!$C$11:$C$310,MATCH(ROWS($A$16:A114),'Прайс-лист'!$U$11:$U$310,0)),"")</f>
        <v/>
      </c>
      <c r="E114" s="59">
        <f>IFERROR(INDEX('Прайс-лист'!$E$11:$E$310,MATCH(ROWS($A$16:A114),'Прайс-лист'!$U$11:$U$310,0)),"")</f>
        <v/>
      </c>
      <c r="F114" s="58">
        <f>IFERROR(INDEX('Прайс-лист'!$F$11:$F$310,MATCH(ROWS($A$16:A114),'Прайс-лист'!$U$11:$U$310,0)),"")</f>
        <v/>
      </c>
      <c r="G114" s="61">
        <f>IFERROR(INDEX('Прайс-лист'!$R$11:$R$310,MATCH(ROWS($A$16:A114),'Прайс-лист'!$U$11:$U$310,0)),"")</f>
        <v/>
      </c>
      <c r="H114" s="60">
        <f>IFERROR(INDEX('Прайс-лист'!$P$11:$P$310,MATCH(ROWS($A$16:A114),'Прайс-лист'!$U$11:$U$310,0)),"")</f>
        <v/>
      </c>
      <c r="I114" s="61">
        <f>IFERROR(INDEX('Прайс-лист'!$S$11:$S$310,MATCH(ROWS($A$16:A114),'Прайс-лист'!$U$11:$U$310,0)),"")</f>
        <v/>
      </c>
      <c r="J114" s="61">
        <f>IFERROR($I114*0.22,"")</f>
        <v/>
      </c>
      <c r="K114" s="61">
        <f>IFERROR($I114+$J114,"")</f>
        <v/>
      </c>
      <c r="L114" s="59">
        <f>IFERROR(INDEX('Прайс-лист'!$Q$11:$Q$310,MATCH(ROWS($A$16:A114),'Прайс-лист'!$U$11:$U$310,0)),"")</f>
        <v/>
      </c>
    </row>
    <row r="115" ht="15" customHeight="1" s="49">
      <c r="A115" s="64">
        <f>IFERROR(IF(INDEX('Прайс-лист'!$U$11:$U$310,MATCH(ROWS($A$16:A115),'Прайс-лист'!$U$11:$U$310,0))="","",ROWS($A$16:A115)),"")</f>
        <v/>
      </c>
      <c r="B115" s="58">
        <f>IFERROR(INDEX('Прайс-лист'!$A$11:$A$310,MATCH(ROWS($A$16:A115),'Прайс-лист'!$U$11:$U$310,0)),"")</f>
        <v/>
      </c>
      <c r="C115" s="58">
        <f>IFERROR(INDEX('Прайс-лист'!$B$11:$B$310,MATCH(ROWS($A$16:A115),'Прайс-лист'!$U$11:$U$310,0)),"")</f>
        <v/>
      </c>
      <c r="D115" s="59">
        <f>IFERROR(INDEX('Прайс-лист'!$C$11:$C$310,MATCH(ROWS($A$16:A115),'Прайс-лист'!$U$11:$U$310,0)),"")</f>
        <v/>
      </c>
      <c r="E115" s="59">
        <f>IFERROR(INDEX('Прайс-лист'!$E$11:$E$310,MATCH(ROWS($A$16:A115),'Прайс-лист'!$U$11:$U$310,0)),"")</f>
        <v/>
      </c>
      <c r="F115" s="58">
        <f>IFERROR(INDEX('Прайс-лист'!$F$11:$F$310,MATCH(ROWS($A$16:A115),'Прайс-лист'!$U$11:$U$310,0)),"")</f>
        <v/>
      </c>
      <c r="G115" s="61">
        <f>IFERROR(INDEX('Прайс-лист'!$R$11:$R$310,MATCH(ROWS($A$16:A115),'Прайс-лист'!$U$11:$U$310,0)),"")</f>
        <v/>
      </c>
      <c r="H115" s="60">
        <f>IFERROR(INDEX('Прайс-лист'!$P$11:$P$310,MATCH(ROWS($A$16:A115),'Прайс-лист'!$U$11:$U$310,0)),"")</f>
        <v/>
      </c>
      <c r="I115" s="61">
        <f>IFERROR(INDEX('Прайс-лист'!$S$11:$S$310,MATCH(ROWS($A$16:A115),'Прайс-лист'!$U$11:$U$310,0)),"")</f>
        <v/>
      </c>
      <c r="J115" s="61">
        <f>IFERROR($I115*0.22,"")</f>
        <v/>
      </c>
      <c r="K115" s="61">
        <f>IFERROR($I115+$J115,"")</f>
        <v/>
      </c>
      <c r="L115" s="59">
        <f>IFERROR(INDEX('Прайс-лист'!$Q$11:$Q$310,MATCH(ROWS($A$16:A115),'Прайс-лист'!$U$11:$U$310,0)),"")</f>
        <v/>
      </c>
    </row>
    <row r="116" ht="13.5" customHeight="1" s="49">
      <c r="A116" s="64">
        <f>IFERROR(IF(INDEX('Прайс-лист'!$U$11:$U$310,MATCH(ROWS($A$16:A116),'Прайс-лист'!$U$11:$U$310,0))="","",ROWS($A$16:A116)),"")</f>
        <v/>
      </c>
      <c r="B116" s="58">
        <f>IFERROR(INDEX('Прайс-лист'!$A$11:$A$310,MATCH(ROWS($A$16:A116),'Прайс-лист'!$U$11:$U$310,0)),"")</f>
        <v/>
      </c>
      <c r="C116" s="58">
        <f>IFERROR(INDEX('Прайс-лист'!$B$11:$B$310,MATCH(ROWS($A$16:A116),'Прайс-лист'!$U$11:$U$310,0)),"")</f>
        <v/>
      </c>
      <c r="D116" s="59">
        <f>IFERROR(INDEX('Прайс-лист'!$C$11:$C$310,MATCH(ROWS($A$16:A116),'Прайс-лист'!$U$11:$U$310,0)),"")</f>
        <v/>
      </c>
      <c r="E116" s="59">
        <f>IFERROR(INDEX('Прайс-лист'!$E$11:$E$310,MATCH(ROWS($A$16:A116),'Прайс-лист'!$U$11:$U$310,0)),"")</f>
        <v/>
      </c>
      <c r="F116" s="58">
        <f>IFERROR(INDEX('Прайс-лист'!$F$11:$F$310,MATCH(ROWS($A$16:A116),'Прайс-лист'!$U$11:$U$310,0)),"")</f>
        <v/>
      </c>
      <c r="G116" s="61">
        <f>IFERROR(INDEX('Прайс-лист'!$R$11:$R$310,MATCH(ROWS($A$16:A116),'Прайс-лист'!$U$11:$U$310,0)),"")</f>
        <v/>
      </c>
      <c r="H116" s="60">
        <f>IFERROR(INDEX('Прайс-лист'!$P$11:$P$310,MATCH(ROWS($A$16:A116),'Прайс-лист'!$U$11:$U$310,0)),"")</f>
        <v/>
      </c>
      <c r="I116" s="61">
        <f>IFERROR(INDEX('Прайс-лист'!$S$11:$S$310,MATCH(ROWS($A$16:A116),'Прайс-лист'!$U$11:$U$310,0)),"")</f>
        <v/>
      </c>
      <c r="J116" s="61">
        <f>IFERROR($I116*0.22,"")</f>
        <v/>
      </c>
      <c r="K116" s="61">
        <f>IFERROR($I116+$J116,"")</f>
        <v/>
      </c>
      <c r="L116" s="59">
        <f>IFERROR(INDEX('Прайс-лист'!$Q$11:$Q$310,MATCH(ROWS($A$16:A116),'Прайс-лист'!$U$11:$U$310,0)),"")</f>
        <v/>
      </c>
    </row>
    <row r="117" ht="13.5" customHeight="1" s="49">
      <c r="A117" s="64">
        <f>IFERROR(IF(INDEX('Прайс-лист'!$U$11:$U$310,MATCH(ROWS($A$16:A117),'Прайс-лист'!$U$11:$U$310,0))="","",ROWS($A$16:A117)),"")</f>
        <v/>
      </c>
      <c r="B117" s="58">
        <f>IFERROR(INDEX('Прайс-лист'!$A$11:$A$310,MATCH(ROWS($A$16:A117),'Прайс-лист'!$U$11:$U$310,0)),"")</f>
        <v/>
      </c>
      <c r="C117" s="58">
        <f>IFERROR(INDEX('Прайс-лист'!$B$11:$B$310,MATCH(ROWS($A$16:A117),'Прайс-лист'!$U$11:$U$310,0)),"")</f>
        <v/>
      </c>
      <c r="D117" s="59">
        <f>IFERROR(INDEX('Прайс-лист'!$C$11:$C$310,MATCH(ROWS($A$16:A117),'Прайс-лист'!$U$11:$U$310,0)),"")</f>
        <v/>
      </c>
      <c r="E117" s="59">
        <f>IFERROR(INDEX('Прайс-лист'!$E$11:$E$310,MATCH(ROWS($A$16:A117),'Прайс-лист'!$U$11:$U$310,0)),"")</f>
        <v/>
      </c>
      <c r="F117" s="58">
        <f>IFERROR(INDEX('Прайс-лист'!$F$11:$F$310,MATCH(ROWS($A$16:A117),'Прайс-лист'!$U$11:$U$310,0)),"")</f>
        <v/>
      </c>
      <c r="G117" s="61">
        <f>IFERROR(INDEX('Прайс-лист'!$R$11:$R$310,MATCH(ROWS($A$16:A117),'Прайс-лист'!$U$11:$U$310,0)),"")</f>
        <v/>
      </c>
      <c r="H117" s="60">
        <f>IFERROR(INDEX('Прайс-лист'!$P$11:$P$310,MATCH(ROWS($A$16:A117),'Прайс-лист'!$U$11:$U$310,0)),"")</f>
        <v/>
      </c>
      <c r="I117" s="61">
        <f>IFERROR(INDEX('Прайс-лист'!$S$11:$S$310,MATCH(ROWS($A$16:A117),'Прайс-лист'!$U$11:$U$310,0)),"")</f>
        <v/>
      </c>
      <c r="J117" s="61">
        <f>IFERROR($I117*0.22,"")</f>
        <v/>
      </c>
      <c r="K117" s="61">
        <f>IFERROR($I117+$J117,"")</f>
        <v/>
      </c>
      <c r="L117" s="59">
        <f>IFERROR(INDEX('Прайс-лист'!$Q$11:$Q$310,MATCH(ROWS($A$16:A117),'Прайс-лист'!$U$11:$U$310,0)),"")</f>
        <v/>
      </c>
    </row>
    <row r="118" ht="13.5" customHeight="1" s="49">
      <c r="A118" s="64">
        <f>IFERROR(IF(INDEX('Прайс-лист'!$U$11:$U$310,MATCH(ROWS($A$16:A118),'Прайс-лист'!$U$11:$U$310,0))="","",ROWS($A$16:A118)),"")</f>
        <v/>
      </c>
      <c r="B118" s="58">
        <f>IFERROR(INDEX('Прайс-лист'!$A$11:$A$310,MATCH(ROWS($A$16:A118),'Прайс-лист'!$U$11:$U$310,0)),"")</f>
        <v/>
      </c>
      <c r="C118" s="58">
        <f>IFERROR(INDEX('Прайс-лист'!$B$11:$B$310,MATCH(ROWS($A$16:A118),'Прайс-лист'!$U$11:$U$310,0)),"")</f>
        <v/>
      </c>
      <c r="D118" s="59">
        <f>IFERROR(INDEX('Прайс-лист'!$C$11:$C$310,MATCH(ROWS($A$16:A118),'Прайс-лист'!$U$11:$U$310,0)),"")</f>
        <v/>
      </c>
      <c r="E118" s="59">
        <f>IFERROR(INDEX('Прайс-лист'!$E$11:$E$310,MATCH(ROWS($A$16:A118),'Прайс-лист'!$U$11:$U$310,0)),"")</f>
        <v/>
      </c>
      <c r="F118" s="58">
        <f>IFERROR(INDEX('Прайс-лист'!$F$11:$F$310,MATCH(ROWS($A$16:A118),'Прайс-лист'!$U$11:$U$310,0)),"")</f>
        <v/>
      </c>
      <c r="G118" s="61">
        <f>IFERROR(INDEX('Прайс-лист'!$R$11:$R$310,MATCH(ROWS($A$16:A118),'Прайс-лист'!$U$11:$U$310,0)),"")</f>
        <v/>
      </c>
      <c r="H118" s="60">
        <f>IFERROR(INDEX('Прайс-лист'!$P$11:$P$310,MATCH(ROWS($A$16:A118),'Прайс-лист'!$U$11:$U$310,0)),"")</f>
        <v/>
      </c>
      <c r="I118" s="61">
        <f>IFERROR(INDEX('Прайс-лист'!$S$11:$S$310,MATCH(ROWS($A$16:A118),'Прайс-лист'!$U$11:$U$310,0)),"")</f>
        <v/>
      </c>
      <c r="J118" s="61">
        <f>IFERROR($I118*0.22,"")</f>
        <v/>
      </c>
      <c r="K118" s="61">
        <f>IFERROR($I118+$J118,"")</f>
        <v/>
      </c>
      <c r="L118" s="59">
        <f>IFERROR(INDEX('Прайс-лист'!$Q$11:$Q$310,MATCH(ROWS($A$16:A118),'Прайс-лист'!$U$11:$U$310,0)),"")</f>
        <v/>
      </c>
    </row>
    <row r="119" ht="13.5" customHeight="1" s="49">
      <c r="A119" s="64">
        <f>IFERROR(IF(INDEX('Прайс-лист'!$U$11:$U$310,MATCH(ROWS($A$16:A119),'Прайс-лист'!$U$11:$U$310,0))="","",ROWS($A$16:A119)),"")</f>
        <v/>
      </c>
      <c r="B119" s="58">
        <f>IFERROR(INDEX('Прайс-лист'!$A$11:$A$310,MATCH(ROWS($A$16:A119),'Прайс-лист'!$U$11:$U$310,0)),"")</f>
        <v/>
      </c>
      <c r="C119" s="58">
        <f>IFERROR(INDEX('Прайс-лист'!$B$11:$B$310,MATCH(ROWS($A$16:A119),'Прайс-лист'!$U$11:$U$310,0)),"")</f>
        <v/>
      </c>
      <c r="D119" s="59">
        <f>IFERROR(INDEX('Прайс-лист'!$C$11:$C$310,MATCH(ROWS($A$16:A119),'Прайс-лист'!$U$11:$U$310,0)),"")</f>
        <v/>
      </c>
      <c r="E119" s="59">
        <f>IFERROR(INDEX('Прайс-лист'!$E$11:$E$310,MATCH(ROWS($A$16:A119),'Прайс-лист'!$U$11:$U$310,0)),"")</f>
        <v/>
      </c>
      <c r="F119" s="58">
        <f>IFERROR(INDEX('Прайс-лист'!$F$11:$F$310,MATCH(ROWS($A$16:A119),'Прайс-лист'!$U$11:$U$310,0)),"")</f>
        <v/>
      </c>
      <c r="G119" s="61">
        <f>IFERROR(INDEX('Прайс-лист'!$R$11:$R$310,MATCH(ROWS($A$16:A119),'Прайс-лист'!$U$11:$U$310,0)),"")</f>
        <v/>
      </c>
      <c r="H119" s="60">
        <f>IFERROR(INDEX('Прайс-лист'!$P$11:$P$310,MATCH(ROWS($A$16:A119),'Прайс-лист'!$U$11:$U$310,0)),"")</f>
        <v/>
      </c>
      <c r="I119" s="61">
        <f>IFERROR(INDEX('Прайс-лист'!$S$11:$S$310,MATCH(ROWS($A$16:A119),'Прайс-лист'!$U$11:$U$310,0)),"")</f>
        <v/>
      </c>
      <c r="J119" s="61">
        <f>IFERROR($I119*0.22,"")</f>
        <v/>
      </c>
      <c r="K119" s="61">
        <f>IFERROR($I119+$J119,"")</f>
        <v/>
      </c>
      <c r="L119" s="59">
        <f>IFERROR(INDEX('Прайс-лист'!$Q$11:$Q$310,MATCH(ROWS($A$16:A119),'Прайс-лист'!$U$11:$U$310,0)),"")</f>
        <v/>
      </c>
    </row>
    <row r="120" ht="13.5" customHeight="1" s="49">
      <c r="A120" s="64">
        <f>IFERROR(IF(INDEX('Прайс-лист'!$U$11:$U$310,MATCH(ROWS($A$16:A120),'Прайс-лист'!$U$11:$U$310,0))="","",ROWS($A$16:A120)),"")</f>
        <v/>
      </c>
      <c r="B120" s="58">
        <f>IFERROR(INDEX('Прайс-лист'!$A$11:$A$310,MATCH(ROWS($A$16:A120),'Прайс-лист'!$U$11:$U$310,0)),"")</f>
        <v/>
      </c>
      <c r="C120" s="58">
        <f>IFERROR(INDEX('Прайс-лист'!$B$11:$B$310,MATCH(ROWS($A$16:A120),'Прайс-лист'!$U$11:$U$310,0)),"")</f>
        <v/>
      </c>
      <c r="D120" s="59">
        <f>IFERROR(INDEX('Прайс-лист'!$C$11:$C$310,MATCH(ROWS($A$16:A120),'Прайс-лист'!$U$11:$U$310,0)),"")</f>
        <v/>
      </c>
      <c r="E120" s="59">
        <f>IFERROR(INDEX('Прайс-лист'!$E$11:$E$310,MATCH(ROWS($A$16:A120),'Прайс-лист'!$U$11:$U$310,0)),"")</f>
        <v/>
      </c>
      <c r="F120" s="58">
        <f>IFERROR(INDEX('Прайс-лист'!$F$11:$F$310,MATCH(ROWS($A$16:A120),'Прайс-лист'!$U$11:$U$310,0)),"")</f>
        <v/>
      </c>
      <c r="G120" s="61">
        <f>IFERROR(INDEX('Прайс-лист'!$R$11:$R$310,MATCH(ROWS($A$16:A120),'Прайс-лист'!$U$11:$U$310,0)),"")</f>
        <v/>
      </c>
      <c r="H120" s="60">
        <f>IFERROR(INDEX('Прайс-лист'!$P$11:$P$310,MATCH(ROWS($A$16:A120),'Прайс-лист'!$U$11:$U$310,0)),"")</f>
        <v/>
      </c>
      <c r="I120" s="61">
        <f>IFERROR(INDEX('Прайс-лист'!$S$11:$S$310,MATCH(ROWS($A$16:A120),'Прайс-лист'!$U$11:$U$310,0)),"")</f>
        <v/>
      </c>
      <c r="J120" s="61">
        <f>IFERROR($I120*0.22,"")</f>
        <v/>
      </c>
      <c r="K120" s="61">
        <f>IFERROR($I120+$J120,"")</f>
        <v/>
      </c>
      <c r="L120" s="59">
        <f>IFERROR(INDEX('Прайс-лист'!$Q$11:$Q$310,MATCH(ROWS($A$16:A120),'Прайс-лист'!$U$11:$U$310,0)),"")</f>
        <v/>
      </c>
    </row>
    <row r="121" ht="13.5" customHeight="1" s="49">
      <c r="A121" s="64">
        <f>IFERROR(IF(INDEX('Прайс-лист'!$U$11:$U$310,MATCH(ROWS($A$16:A121),'Прайс-лист'!$U$11:$U$310,0))="","",ROWS($A$16:A121)),"")</f>
        <v/>
      </c>
      <c r="B121" s="58">
        <f>IFERROR(INDEX('Прайс-лист'!$A$11:$A$310,MATCH(ROWS($A$16:A121),'Прайс-лист'!$U$11:$U$310,0)),"")</f>
        <v/>
      </c>
      <c r="C121" s="58">
        <f>IFERROR(INDEX('Прайс-лист'!$B$11:$B$310,MATCH(ROWS($A$16:A121),'Прайс-лист'!$U$11:$U$310,0)),"")</f>
        <v/>
      </c>
      <c r="D121" s="59">
        <f>IFERROR(INDEX('Прайс-лист'!$C$11:$C$310,MATCH(ROWS($A$16:A121),'Прайс-лист'!$U$11:$U$310,0)),"")</f>
        <v/>
      </c>
      <c r="E121" s="59">
        <f>IFERROR(INDEX('Прайс-лист'!$E$11:$E$310,MATCH(ROWS($A$16:A121),'Прайс-лист'!$U$11:$U$310,0)),"")</f>
        <v/>
      </c>
      <c r="F121" s="58">
        <f>IFERROR(INDEX('Прайс-лист'!$F$11:$F$310,MATCH(ROWS($A$16:A121),'Прайс-лист'!$U$11:$U$310,0)),"")</f>
        <v/>
      </c>
      <c r="G121" s="61">
        <f>IFERROR(INDEX('Прайс-лист'!$R$11:$R$310,MATCH(ROWS($A$16:A121),'Прайс-лист'!$U$11:$U$310,0)),"")</f>
        <v/>
      </c>
      <c r="H121" s="60">
        <f>IFERROR(INDEX('Прайс-лист'!$P$11:$P$310,MATCH(ROWS($A$16:A121),'Прайс-лист'!$U$11:$U$310,0)),"")</f>
        <v/>
      </c>
      <c r="I121" s="61">
        <f>IFERROR(INDEX('Прайс-лист'!$S$11:$S$310,MATCH(ROWS($A$16:A121),'Прайс-лист'!$U$11:$U$310,0)),"")</f>
        <v/>
      </c>
      <c r="J121" s="61">
        <f>IFERROR($I121*0.22,"")</f>
        <v/>
      </c>
      <c r="K121" s="61">
        <f>IFERROR($I121+$J121,"")</f>
        <v/>
      </c>
      <c r="L121" s="59">
        <f>IFERROR(INDEX('Прайс-лист'!$Q$11:$Q$310,MATCH(ROWS($A$16:A121),'Прайс-лист'!$U$11:$U$310,0)),"")</f>
        <v/>
      </c>
    </row>
    <row r="122" ht="13.5" customHeight="1" s="49">
      <c r="A122" s="64">
        <f>IFERROR(IF(INDEX('Прайс-лист'!$U$11:$U$310,MATCH(ROWS($A$16:A122),'Прайс-лист'!$U$11:$U$310,0))="","",ROWS($A$16:A122)),"")</f>
        <v/>
      </c>
      <c r="B122" s="58">
        <f>IFERROR(INDEX('Прайс-лист'!$A$11:$A$310,MATCH(ROWS($A$16:A122),'Прайс-лист'!$U$11:$U$310,0)),"")</f>
        <v/>
      </c>
      <c r="C122" s="58">
        <f>IFERROR(INDEX('Прайс-лист'!$B$11:$B$310,MATCH(ROWS($A$16:A122),'Прайс-лист'!$U$11:$U$310,0)),"")</f>
        <v/>
      </c>
      <c r="D122" s="59">
        <f>IFERROR(INDEX('Прайс-лист'!$C$11:$C$310,MATCH(ROWS($A$16:A122),'Прайс-лист'!$U$11:$U$310,0)),"")</f>
        <v/>
      </c>
      <c r="E122" s="59">
        <f>IFERROR(INDEX('Прайс-лист'!$E$11:$E$310,MATCH(ROWS($A$16:A122),'Прайс-лист'!$U$11:$U$310,0)),"")</f>
        <v/>
      </c>
      <c r="F122" s="58">
        <f>IFERROR(INDEX('Прайс-лист'!$F$11:$F$310,MATCH(ROWS($A$16:A122),'Прайс-лист'!$U$11:$U$310,0)),"")</f>
        <v/>
      </c>
      <c r="G122" s="61">
        <f>IFERROR(INDEX('Прайс-лист'!$R$11:$R$310,MATCH(ROWS($A$16:A122),'Прайс-лист'!$U$11:$U$310,0)),"")</f>
        <v/>
      </c>
      <c r="H122" s="60">
        <f>IFERROR(INDEX('Прайс-лист'!$P$11:$P$310,MATCH(ROWS($A$16:A122),'Прайс-лист'!$U$11:$U$310,0)),"")</f>
        <v/>
      </c>
      <c r="I122" s="61">
        <f>IFERROR(INDEX('Прайс-лист'!$S$11:$S$310,MATCH(ROWS($A$16:A122),'Прайс-лист'!$U$11:$U$310,0)),"")</f>
        <v/>
      </c>
      <c r="J122" s="61">
        <f>IFERROR($I122*0.22,"")</f>
        <v/>
      </c>
      <c r="K122" s="61">
        <f>IFERROR($I122+$J122,"")</f>
        <v/>
      </c>
      <c r="L122" s="59">
        <f>IFERROR(INDEX('Прайс-лист'!$Q$11:$Q$310,MATCH(ROWS($A$16:A122),'Прайс-лист'!$U$11:$U$310,0)),"")</f>
        <v/>
      </c>
    </row>
    <row r="123" ht="13.5" customHeight="1" s="49">
      <c r="A123" s="64">
        <f>IFERROR(IF(INDEX('Прайс-лист'!$U$11:$U$310,MATCH(ROWS($A$16:A123),'Прайс-лист'!$U$11:$U$310,0))="","",ROWS($A$16:A123)),"")</f>
        <v/>
      </c>
      <c r="B123" s="58">
        <f>IFERROR(INDEX('Прайс-лист'!$A$11:$A$310,MATCH(ROWS($A$16:A123),'Прайс-лист'!$U$11:$U$310,0)),"")</f>
        <v/>
      </c>
      <c r="C123" s="58">
        <f>IFERROR(INDEX('Прайс-лист'!$B$11:$B$310,MATCH(ROWS($A$16:A123),'Прайс-лист'!$U$11:$U$310,0)),"")</f>
        <v/>
      </c>
      <c r="D123" s="59">
        <f>IFERROR(INDEX('Прайс-лист'!$C$11:$C$310,MATCH(ROWS($A$16:A123),'Прайс-лист'!$U$11:$U$310,0)),"")</f>
        <v/>
      </c>
      <c r="E123" s="59">
        <f>IFERROR(INDEX('Прайс-лист'!$E$11:$E$310,MATCH(ROWS($A$16:A123),'Прайс-лист'!$U$11:$U$310,0)),"")</f>
        <v/>
      </c>
      <c r="F123" s="58">
        <f>IFERROR(INDEX('Прайс-лист'!$F$11:$F$310,MATCH(ROWS($A$16:A123),'Прайс-лист'!$U$11:$U$310,0)),"")</f>
        <v/>
      </c>
      <c r="G123" s="61">
        <f>IFERROR(INDEX('Прайс-лист'!$R$11:$R$310,MATCH(ROWS($A$16:A123),'Прайс-лист'!$U$11:$U$310,0)),"")</f>
        <v/>
      </c>
      <c r="H123" s="60">
        <f>IFERROR(INDEX('Прайс-лист'!$P$11:$P$310,MATCH(ROWS($A$16:A123),'Прайс-лист'!$U$11:$U$310,0)),"")</f>
        <v/>
      </c>
      <c r="I123" s="61">
        <f>IFERROR(INDEX('Прайс-лист'!$S$11:$S$310,MATCH(ROWS($A$16:A123),'Прайс-лист'!$U$11:$U$310,0)),"")</f>
        <v/>
      </c>
      <c r="J123" s="61">
        <f>IFERROR($I123*0.22,"")</f>
        <v/>
      </c>
      <c r="K123" s="61">
        <f>IFERROR($I123+$J123,"")</f>
        <v/>
      </c>
      <c r="L123" s="59">
        <f>IFERROR(INDEX('Прайс-лист'!$Q$11:$Q$310,MATCH(ROWS($A$16:A123),'Прайс-лист'!$U$11:$U$310,0)),"")</f>
        <v/>
      </c>
    </row>
    <row r="124" ht="13.5" customHeight="1" s="49">
      <c r="A124" s="64">
        <f>IFERROR(IF(INDEX('Прайс-лист'!$U$11:$U$310,MATCH(ROWS($A$16:A124),'Прайс-лист'!$U$11:$U$310,0))="","",ROWS($A$16:A124)),"")</f>
        <v/>
      </c>
      <c r="B124" s="58">
        <f>IFERROR(INDEX('Прайс-лист'!$A$11:$A$310,MATCH(ROWS($A$16:A124),'Прайс-лист'!$U$11:$U$310,0)),"")</f>
        <v/>
      </c>
      <c r="C124" s="58">
        <f>IFERROR(INDEX('Прайс-лист'!$B$11:$B$310,MATCH(ROWS($A$16:A124),'Прайс-лист'!$U$11:$U$310,0)),"")</f>
        <v/>
      </c>
      <c r="D124" s="59">
        <f>IFERROR(INDEX('Прайс-лист'!$C$11:$C$310,MATCH(ROWS($A$16:A124),'Прайс-лист'!$U$11:$U$310,0)),"")</f>
        <v/>
      </c>
      <c r="E124" s="59">
        <f>IFERROR(INDEX('Прайс-лист'!$E$11:$E$310,MATCH(ROWS($A$16:A124),'Прайс-лист'!$U$11:$U$310,0)),"")</f>
        <v/>
      </c>
      <c r="F124" s="58">
        <f>IFERROR(INDEX('Прайс-лист'!$F$11:$F$310,MATCH(ROWS($A$16:A124),'Прайс-лист'!$U$11:$U$310,0)),"")</f>
        <v/>
      </c>
      <c r="G124" s="61">
        <f>IFERROR(INDEX('Прайс-лист'!$R$11:$R$310,MATCH(ROWS($A$16:A124),'Прайс-лист'!$U$11:$U$310,0)),"")</f>
        <v/>
      </c>
      <c r="H124" s="60">
        <f>IFERROR(INDEX('Прайс-лист'!$P$11:$P$310,MATCH(ROWS($A$16:A124),'Прайс-лист'!$U$11:$U$310,0)),"")</f>
        <v/>
      </c>
      <c r="I124" s="61">
        <f>IFERROR(INDEX('Прайс-лист'!$S$11:$S$310,MATCH(ROWS($A$16:A124),'Прайс-лист'!$U$11:$U$310,0)),"")</f>
        <v/>
      </c>
      <c r="J124" s="61">
        <f>IFERROR($I124*0.22,"")</f>
        <v/>
      </c>
      <c r="K124" s="61">
        <f>IFERROR($I124+$J124,"")</f>
        <v/>
      </c>
      <c r="L124" s="59">
        <f>IFERROR(INDEX('Прайс-лист'!$Q$11:$Q$310,MATCH(ROWS($A$16:A124),'Прайс-лист'!$U$11:$U$310,0)),"")</f>
        <v/>
      </c>
    </row>
    <row r="125" ht="13.5" customHeight="1" s="49">
      <c r="A125" s="64">
        <f>IFERROR(IF(INDEX('Прайс-лист'!$U$11:$U$310,MATCH(ROWS($A$16:A125),'Прайс-лист'!$U$11:$U$310,0))="","",ROWS($A$16:A125)),"")</f>
        <v/>
      </c>
      <c r="B125" s="58">
        <f>IFERROR(INDEX('Прайс-лист'!$A$11:$A$310,MATCH(ROWS($A$16:A125),'Прайс-лист'!$U$11:$U$310,0)),"")</f>
        <v/>
      </c>
      <c r="C125" s="58">
        <f>IFERROR(INDEX('Прайс-лист'!$B$11:$B$310,MATCH(ROWS($A$16:A125),'Прайс-лист'!$U$11:$U$310,0)),"")</f>
        <v/>
      </c>
      <c r="D125" s="59">
        <f>IFERROR(INDEX('Прайс-лист'!$C$11:$C$310,MATCH(ROWS($A$16:A125),'Прайс-лист'!$U$11:$U$310,0)),"")</f>
        <v/>
      </c>
      <c r="E125" s="59">
        <f>IFERROR(INDEX('Прайс-лист'!$E$11:$E$310,MATCH(ROWS($A$16:A125),'Прайс-лист'!$U$11:$U$310,0)),"")</f>
        <v/>
      </c>
      <c r="F125" s="58">
        <f>IFERROR(INDEX('Прайс-лист'!$F$11:$F$310,MATCH(ROWS($A$16:A125),'Прайс-лист'!$U$11:$U$310,0)),"")</f>
        <v/>
      </c>
      <c r="G125" s="61">
        <f>IFERROR(INDEX('Прайс-лист'!$R$11:$R$310,MATCH(ROWS($A$16:A125),'Прайс-лист'!$U$11:$U$310,0)),"")</f>
        <v/>
      </c>
      <c r="H125" s="60">
        <f>IFERROR(INDEX('Прайс-лист'!$P$11:$P$310,MATCH(ROWS($A$16:A125),'Прайс-лист'!$U$11:$U$310,0)),"")</f>
        <v/>
      </c>
      <c r="I125" s="61">
        <f>IFERROR(INDEX('Прайс-лист'!$S$11:$S$310,MATCH(ROWS($A$16:A125),'Прайс-лист'!$U$11:$U$310,0)),"")</f>
        <v/>
      </c>
      <c r="J125" s="61">
        <f>IFERROR($I125*0.22,"")</f>
        <v/>
      </c>
      <c r="K125" s="61">
        <f>IFERROR($I125+$J125,"")</f>
        <v/>
      </c>
      <c r="L125" s="59">
        <f>IFERROR(INDEX('Прайс-лист'!$Q$11:$Q$310,MATCH(ROWS($A$16:A125),'Прайс-лист'!$U$11:$U$310,0)),"")</f>
        <v/>
      </c>
    </row>
    <row r="126" ht="13.5" customHeight="1" s="49">
      <c r="A126" s="64">
        <f>IFERROR(IF(INDEX('Прайс-лист'!$U$11:$U$310,MATCH(ROWS($A$16:A126),'Прайс-лист'!$U$11:$U$310,0))="","",ROWS($A$16:A126)),"")</f>
        <v/>
      </c>
      <c r="B126" s="58">
        <f>IFERROR(INDEX('Прайс-лист'!$A$11:$A$310,MATCH(ROWS($A$16:A126),'Прайс-лист'!$U$11:$U$310,0)),"")</f>
        <v/>
      </c>
      <c r="C126" s="58">
        <f>IFERROR(INDEX('Прайс-лист'!$B$11:$B$310,MATCH(ROWS($A$16:A126),'Прайс-лист'!$U$11:$U$310,0)),"")</f>
        <v/>
      </c>
      <c r="D126" s="59">
        <f>IFERROR(INDEX('Прайс-лист'!$C$11:$C$310,MATCH(ROWS($A$16:A126),'Прайс-лист'!$U$11:$U$310,0)),"")</f>
        <v/>
      </c>
      <c r="E126" s="59">
        <f>IFERROR(INDEX('Прайс-лист'!$E$11:$E$310,MATCH(ROWS($A$16:A126),'Прайс-лист'!$U$11:$U$310,0)),"")</f>
        <v/>
      </c>
      <c r="F126" s="58">
        <f>IFERROR(INDEX('Прайс-лист'!$F$11:$F$310,MATCH(ROWS($A$16:A126),'Прайс-лист'!$U$11:$U$310,0)),"")</f>
        <v/>
      </c>
      <c r="G126" s="61">
        <f>IFERROR(INDEX('Прайс-лист'!$R$11:$R$310,MATCH(ROWS($A$16:A126),'Прайс-лист'!$U$11:$U$310,0)),"")</f>
        <v/>
      </c>
      <c r="H126" s="60">
        <f>IFERROR(INDEX('Прайс-лист'!$P$11:$P$310,MATCH(ROWS($A$16:A126),'Прайс-лист'!$U$11:$U$310,0)),"")</f>
        <v/>
      </c>
      <c r="I126" s="61">
        <f>IFERROR(INDEX('Прайс-лист'!$S$11:$S$310,MATCH(ROWS($A$16:A126),'Прайс-лист'!$U$11:$U$310,0)),"")</f>
        <v/>
      </c>
      <c r="J126" s="61">
        <f>IFERROR($I126*0.22,"")</f>
        <v/>
      </c>
      <c r="K126" s="61">
        <f>IFERROR($I126+$J126,"")</f>
        <v/>
      </c>
      <c r="L126" s="59">
        <f>IFERROR(INDEX('Прайс-лист'!$Q$11:$Q$310,MATCH(ROWS($A$16:A126),'Прайс-лист'!$U$11:$U$310,0)),"")</f>
        <v/>
      </c>
    </row>
    <row r="127" ht="13.5" customHeight="1" s="49">
      <c r="A127" s="64">
        <f>IFERROR(IF(INDEX('Прайс-лист'!$U$11:$U$310,MATCH(ROWS($A$16:A127),'Прайс-лист'!$U$11:$U$310,0))="","",ROWS($A$16:A127)),"")</f>
        <v/>
      </c>
      <c r="B127" s="58">
        <f>IFERROR(INDEX('Прайс-лист'!$A$11:$A$310,MATCH(ROWS($A$16:A127),'Прайс-лист'!$U$11:$U$310,0)),"")</f>
        <v/>
      </c>
      <c r="C127" s="58">
        <f>IFERROR(INDEX('Прайс-лист'!$B$11:$B$310,MATCH(ROWS($A$16:A127),'Прайс-лист'!$U$11:$U$310,0)),"")</f>
        <v/>
      </c>
      <c r="D127" s="59">
        <f>IFERROR(INDEX('Прайс-лист'!$C$11:$C$310,MATCH(ROWS($A$16:A127),'Прайс-лист'!$U$11:$U$310,0)),"")</f>
        <v/>
      </c>
      <c r="E127" s="59">
        <f>IFERROR(INDEX('Прайс-лист'!$E$11:$E$310,MATCH(ROWS($A$16:A127),'Прайс-лист'!$U$11:$U$310,0)),"")</f>
        <v/>
      </c>
      <c r="F127" s="58">
        <f>IFERROR(INDEX('Прайс-лист'!$F$11:$F$310,MATCH(ROWS($A$16:A127),'Прайс-лист'!$U$11:$U$310,0)),"")</f>
        <v/>
      </c>
      <c r="G127" s="61">
        <f>IFERROR(INDEX('Прайс-лист'!$R$11:$R$310,MATCH(ROWS($A$16:A127),'Прайс-лист'!$U$11:$U$310,0)),"")</f>
        <v/>
      </c>
      <c r="H127" s="60">
        <f>IFERROR(INDEX('Прайс-лист'!$P$11:$P$310,MATCH(ROWS($A$16:A127),'Прайс-лист'!$U$11:$U$310,0)),"")</f>
        <v/>
      </c>
      <c r="I127" s="61">
        <f>IFERROR(INDEX('Прайс-лист'!$S$11:$S$310,MATCH(ROWS($A$16:A127),'Прайс-лист'!$U$11:$U$310,0)),"")</f>
        <v/>
      </c>
      <c r="J127" s="61">
        <f>IFERROR($I127*0.22,"")</f>
        <v/>
      </c>
      <c r="K127" s="61">
        <f>IFERROR($I127+$J127,"")</f>
        <v/>
      </c>
      <c r="L127" s="59">
        <f>IFERROR(INDEX('Прайс-лист'!$Q$11:$Q$310,MATCH(ROWS($A$16:A127),'Прайс-лист'!$U$11:$U$310,0)),"")</f>
        <v/>
      </c>
    </row>
    <row r="128" ht="13.5" customHeight="1" s="49">
      <c r="A128" s="64">
        <f>IFERROR(IF(INDEX('Прайс-лист'!$U$11:$U$310,MATCH(ROWS($A$16:A128),'Прайс-лист'!$U$11:$U$310,0))="","",ROWS($A$16:A128)),"")</f>
        <v/>
      </c>
      <c r="B128" s="58">
        <f>IFERROR(INDEX('Прайс-лист'!$A$11:$A$310,MATCH(ROWS($A$16:A128),'Прайс-лист'!$U$11:$U$310,0)),"")</f>
        <v/>
      </c>
      <c r="C128" s="58">
        <f>IFERROR(INDEX('Прайс-лист'!$B$11:$B$310,MATCH(ROWS($A$16:A128),'Прайс-лист'!$U$11:$U$310,0)),"")</f>
        <v/>
      </c>
      <c r="D128" s="59">
        <f>IFERROR(INDEX('Прайс-лист'!$C$11:$C$310,MATCH(ROWS($A$16:A128),'Прайс-лист'!$U$11:$U$310,0)),"")</f>
        <v/>
      </c>
      <c r="E128" s="59">
        <f>IFERROR(INDEX('Прайс-лист'!$E$11:$E$310,MATCH(ROWS($A$16:A128),'Прайс-лист'!$U$11:$U$310,0)),"")</f>
        <v/>
      </c>
      <c r="F128" s="58">
        <f>IFERROR(INDEX('Прайс-лист'!$F$11:$F$310,MATCH(ROWS($A$16:A128),'Прайс-лист'!$U$11:$U$310,0)),"")</f>
        <v/>
      </c>
      <c r="G128" s="61">
        <f>IFERROR(INDEX('Прайс-лист'!$R$11:$R$310,MATCH(ROWS($A$16:A128),'Прайс-лист'!$U$11:$U$310,0)),"")</f>
        <v/>
      </c>
      <c r="H128" s="60">
        <f>IFERROR(INDEX('Прайс-лист'!$P$11:$P$310,MATCH(ROWS($A$16:A128),'Прайс-лист'!$U$11:$U$310,0)),"")</f>
        <v/>
      </c>
      <c r="I128" s="61">
        <f>IFERROR(INDEX('Прайс-лист'!$S$11:$S$310,MATCH(ROWS($A$16:A128),'Прайс-лист'!$U$11:$U$310,0)),"")</f>
        <v/>
      </c>
      <c r="J128" s="61">
        <f>IFERROR($I128*0.22,"")</f>
        <v/>
      </c>
      <c r="K128" s="61">
        <f>IFERROR($I128+$J128,"")</f>
        <v/>
      </c>
      <c r="L128" s="59">
        <f>IFERROR(INDEX('Прайс-лист'!$Q$11:$Q$310,MATCH(ROWS($A$16:A128),'Прайс-лист'!$U$11:$U$310,0)),"")</f>
        <v/>
      </c>
    </row>
    <row r="129" ht="13.5" customHeight="1" s="49">
      <c r="A129" s="64">
        <f>IFERROR(IF(INDEX('Прайс-лист'!$U$11:$U$310,MATCH(ROWS($A$16:A129),'Прайс-лист'!$U$11:$U$310,0))="","",ROWS($A$16:A129)),"")</f>
        <v/>
      </c>
      <c r="B129" s="58">
        <f>IFERROR(INDEX('Прайс-лист'!$A$11:$A$310,MATCH(ROWS($A$16:A129),'Прайс-лист'!$U$11:$U$310,0)),"")</f>
        <v/>
      </c>
      <c r="C129" s="58">
        <f>IFERROR(INDEX('Прайс-лист'!$B$11:$B$310,MATCH(ROWS($A$16:A129),'Прайс-лист'!$U$11:$U$310,0)),"")</f>
        <v/>
      </c>
      <c r="D129" s="59">
        <f>IFERROR(INDEX('Прайс-лист'!$C$11:$C$310,MATCH(ROWS($A$16:A129),'Прайс-лист'!$U$11:$U$310,0)),"")</f>
        <v/>
      </c>
      <c r="E129" s="59">
        <f>IFERROR(INDEX('Прайс-лист'!$E$11:$E$310,MATCH(ROWS($A$16:A129),'Прайс-лист'!$U$11:$U$310,0)),"")</f>
        <v/>
      </c>
      <c r="F129" s="58">
        <f>IFERROR(INDEX('Прайс-лист'!$F$11:$F$310,MATCH(ROWS($A$16:A129),'Прайс-лист'!$U$11:$U$310,0)),"")</f>
        <v/>
      </c>
      <c r="G129" s="61">
        <f>IFERROR(INDEX('Прайс-лист'!$R$11:$R$310,MATCH(ROWS($A$16:A129),'Прайс-лист'!$U$11:$U$310,0)),"")</f>
        <v/>
      </c>
      <c r="H129" s="60">
        <f>IFERROR(INDEX('Прайс-лист'!$P$11:$P$310,MATCH(ROWS($A$16:A129),'Прайс-лист'!$U$11:$U$310,0)),"")</f>
        <v/>
      </c>
      <c r="I129" s="61">
        <f>IFERROR(INDEX('Прайс-лист'!$S$11:$S$310,MATCH(ROWS($A$16:A129),'Прайс-лист'!$U$11:$U$310,0)),"")</f>
        <v/>
      </c>
      <c r="J129" s="61">
        <f>IFERROR($I129*0.22,"")</f>
        <v/>
      </c>
      <c r="K129" s="61">
        <f>IFERROR($I129+$J129,"")</f>
        <v/>
      </c>
      <c r="L129" s="59">
        <f>IFERROR(INDEX('Прайс-лист'!$Q$11:$Q$310,MATCH(ROWS($A$16:A129),'Прайс-лист'!$U$11:$U$310,0)),"")</f>
        <v/>
      </c>
    </row>
    <row r="130" ht="13.5" customHeight="1" s="49">
      <c r="A130" s="64">
        <f>IFERROR(IF(INDEX('Прайс-лист'!$U$11:$U$310,MATCH(ROWS($A$16:A130),'Прайс-лист'!$U$11:$U$310,0))="","",ROWS($A$16:A130)),"")</f>
        <v/>
      </c>
      <c r="B130" s="58">
        <f>IFERROR(INDEX('Прайс-лист'!$A$11:$A$310,MATCH(ROWS($A$16:A130),'Прайс-лист'!$U$11:$U$310,0)),"")</f>
        <v/>
      </c>
      <c r="C130" s="58">
        <f>IFERROR(INDEX('Прайс-лист'!$B$11:$B$310,MATCH(ROWS($A$16:A130),'Прайс-лист'!$U$11:$U$310,0)),"")</f>
        <v/>
      </c>
      <c r="D130" s="59">
        <f>IFERROR(INDEX('Прайс-лист'!$C$11:$C$310,MATCH(ROWS($A$16:A130),'Прайс-лист'!$U$11:$U$310,0)),"")</f>
        <v/>
      </c>
      <c r="E130" s="59">
        <f>IFERROR(INDEX('Прайс-лист'!$E$11:$E$310,MATCH(ROWS($A$16:A130),'Прайс-лист'!$U$11:$U$310,0)),"")</f>
        <v/>
      </c>
      <c r="F130" s="58">
        <f>IFERROR(INDEX('Прайс-лист'!$F$11:$F$310,MATCH(ROWS($A$16:A130),'Прайс-лист'!$U$11:$U$310,0)),"")</f>
        <v/>
      </c>
      <c r="G130" s="61">
        <f>IFERROR(INDEX('Прайс-лист'!$R$11:$R$310,MATCH(ROWS($A$16:A130),'Прайс-лист'!$U$11:$U$310,0)),"")</f>
        <v/>
      </c>
      <c r="H130" s="60">
        <f>IFERROR(INDEX('Прайс-лист'!$P$11:$P$310,MATCH(ROWS($A$16:A130),'Прайс-лист'!$U$11:$U$310,0)),"")</f>
        <v/>
      </c>
      <c r="I130" s="61">
        <f>IFERROR(INDEX('Прайс-лист'!$S$11:$S$310,MATCH(ROWS($A$16:A130),'Прайс-лист'!$U$11:$U$310,0)),"")</f>
        <v/>
      </c>
      <c r="J130" s="61">
        <f>IFERROR($I130*0.22,"")</f>
        <v/>
      </c>
      <c r="K130" s="61">
        <f>IFERROR($I130+$J130,"")</f>
        <v/>
      </c>
      <c r="L130" s="59">
        <f>IFERROR(INDEX('Прайс-лист'!$Q$11:$Q$310,MATCH(ROWS($A$16:A130),'Прайс-лист'!$U$11:$U$310,0)),"")</f>
        <v/>
      </c>
    </row>
    <row r="131" ht="13.5" customHeight="1" s="49">
      <c r="A131" s="64">
        <f>IFERROR(IF(INDEX('Прайс-лист'!$U$11:$U$310,MATCH(ROWS($A$16:A131),'Прайс-лист'!$U$11:$U$310,0))="","",ROWS($A$16:A131)),"")</f>
        <v/>
      </c>
      <c r="B131" s="58">
        <f>IFERROR(INDEX('Прайс-лист'!$A$11:$A$310,MATCH(ROWS($A$16:A131),'Прайс-лист'!$U$11:$U$310,0)),"")</f>
        <v/>
      </c>
      <c r="C131" s="58">
        <f>IFERROR(INDEX('Прайс-лист'!$B$11:$B$310,MATCH(ROWS($A$16:A131),'Прайс-лист'!$U$11:$U$310,0)),"")</f>
        <v/>
      </c>
      <c r="D131" s="59">
        <f>IFERROR(INDEX('Прайс-лист'!$C$11:$C$310,MATCH(ROWS($A$16:A131),'Прайс-лист'!$U$11:$U$310,0)),"")</f>
        <v/>
      </c>
      <c r="E131" s="59">
        <f>IFERROR(INDEX('Прайс-лист'!$E$11:$E$310,MATCH(ROWS($A$16:A131),'Прайс-лист'!$U$11:$U$310,0)),"")</f>
        <v/>
      </c>
      <c r="F131" s="58">
        <f>IFERROR(INDEX('Прайс-лист'!$F$11:$F$310,MATCH(ROWS($A$16:A131),'Прайс-лист'!$U$11:$U$310,0)),"")</f>
        <v/>
      </c>
      <c r="G131" s="61">
        <f>IFERROR(INDEX('Прайс-лист'!$R$11:$R$310,MATCH(ROWS($A$16:A131),'Прайс-лист'!$U$11:$U$310,0)),"")</f>
        <v/>
      </c>
      <c r="H131" s="60">
        <f>IFERROR(INDEX('Прайс-лист'!$P$11:$P$310,MATCH(ROWS($A$16:A131),'Прайс-лист'!$U$11:$U$310,0)),"")</f>
        <v/>
      </c>
      <c r="I131" s="61">
        <f>IFERROR(INDEX('Прайс-лист'!$S$11:$S$310,MATCH(ROWS($A$16:A131),'Прайс-лист'!$U$11:$U$310,0)),"")</f>
        <v/>
      </c>
      <c r="J131" s="61">
        <f>IFERROR($I131*0.22,"")</f>
        <v/>
      </c>
      <c r="K131" s="61">
        <f>IFERROR($I131+$J131,"")</f>
        <v/>
      </c>
      <c r="L131" s="59">
        <f>IFERROR(INDEX('Прайс-лист'!$Q$11:$Q$310,MATCH(ROWS($A$16:A131),'Прайс-лист'!$U$11:$U$310,0)),"")</f>
        <v/>
      </c>
    </row>
    <row r="132" ht="13.5" customHeight="1" s="49">
      <c r="A132" s="64">
        <f>IFERROR(IF(INDEX('Прайс-лист'!$U$11:$U$310,MATCH(ROWS($A$16:A132),'Прайс-лист'!$U$11:$U$310,0))="","",ROWS($A$16:A132)),"")</f>
        <v/>
      </c>
      <c r="B132" s="58">
        <f>IFERROR(INDEX('Прайс-лист'!$A$11:$A$310,MATCH(ROWS($A$16:A132),'Прайс-лист'!$U$11:$U$310,0)),"")</f>
        <v/>
      </c>
      <c r="C132" s="58">
        <f>IFERROR(INDEX('Прайс-лист'!$B$11:$B$310,MATCH(ROWS($A$16:A132),'Прайс-лист'!$U$11:$U$310,0)),"")</f>
        <v/>
      </c>
      <c r="D132" s="59">
        <f>IFERROR(INDEX('Прайс-лист'!$C$11:$C$310,MATCH(ROWS($A$16:A132),'Прайс-лист'!$U$11:$U$310,0)),"")</f>
        <v/>
      </c>
      <c r="E132" s="59">
        <f>IFERROR(INDEX('Прайс-лист'!$E$11:$E$310,MATCH(ROWS($A$16:A132),'Прайс-лист'!$U$11:$U$310,0)),"")</f>
        <v/>
      </c>
      <c r="F132" s="58">
        <f>IFERROR(INDEX('Прайс-лист'!$F$11:$F$310,MATCH(ROWS($A$16:A132),'Прайс-лист'!$U$11:$U$310,0)),"")</f>
        <v/>
      </c>
      <c r="G132" s="61">
        <f>IFERROR(INDEX('Прайс-лист'!$R$11:$R$310,MATCH(ROWS($A$16:A132),'Прайс-лист'!$U$11:$U$310,0)),"")</f>
        <v/>
      </c>
      <c r="H132" s="60">
        <f>IFERROR(INDEX('Прайс-лист'!$P$11:$P$310,MATCH(ROWS($A$16:A132),'Прайс-лист'!$U$11:$U$310,0)),"")</f>
        <v/>
      </c>
      <c r="I132" s="61">
        <f>IFERROR(INDEX('Прайс-лист'!$S$11:$S$310,MATCH(ROWS($A$16:A132),'Прайс-лист'!$U$11:$U$310,0)),"")</f>
        <v/>
      </c>
      <c r="J132" s="61">
        <f>IFERROR($I132*0.22,"")</f>
        <v/>
      </c>
      <c r="K132" s="61">
        <f>IFERROR($I132+$J132,"")</f>
        <v/>
      </c>
      <c r="L132" s="59">
        <f>IFERROR(INDEX('Прайс-лист'!$Q$11:$Q$310,MATCH(ROWS($A$16:A132),'Прайс-лист'!$U$11:$U$310,0)),"")</f>
        <v/>
      </c>
    </row>
    <row r="133" ht="13.5" customHeight="1" s="49">
      <c r="A133" s="64">
        <f>IFERROR(IF(INDEX('Прайс-лист'!$U$11:$U$310,MATCH(ROWS($A$16:A133),'Прайс-лист'!$U$11:$U$310,0))="","",ROWS($A$16:A133)),"")</f>
        <v/>
      </c>
      <c r="B133" s="58">
        <f>IFERROR(INDEX('Прайс-лист'!$A$11:$A$310,MATCH(ROWS($A$16:A133),'Прайс-лист'!$U$11:$U$310,0)),"")</f>
        <v/>
      </c>
      <c r="C133" s="58">
        <f>IFERROR(INDEX('Прайс-лист'!$B$11:$B$310,MATCH(ROWS($A$16:A133),'Прайс-лист'!$U$11:$U$310,0)),"")</f>
        <v/>
      </c>
      <c r="D133" s="59">
        <f>IFERROR(INDEX('Прайс-лист'!$C$11:$C$310,MATCH(ROWS($A$16:A133),'Прайс-лист'!$U$11:$U$310,0)),"")</f>
        <v/>
      </c>
      <c r="E133" s="59">
        <f>IFERROR(INDEX('Прайс-лист'!$E$11:$E$310,MATCH(ROWS($A$16:A133),'Прайс-лист'!$U$11:$U$310,0)),"")</f>
        <v/>
      </c>
      <c r="F133" s="58">
        <f>IFERROR(INDEX('Прайс-лист'!$F$11:$F$310,MATCH(ROWS($A$16:A133),'Прайс-лист'!$U$11:$U$310,0)),"")</f>
        <v/>
      </c>
      <c r="G133" s="61">
        <f>IFERROR(INDEX('Прайс-лист'!$R$11:$R$310,MATCH(ROWS($A$16:A133),'Прайс-лист'!$U$11:$U$310,0)),"")</f>
        <v/>
      </c>
      <c r="H133" s="60">
        <f>IFERROR(INDEX('Прайс-лист'!$P$11:$P$310,MATCH(ROWS($A$16:A133),'Прайс-лист'!$U$11:$U$310,0)),"")</f>
        <v/>
      </c>
      <c r="I133" s="61">
        <f>IFERROR(INDEX('Прайс-лист'!$S$11:$S$310,MATCH(ROWS($A$16:A133),'Прайс-лист'!$U$11:$U$310,0)),"")</f>
        <v/>
      </c>
      <c r="J133" s="61">
        <f>IFERROR($I133*0.22,"")</f>
        <v/>
      </c>
      <c r="K133" s="61">
        <f>IFERROR($I133+$J133,"")</f>
        <v/>
      </c>
      <c r="L133" s="59">
        <f>IFERROR(INDEX('Прайс-лист'!$Q$11:$Q$310,MATCH(ROWS($A$16:A133),'Прайс-лист'!$U$11:$U$310,0)),"")</f>
        <v/>
      </c>
    </row>
    <row r="134" ht="13.5" customHeight="1" s="49">
      <c r="A134" s="64">
        <f>IFERROR(IF(INDEX('Прайс-лист'!$U$11:$U$310,MATCH(ROWS($A$16:A134),'Прайс-лист'!$U$11:$U$310,0))="","",ROWS($A$16:A134)),"")</f>
        <v/>
      </c>
      <c r="B134" s="58">
        <f>IFERROR(INDEX('Прайс-лист'!$A$11:$A$310,MATCH(ROWS($A$16:A134),'Прайс-лист'!$U$11:$U$310,0)),"")</f>
        <v/>
      </c>
      <c r="C134" s="58">
        <f>IFERROR(INDEX('Прайс-лист'!$B$11:$B$310,MATCH(ROWS($A$16:A134),'Прайс-лист'!$U$11:$U$310,0)),"")</f>
        <v/>
      </c>
      <c r="D134" s="59">
        <f>IFERROR(INDEX('Прайс-лист'!$C$11:$C$310,MATCH(ROWS($A$16:A134),'Прайс-лист'!$U$11:$U$310,0)),"")</f>
        <v/>
      </c>
      <c r="E134" s="59">
        <f>IFERROR(INDEX('Прайс-лист'!$E$11:$E$310,MATCH(ROWS($A$16:A134),'Прайс-лист'!$U$11:$U$310,0)),"")</f>
        <v/>
      </c>
      <c r="F134" s="58">
        <f>IFERROR(INDEX('Прайс-лист'!$F$11:$F$310,MATCH(ROWS($A$16:A134),'Прайс-лист'!$U$11:$U$310,0)),"")</f>
        <v/>
      </c>
      <c r="G134" s="61">
        <f>IFERROR(INDEX('Прайс-лист'!$R$11:$R$310,MATCH(ROWS($A$16:A134),'Прайс-лист'!$U$11:$U$310,0)),"")</f>
        <v/>
      </c>
      <c r="H134" s="60">
        <f>IFERROR(INDEX('Прайс-лист'!$P$11:$P$310,MATCH(ROWS($A$16:A134),'Прайс-лист'!$U$11:$U$310,0)),"")</f>
        <v/>
      </c>
      <c r="I134" s="61">
        <f>IFERROR(INDEX('Прайс-лист'!$S$11:$S$310,MATCH(ROWS($A$16:A134),'Прайс-лист'!$U$11:$U$310,0)),"")</f>
        <v/>
      </c>
      <c r="J134" s="61">
        <f>IFERROR($I134*0.22,"")</f>
        <v/>
      </c>
      <c r="K134" s="61">
        <f>IFERROR($I134+$J134,"")</f>
        <v/>
      </c>
      <c r="L134" s="59">
        <f>IFERROR(INDEX('Прайс-лист'!$Q$11:$Q$310,MATCH(ROWS($A$16:A134),'Прайс-лист'!$U$11:$U$310,0)),"")</f>
        <v/>
      </c>
    </row>
    <row r="135" ht="13.5" customHeight="1" s="49">
      <c r="A135" s="64">
        <f>IFERROR(IF(INDEX('Прайс-лист'!$U$11:$U$310,MATCH(ROWS($A$16:A135),'Прайс-лист'!$U$11:$U$310,0))="","",ROWS($A$16:A135)),"")</f>
        <v/>
      </c>
      <c r="B135" s="58">
        <f>IFERROR(INDEX('Прайс-лист'!$A$11:$A$310,MATCH(ROWS($A$16:A135),'Прайс-лист'!$U$11:$U$310,0)),"")</f>
        <v/>
      </c>
      <c r="C135" s="58">
        <f>IFERROR(INDEX('Прайс-лист'!$B$11:$B$310,MATCH(ROWS($A$16:A135),'Прайс-лист'!$U$11:$U$310,0)),"")</f>
        <v/>
      </c>
      <c r="D135" s="59">
        <f>IFERROR(INDEX('Прайс-лист'!$C$11:$C$310,MATCH(ROWS($A$16:A135),'Прайс-лист'!$U$11:$U$310,0)),"")</f>
        <v/>
      </c>
      <c r="E135" s="59">
        <f>IFERROR(INDEX('Прайс-лист'!$E$11:$E$310,MATCH(ROWS($A$16:A135),'Прайс-лист'!$U$11:$U$310,0)),"")</f>
        <v/>
      </c>
      <c r="F135" s="58">
        <f>IFERROR(INDEX('Прайс-лист'!$F$11:$F$310,MATCH(ROWS($A$16:A135),'Прайс-лист'!$U$11:$U$310,0)),"")</f>
        <v/>
      </c>
      <c r="G135" s="61">
        <f>IFERROR(INDEX('Прайс-лист'!$R$11:$R$310,MATCH(ROWS($A$16:A135),'Прайс-лист'!$U$11:$U$310,0)),"")</f>
        <v/>
      </c>
      <c r="H135" s="60">
        <f>IFERROR(INDEX('Прайс-лист'!$P$11:$P$310,MATCH(ROWS($A$16:A135),'Прайс-лист'!$U$11:$U$310,0)),"")</f>
        <v/>
      </c>
      <c r="I135" s="61">
        <f>IFERROR(INDEX('Прайс-лист'!$S$11:$S$310,MATCH(ROWS($A$16:A135),'Прайс-лист'!$U$11:$U$310,0)),"")</f>
        <v/>
      </c>
      <c r="J135" s="61">
        <f>IFERROR($I135*0.22,"")</f>
        <v/>
      </c>
      <c r="K135" s="61">
        <f>IFERROR($I135+$J135,"")</f>
        <v/>
      </c>
      <c r="L135" s="59">
        <f>IFERROR(INDEX('Прайс-лист'!$Q$11:$Q$310,MATCH(ROWS($A$16:A135),'Прайс-лист'!$U$11:$U$310,0)),"")</f>
        <v/>
      </c>
    </row>
    <row r="136" ht="13.5" customHeight="1" s="49">
      <c r="A136" s="64">
        <f>IFERROR(IF(INDEX('Прайс-лист'!$U$11:$U$310,MATCH(ROWS($A$16:A136),'Прайс-лист'!$U$11:$U$310,0))="","",ROWS($A$16:A136)),"")</f>
        <v/>
      </c>
      <c r="B136" s="58">
        <f>IFERROR(INDEX('Прайс-лист'!$A$11:$A$310,MATCH(ROWS($A$16:A136),'Прайс-лист'!$U$11:$U$310,0)),"")</f>
        <v/>
      </c>
      <c r="C136" s="58">
        <f>IFERROR(INDEX('Прайс-лист'!$B$11:$B$310,MATCH(ROWS($A$16:A136),'Прайс-лист'!$U$11:$U$310,0)),"")</f>
        <v/>
      </c>
      <c r="D136" s="59">
        <f>IFERROR(INDEX('Прайс-лист'!$C$11:$C$310,MATCH(ROWS($A$16:A136),'Прайс-лист'!$U$11:$U$310,0)),"")</f>
        <v/>
      </c>
      <c r="E136" s="59">
        <f>IFERROR(INDEX('Прайс-лист'!$E$11:$E$310,MATCH(ROWS($A$16:A136),'Прайс-лист'!$U$11:$U$310,0)),"")</f>
        <v/>
      </c>
      <c r="F136" s="58">
        <f>IFERROR(INDEX('Прайс-лист'!$F$11:$F$310,MATCH(ROWS($A$16:A136),'Прайс-лист'!$U$11:$U$310,0)),"")</f>
        <v/>
      </c>
      <c r="G136" s="61">
        <f>IFERROR(INDEX('Прайс-лист'!$R$11:$R$310,MATCH(ROWS($A$16:A136),'Прайс-лист'!$U$11:$U$310,0)),"")</f>
        <v/>
      </c>
      <c r="H136" s="60">
        <f>IFERROR(INDEX('Прайс-лист'!$P$11:$P$310,MATCH(ROWS($A$16:A136),'Прайс-лист'!$U$11:$U$310,0)),"")</f>
        <v/>
      </c>
      <c r="I136" s="61">
        <f>IFERROR(INDEX('Прайс-лист'!$S$11:$S$310,MATCH(ROWS($A$16:A136),'Прайс-лист'!$U$11:$U$310,0)),"")</f>
        <v/>
      </c>
      <c r="J136" s="61">
        <f>IFERROR($I136*0.22,"")</f>
        <v/>
      </c>
      <c r="K136" s="61">
        <f>IFERROR($I136+$J136,"")</f>
        <v/>
      </c>
      <c r="L136" s="59">
        <f>IFERROR(INDEX('Прайс-лист'!$Q$11:$Q$310,MATCH(ROWS($A$16:A136),'Прайс-лист'!$U$11:$U$310,0)),"")</f>
        <v/>
      </c>
    </row>
    <row r="137" ht="13.5" customHeight="1" s="49">
      <c r="A137" s="64">
        <f>IFERROR(IF(INDEX('Прайс-лист'!$U$11:$U$310,MATCH(ROWS($A$16:A137),'Прайс-лист'!$U$11:$U$310,0))="","",ROWS($A$16:A137)),"")</f>
        <v/>
      </c>
      <c r="B137" s="58">
        <f>IFERROR(INDEX('Прайс-лист'!$A$11:$A$310,MATCH(ROWS($A$16:A137),'Прайс-лист'!$U$11:$U$310,0)),"")</f>
        <v/>
      </c>
      <c r="C137" s="58">
        <f>IFERROR(INDEX('Прайс-лист'!$B$11:$B$310,MATCH(ROWS($A$16:A137),'Прайс-лист'!$U$11:$U$310,0)),"")</f>
        <v/>
      </c>
      <c r="D137" s="59">
        <f>IFERROR(INDEX('Прайс-лист'!$C$11:$C$310,MATCH(ROWS($A$16:A137),'Прайс-лист'!$U$11:$U$310,0)),"")</f>
        <v/>
      </c>
      <c r="E137" s="59">
        <f>IFERROR(INDEX('Прайс-лист'!$E$11:$E$310,MATCH(ROWS($A$16:A137),'Прайс-лист'!$U$11:$U$310,0)),"")</f>
        <v/>
      </c>
      <c r="F137" s="58">
        <f>IFERROR(INDEX('Прайс-лист'!$F$11:$F$310,MATCH(ROWS($A$16:A137),'Прайс-лист'!$U$11:$U$310,0)),"")</f>
        <v/>
      </c>
      <c r="G137" s="61">
        <f>IFERROR(INDEX('Прайс-лист'!$R$11:$R$310,MATCH(ROWS($A$16:A137),'Прайс-лист'!$U$11:$U$310,0)),"")</f>
        <v/>
      </c>
      <c r="H137" s="60">
        <f>IFERROR(INDEX('Прайс-лист'!$P$11:$P$310,MATCH(ROWS($A$16:A137),'Прайс-лист'!$U$11:$U$310,0)),"")</f>
        <v/>
      </c>
      <c r="I137" s="61">
        <f>IFERROR(INDEX('Прайс-лист'!$S$11:$S$310,MATCH(ROWS($A$16:A137),'Прайс-лист'!$U$11:$U$310,0)),"")</f>
        <v/>
      </c>
      <c r="J137" s="61">
        <f>IFERROR($I137*0.22,"")</f>
        <v/>
      </c>
      <c r="K137" s="61">
        <f>IFERROR($I137+$J137,"")</f>
        <v/>
      </c>
      <c r="L137" s="59">
        <f>IFERROR(INDEX('Прайс-лист'!$Q$11:$Q$310,MATCH(ROWS($A$16:A137),'Прайс-лист'!$U$11:$U$310,0)),"")</f>
        <v/>
      </c>
    </row>
    <row r="138" ht="13.5" customHeight="1" s="49">
      <c r="A138" s="64">
        <f>IFERROR(IF(INDEX('Прайс-лист'!$U$11:$U$310,MATCH(ROWS($A$16:A138),'Прайс-лист'!$U$11:$U$310,0))="","",ROWS($A$16:A138)),"")</f>
        <v/>
      </c>
      <c r="B138" s="58">
        <f>IFERROR(INDEX('Прайс-лист'!$A$11:$A$310,MATCH(ROWS($A$16:A138),'Прайс-лист'!$U$11:$U$310,0)),"")</f>
        <v/>
      </c>
      <c r="C138" s="58">
        <f>IFERROR(INDEX('Прайс-лист'!$B$11:$B$310,MATCH(ROWS($A$16:A138),'Прайс-лист'!$U$11:$U$310,0)),"")</f>
        <v/>
      </c>
      <c r="D138" s="59">
        <f>IFERROR(INDEX('Прайс-лист'!$C$11:$C$310,MATCH(ROWS($A$16:A138),'Прайс-лист'!$U$11:$U$310,0)),"")</f>
        <v/>
      </c>
      <c r="E138" s="59">
        <f>IFERROR(INDEX('Прайс-лист'!$E$11:$E$310,MATCH(ROWS($A$16:A138),'Прайс-лист'!$U$11:$U$310,0)),"")</f>
        <v/>
      </c>
      <c r="F138" s="58">
        <f>IFERROR(INDEX('Прайс-лист'!$F$11:$F$310,MATCH(ROWS($A$16:A138),'Прайс-лист'!$U$11:$U$310,0)),"")</f>
        <v/>
      </c>
      <c r="G138" s="61">
        <f>IFERROR(INDEX('Прайс-лист'!$R$11:$R$310,MATCH(ROWS($A$16:A138),'Прайс-лист'!$U$11:$U$310,0)),"")</f>
        <v/>
      </c>
      <c r="H138" s="60">
        <f>IFERROR(INDEX('Прайс-лист'!$P$11:$P$310,MATCH(ROWS($A$16:A138),'Прайс-лист'!$U$11:$U$310,0)),"")</f>
        <v/>
      </c>
      <c r="I138" s="61">
        <f>IFERROR(INDEX('Прайс-лист'!$S$11:$S$310,MATCH(ROWS($A$16:A138),'Прайс-лист'!$U$11:$U$310,0)),"")</f>
        <v/>
      </c>
      <c r="J138" s="61">
        <f>IFERROR($I138*0.22,"")</f>
        <v/>
      </c>
      <c r="K138" s="61">
        <f>IFERROR($I138+$J138,"")</f>
        <v/>
      </c>
      <c r="L138" s="59">
        <f>IFERROR(INDEX('Прайс-лист'!$Q$11:$Q$310,MATCH(ROWS($A$16:A138),'Прайс-лист'!$U$11:$U$310,0)),"")</f>
        <v/>
      </c>
    </row>
    <row r="139" ht="13.5" customHeight="1" s="49">
      <c r="A139" s="64">
        <f>IFERROR(IF(INDEX('Прайс-лист'!$U$11:$U$310,MATCH(ROWS($A$16:A139),'Прайс-лист'!$U$11:$U$310,0))="","",ROWS($A$16:A139)),"")</f>
        <v/>
      </c>
      <c r="B139" s="58">
        <f>IFERROR(INDEX('Прайс-лист'!$A$11:$A$310,MATCH(ROWS($A$16:A139),'Прайс-лист'!$U$11:$U$310,0)),"")</f>
        <v/>
      </c>
      <c r="C139" s="58">
        <f>IFERROR(INDEX('Прайс-лист'!$B$11:$B$310,MATCH(ROWS($A$16:A139),'Прайс-лист'!$U$11:$U$310,0)),"")</f>
        <v/>
      </c>
      <c r="D139" s="59">
        <f>IFERROR(INDEX('Прайс-лист'!$C$11:$C$310,MATCH(ROWS($A$16:A139),'Прайс-лист'!$U$11:$U$310,0)),"")</f>
        <v/>
      </c>
      <c r="E139" s="59">
        <f>IFERROR(INDEX('Прайс-лист'!$E$11:$E$310,MATCH(ROWS($A$16:A139),'Прайс-лист'!$U$11:$U$310,0)),"")</f>
        <v/>
      </c>
      <c r="F139" s="58">
        <f>IFERROR(INDEX('Прайс-лист'!$F$11:$F$310,MATCH(ROWS($A$16:A139),'Прайс-лист'!$U$11:$U$310,0)),"")</f>
        <v/>
      </c>
      <c r="G139" s="61">
        <f>IFERROR(INDEX('Прайс-лист'!$R$11:$R$310,MATCH(ROWS($A$16:A139),'Прайс-лист'!$U$11:$U$310,0)),"")</f>
        <v/>
      </c>
      <c r="H139" s="60">
        <f>IFERROR(INDEX('Прайс-лист'!$P$11:$P$310,MATCH(ROWS($A$16:A139),'Прайс-лист'!$U$11:$U$310,0)),"")</f>
        <v/>
      </c>
      <c r="I139" s="61">
        <f>IFERROR(INDEX('Прайс-лист'!$S$11:$S$310,MATCH(ROWS($A$16:A139),'Прайс-лист'!$U$11:$U$310,0)),"")</f>
        <v/>
      </c>
      <c r="J139" s="61">
        <f>IFERROR($I139*0.22,"")</f>
        <v/>
      </c>
      <c r="K139" s="61">
        <f>IFERROR($I139+$J139,"")</f>
        <v/>
      </c>
      <c r="L139" s="59">
        <f>IFERROR(INDEX('Прайс-лист'!$Q$11:$Q$310,MATCH(ROWS($A$16:A139),'Прайс-лист'!$U$11:$U$310,0)),"")</f>
        <v/>
      </c>
    </row>
    <row r="140" ht="13.5" customHeight="1" s="49">
      <c r="A140" s="64">
        <f>IFERROR(IF(INDEX('Прайс-лист'!$U$11:$U$310,MATCH(ROWS($A$16:A140),'Прайс-лист'!$U$11:$U$310,0))="","",ROWS($A$16:A140)),"")</f>
        <v/>
      </c>
      <c r="B140" s="58">
        <f>IFERROR(INDEX('Прайс-лист'!$A$11:$A$310,MATCH(ROWS($A$16:A140),'Прайс-лист'!$U$11:$U$310,0)),"")</f>
        <v/>
      </c>
      <c r="C140" s="58">
        <f>IFERROR(INDEX('Прайс-лист'!$B$11:$B$310,MATCH(ROWS($A$16:A140),'Прайс-лист'!$U$11:$U$310,0)),"")</f>
        <v/>
      </c>
      <c r="D140" s="59">
        <f>IFERROR(INDEX('Прайс-лист'!$C$11:$C$310,MATCH(ROWS($A$16:A140),'Прайс-лист'!$U$11:$U$310,0)),"")</f>
        <v/>
      </c>
      <c r="E140" s="59">
        <f>IFERROR(INDEX('Прайс-лист'!$E$11:$E$310,MATCH(ROWS($A$16:A140),'Прайс-лист'!$U$11:$U$310,0)),"")</f>
        <v/>
      </c>
      <c r="F140" s="58">
        <f>IFERROR(INDEX('Прайс-лист'!$F$11:$F$310,MATCH(ROWS($A$16:A140),'Прайс-лист'!$U$11:$U$310,0)),"")</f>
        <v/>
      </c>
      <c r="G140" s="61">
        <f>IFERROR(INDEX('Прайс-лист'!$R$11:$R$310,MATCH(ROWS($A$16:A140),'Прайс-лист'!$U$11:$U$310,0)),"")</f>
        <v/>
      </c>
      <c r="H140" s="60">
        <f>IFERROR(INDEX('Прайс-лист'!$P$11:$P$310,MATCH(ROWS($A$16:A140),'Прайс-лист'!$U$11:$U$310,0)),"")</f>
        <v/>
      </c>
      <c r="I140" s="61">
        <f>IFERROR(INDEX('Прайс-лист'!$S$11:$S$310,MATCH(ROWS($A$16:A140),'Прайс-лист'!$U$11:$U$310,0)),"")</f>
        <v/>
      </c>
      <c r="J140" s="61">
        <f>IFERROR($I140*0.22,"")</f>
        <v/>
      </c>
      <c r="K140" s="61">
        <f>IFERROR($I140+$J140,"")</f>
        <v/>
      </c>
      <c r="L140" s="59">
        <f>IFERROR(INDEX('Прайс-лист'!$Q$11:$Q$310,MATCH(ROWS($A$16:A140),'Прайс-лист'!$U$11:$U$310,0)),"")</f>
        <v/>
      </c>
    </row>
    <row r="141" ht="13.5" customHeight="1" s="49">
      <c r="A141" s="64">
        <f>IFERROR(IF(INDEX('Прайс-лист'!$U$11:$U$310,MATCH(ROWS($A$16:A141),'Прайс-лист'!$U$11:$U$310,0))="","",ROWS($A$16:A141)),"")</f>
        <v/>
      </c>
      <c r="B141" s="58">
        <f>IFERROR(INDEX('Прайс-лист'!$A$11:$A$310,MATCH(ROWS($A$16:A141),'Прайс-лист'!$U$11:$U$310,0)),"")</f>
        <v/>
      </c>
      <c r="C141" s="58">
        <f>IFERROR(INDEX('Прайс-лист'!$B$11:$B$310,MATCH(ROWS($A$16:A141),'Прайс-лист'!$U$11:$U$310,0)),"")</f>
        <v/>
      </c>
      <c r="D141" s="59">
        <f>IFERROR(INDEX('Прайс-лист'!$C$11:$C$310,MATCH(ROWS($A$16:A141),'Прайс-лист'!$U$11:$U$310,0)),"")</f>
        <v/>
      </c>
      <c r="E141" s="59">
        <f>IFERROR(INDEX('Прайс-лист'!$E$11:$E$310,MATCH(ROWS($A$16:A141),'Прайс-лист'!$U$11:$U$310,0)),"")</f>
        <v/>
      </c>
      <c r="F141" s="58">
        <f>IFERROR(INDEX('Прайс-лист'!$F$11:$F$310,MATCH(ROWS($A$16:A141),'Прайс-лист'!$U$11:$U$310,0)),"")</f>
        <v/>
      </c>
      <c r="G141" s="61">
        <f>IFERROR(INDEX('Прайс-лист'!$R$11:$R$310,MATCH(ROWS($A$16:A141),'Прайс-лист'!$U$11:$U$310,0)),"")</f>
        <v/>
      </c>
      <c r="H141" s="60">
        <f>IFERROR(INDEX('Прайс-лист'!$P$11:$P$310,MATCH(ROWS($A$16:A141),'Прайс-лист'!$U$11:$U$310,0)),"")</f>
        <v/>
      </c>
      <c r="I141" s="61">
        <f>IFERROR(INDEX('Прайс-лист'!$S$11:$S$310,MATCH(ROWS($A$16:A141),'Прайс-лист'!$U$11:$U$310,0)),"")</f>
        <v/>
      </c>
      <c r="J141" s="61">
        <f>IFERROR($I141*0.22,"")</f>
        <v/>
      </c>
      <c r="K141" s="61">
        <f>IFERROR($I141+$J141,"")</f>
        <v/>
      </c>
      <c r="L141" s="59">
        <f>IFERROR(INDEX('Прайс-лист'!$Q$11:$Q$310,MATCH(ROWS($A$16:A141),'Прайс-лист'!$U$11:$U$310,0)),"")</f>
        <v/>
      </c>
    </row>
    <row r="142" ht="13.5" customHeight="1" s="49">
      <c r="A142" s="64">
        <f>IFERROR(IF(INDEX('Прайс-лист'!$U$11:$U$310,MATCH(ROWS($A$16:A142),'Прайс-лист'!$U$11:$U$310,0))="","",ROWS($A$16:A142)),"")</f>
        <v/>
      </c>
      <c r="B142" s="58">
        <f>IFERROR(INDEX('Прайс-лист'!$A$11:$A$310,MATCH(ROWS($A$16:A142),'Прайс-лист'!$U$11:$U$310,0)),"")</f>
        <v/>
      </c>
      <c r="C142" s="58">
        <f>IFERROR(INDEX('Прайс-лист'!$B$11:$B$310,MATCH(ROWS($A$16:A142),'Прайс-лист'!$U$11:$U$310,0)),"")</f>
        <v/>
      </c>
      <c r="D142" s="59">
        <f>IFERROR(INDEX('Прайс-лист'!$C$11:$C$310,MATCH(ROWS($A$16:A142),'Прайс-лист'!$U$11:$U$310,0)),"")</f>
        <v/>
      </c>
      <c r="E142" s="59">
        <f>IFERROR(INDEX('Прайс-лист'!$E$11:$E$310,MATCH(ROWS($A$16:A142),'Прайс-лист'!$U$11:$U$310,0)),"")</f>
        <v/>
      </c>
      <c r="F142" s="58">
        <f>IFERROR(INDEX('Прайс-лист'!$F$11:$F$310,MATCH(ROWS($A$16:A142),'Прайс-лист'!$U$11:$U$310,0)),"")</f>
        <v/>
      </c>
      <c r="G142" s="61">
        <f>IFERROR(INDEX('Прайс-лист'!$R$11:$R$310,MATCH(ROWS($A$16:A142),'Прайс-лист'!$U$11:$U$310,0)),"")</f>
        <v/>
      </c>
      <c r="H142" s="60">
        <f>IFERROR(INDEX('Прайс-лист'!$P$11:$P$310,MATCH(ROWS($A$16:A142),'Прайс-лист'!$U$11:$U$310,0)),"")</f>
        <v/>
      </c>
      <c r="I142" s="61">
        <f>IFERROR(INDEX('Прайс-лист'!$S$11:$S$310,MATCH(ROWS($A$16:A142),'Прайс-лист'!$U$11:$U$310,0)),"")</f>
        <v/>
      </c>
      <c r="J142" s="61">
        <f>IFERROR($I142*0.22,"")</f>
        <v/>
      </c>
      <c r="K142" s="61">
        <f>IFERROR($I142+$J142,"")</f>
        <v/>
      </c>
      <c r="L142" s="59">
        <f>IFERROR(INDEX('Прайс-лист'!$Q$11:$Q$310,MATCH(ROWS($A$16:A142),'Прайс-лист'!$U$11:$U$310,0)),"")</f>
        <v/>
      </c>
    </row>
    <row r="143" ht="13.5" customHeight="1" s="49">
      <c r="A143" s="64">
        <f>IFERROR(IF(INDEX('Прайс-лист'!$U$11:$U$310,MATCH(ROWS($A$16:A143),'Прайс-лист'!$U$11:$U$310,0))="","",ROWS($A$16:A143)),"")</f>
        <v/>
      </c>
      <c r="B143" s="58">
        <f>IFERROR(INDEX('Прайс-лист'!$A$11:$A$310,MATCH(ROWS($A$16:A143),'Прайс-лист'!$U$11:$U$310,0)),"")</f>
        <v/>
      </c>
      <c r="C143" s="58">
        <f>IFERROR(INDEX('Прайс-лист'!$B$11:$B$310,MATCH(ROWS($A$16:A143),'Прайс-лист'!$U$11:$U$310,0)),"")</f>
        <v/>
      </c>
      <c r="D143" s="59">
        <f>IFERROR(INDEX('Прайс-лист'!$C$11:$C$310,MATCH(ROWS($A$16:A143),'Прайс-лист'!$U$11:$U$310,0)),"")</f>
        <v/>
      </c>
      <c r="E143" s="59">
        <f>IFERROR(INDEX('Прайс-лист'!$E$11:$E$310,MATCH(ROWS($A$16:A143),'Прайс-лист'!$U$11:$U$310,0)),"")</f>
        <v/>
      </c>
      <c r="F143" s="58">
        <f>IFERROR(INDEX('Прайс-лист'!$F$11:$F$310,MATCH(ROWS($A$16:A143),'Прайс-лист'!$U$11:$U$310,0)),"")</f>
        <v/>
      </c>
      <c r="G143" s="61">
        <f>IFERROR(INDEX('Прайс-лист'!$R$11:$R$310,MATCH(ROWS($A$16:A143),'Прайс-лист'!$U$11:$U$310,0)),"")</f>
        <v/>
      </c>
      <c r="H143" s="60">
        <f>IFERROR(INDEX('Прайс-лист'!$P$11:$P$310,MATCH(ROWS($A$16:A143),'Прайс-лист'!$U$11:$U$310,0)),"")</f>
        <v/>
      </c>
      <c r="I143" s="61">
        <f>IFERROR(INDEX('Прайс-лист'!$S$11:$S$310,MATCH(ROWS($A$16:A143),'Прайс-лист'!$U$11:$U$310,0)),"")</f>
        <v/>
      </c>
      <c r="J143" s="61">
        <f>IFERROR($I143*0.22,"")</f>
        <v/>
      </c>
      <c r="K143" s="61">
        <f>IFERROR($I143+$J143,"")</f>
        <v/>
      </c>
      <c r="L143" s="59">
        <f>IFERROR(INDEX('Прайс-лист'!$Q$11:$Q$310,MATCH(ROWS($A$16:A143),'Прайс-лист'!$U$11:$U$310,0)),"")</f>
        <v/>
      </c>
    </row>
    <row r="144" ht="13.5" customHeight="1" s="49">
      <c r="A144" s="64">
        <f>IFERROR(IF(INDEX('Прайс-лист'!$U$11:$U$310,MATCH(ROWS($A$16:A144),'Прайс-лист'!$U$11:$U$310,0))="","",ROWS($A$16:A144)),"")</f>
        <v/>
      </c>
      <c r="B144" s="58">
        <f>IFERROR(INDEX('Прайс-лист'!$A$11:$A$310,MATCH(ROWS($A$16:A144),'Прайс-лист'!$U$11:$U$310,0)),"")</f>
        <v/>
      </c>
      <c r="C144" s="58">
        <f>IFERROR(INDEX('Прайс-лист'!$B$11:$B$310,MATCH(ROWS($A$16:A144),'Прайс-лист'!$U$11:$U$310,0)),"")</f>
        <v/>
      </c>
      <c r="D144" s="59">
        <f>IFERROR(INDEX('Прайс-лист'!$C$11:$C$310,MATCH(ROWS($A$16:A144),'Прайс-лист'!$U$11:$U$310,0)),"")</f>
        <v/>
      </c>
      <c r="E144" s="59">
        <f>IFERROR(INDEX('Прайс-лист'!$E$11:$E$310,MATCH(ROWS($A$16:A144),'Прайс-лист'!$U$11:$U$310,0)),"")</f>
        <v/>
      </c>
      <c r="F144" s="58">
        <f>IFERROR(INDEX('Прайс-лист'!$F$11:$F$310,MATCH(ROWS($A$16:A144),'Прайс-лист'!$U$11:$U$310,0)),"")</f>
        <v/>
      </c>
      <c r="G144" s="61">
        <f>IFERROR(INDEX('Прайс-лист'!$R$11:$R$310,MATCH(ROWS($A$16:A144),'Прайс-лист'!$U$11:$U$310,0)),"")</f>
        <v/>
      </c>
      <c r="H144" s="60">
        <f>IFERROR(INDEX('Прайс-лист'!$P$11:$P$310,MATCH(ROWS($A$16:A144),'Прайс-лист'!$U$11:$U$310,0)),"")</f>
        <v/>
      </c>
      <c r="I144" s="61">
        <f>IFERROR(INDEX('Прайс-лист'!$S$11:$S$310,MATCH(ROWS($A$16:A144),'Прайс-лист'!$U$11:$U$310,0)),"")</f>
        <v/>
      </c>
      <c r="J144" s="61">
        <f>IFERROR($I144*0.22,"")</f>
        <v/>
      </c>
      <c r="K144" s="61">
        <f>IFERROR($I144+$J144,"")</f>
        <v/>
      </c>
      <c r="L144" s="59">
        <f>IFERROR(INDEX('Прайс-лист'!$Q$11:$Q$310,MATCH(ROWS($A$16:A144),'Прайс-лист'!$U$11:$U$310,0)),"")</f>
        <v/>
      </c>
    </row>
    <row r="145" ht="13.5" customHeight="1" s="49">
      <c r="A145" s="64">
        <f>IFERROR(IF(INDEX('Прайс-лист'!$U$11:$U$310,MATCH(ROWS($A$16:A145),'Прайс-лист'!$U$11:$U$310,0))="","",ROWS($A$16:A145)),"")</f>
        <v/>
      </c>
      <c r="B145" s="58">
        <f>IFERROR(INDEX('Прайс-лист'!$A$11:$A$310,MATCH(ROWS($A$16:A145),'Прайс-лист'!$U$11:$U$310,0)),"")</f>
        <v/>
      </c>
      <c r="C145" s="58">
        <f>IFERROR(INDEX('Прайс-лист'!$B$11:$B$310,MATCH(ROWS($A$16:A145),'Прайс-лист'!$U$11:$U$310,0)),"")</f>
        <v/>
      </c>
      <c r="D145" s="59">
        <f>IFERROR(INDEX('Прайс-лист'!$C$11:$C$310,MATCH(ROWS($A$16:A145),'Прайс-лист'!$U$11:$U$310,0)),"")</f>
        <v/>
      </c>
      <c r="E145" s="59">
        <f>IFERROR(INDEX('Прайс-лист'!$E$11:$E$310,MATCH(ROWS($A$16:A145),'Прайс-лист'!$U$11:$U$310,0)),"")</f>
        <v/>
      </c>
      <c r="F145" s="58">
        <f>IFERROR(INDEX('Прайс-лист'!$F$11:$F$310,MATCH(ROWS($A$16:A145),'Прайс-лист'!$U$11:$U$310,0)),"")</f>
        <v/>
      </c>
      <c r="G145" s="61">
        <f>IFERROR(INDEX('Прайс-лист'!$R$11:$R$310,MATCH(ROWS($A$16:A145),'Прайс-лист'!$U$11:$U$310,0)),"")</f>
        <v/>
      </c>
      <c r="H145" s="60">
        <f>IFERROR(INDEX('Прайс-лист'!$P$11:$P$310,MATCH(ROWS($A$16:A145),'Прайс-лист'!$U$11:$U$310,0)),"")</f>
        <v/>
      </c>
      <c r="I145" s="61">
        <f>IFERROR(INDEX('Прайс-лист'!$S$11:$S$310,MATCH(ROWS($A$16:A145),'Прайс-лист'!$U$11:$U$310,0)),"")</f>
        <v/>
      </c>
      <c r="J145" s="61">
        <f>IFERROR($I145*0.22,"")</f>
        <v/>
      </c>
      <c r="K145" s="61">
        <f>IFERROR($I145+$J145,"")</f>
        <v/>
      </c>
      <c r="L145" s="59">
        <f>IFERROR(INDEX('Прайс-лист'!$Q$11:$Q$310,MATCH(ROWS($A$16:A145),'Прайс-лист'!$U$11:$U$310,0)),"")</f>
        <v/>
      </c>
    </row>
    <row r="146" ht="13.5" customHeight="1" s="49">
      <c r="A146" s="64">
        <f>IFERROR(IF(INDEX('Прайс-лист'!$U$11:$U$310,MATCH(ROWS($A$16:A146),'Прайс-лист'!$U$11:$U$310,0))="","",ROWS($A$16:A146)),"")</f>
        <v/>
      </c>
      <c r="B146" s="58">
        <f>IFERROR(INDEX('Прайс-лист'!$A$11:$A$310,MATCH(ROWS($A$16:A146),'Прайс-лист'!$U$11:$U$310,0)),"")</f>
        <v/>
      </c>
      <c r="C146" s="58">
        <f>IFERROR(INDEX('Прайс-лист'!$B$11:$B$310,MATCH(ROWS($A$16:A146),'Прайс-лист'!$U$11:$U$310,0)),"")</f>
        <v/>
      </c>
      <c r="D146" s="59">
        <f>IFERROR(INDEX('Прайс-лист'!$C$11:$C$310,MATCH(ROWS($A$16:A146),'Прайс-лист'!$U$11:$U$310,0)),"")</f>
        <v/>
      </c>
      <c r="E146" s="59">
        <f>IFERROR(INDEX('Прайс-лист'!$E$11:$E$310,MATCH(ROWS($A$16:A146),'Прайс-лист'!$U$11:$U$310,0)),"")</f>
        <v/>
      </c>
      <c r="F146" s="58">
        <f>IFERROR(INDEX('Прайс-лист'!$F$11:$F$310,MATCH(ROWS($A$16:A146),'Прайс-лист'!$U$11:$U$310,0)),"")</f>
        <v/>
      </c>
      <c r="G146" s="61">
        <f>IFERROR(INDEX('Прайс-лист'!$R$11:$R$310,MATCH(ROWS($A$16:A146),'Прайс-лист'!$U$11:$U$310,0)),"")</f>
        <v/>
      </c>
      <c r="H146" s="60">
        <f>IFERROR(INDEX('Прайс-лист'!$P$11:$P$310,MATCH(ROWS($A$16:A146),'Прайс-лист'!$U$11:$U$310,0)),"")</f>
        <v/>
      </c>
      <c r="I146" s="61">
        <f>IFERROR(INDEX('Прайс-лист'!$S$11:$S$310,MATCH(ROWS($A$16:A146),'Прайс-лист'!$U$11:$U$310,0)),"")</f>
        <v/>
      </c>
      <c r="J146" s="61">
        <f>IFERROR($I146*0.22,"")</f>
        <v/>
      </c>
      <c r="K146" s="61">
        <f>IFERROR($I146+$J146,"")</f>
        <v/>
      </c>
      <c r="L146" s="59">
        <f>IFERROR(INDEX('Прайс-лист'!$Q$11:$Q$310,MATCH(ROWS($A$16:A146),'Прайс-лист'!$U$11:$U$310,0)),"")</f>
        <v/>
      </c>
    </row>
    <row r="147" ht="13.5" customHeight="1" s="49">
      <c r="A147" s="64">
        <f>IFERROR(IF(INDEX('Прайс-лист'!$U$11:$U$310,MATCH(ROWS($A$16:A147),'Прайс-лист'!$U$11:$U$310,0))="","",ROWS($A$16:A147)),"")</f>
        <v/>
      </c>
      <c r="B147" s="58">
        <f>IFERROR(INDEX('Прайс-лист'!$A$11:$A$310,MATCH(ROWS($A$16:A147),'Прайс-лист'!$U$11:$U$310,0)),"")</f>
        <v/>
      </c>
      <c r="C147" s="58">
        <f>IFERROR(INDEX('Прайс-лист'!$B$11:$B$310,MATCH(ROWS($A$16:A147),'Прайс-лист'!$U$11:$U$310,0)),"")</f>
        <v/>
      </c>
      <c r="D147" s="59">
        <f>IFERROR(INDEX('Прайс-лист'!$C$11:$C$310,MATCH(ROWS($A$16:A147),'Прайс-лист'!$U$11:$U$310,0)),"")</f>
        <v/>
      </c>
      <c r="E147" s="59">
        <f>IFERROR(INDEX('Прайс-лист'!$E$11:$E$310,MATCH(ROWS($A$16:A147),'Прайс-лист'!$U$11:$U$310,0)),"")</f>
        <v/>
      </c>
      <c r="F147" s="58">
        <f>IFERROR(INDEX('Прайс-лист'!$F$11:$F$310,MATCH(ROWS($A$16:A147),'Прайс-лист'!$U$11:$U$310,0)),"")</f>
        <v/>
      </c>
      <c r="G147" s="61">
        <f>IFERROR(INDEX('Прайс-лист'!$R$11:$R$310,MATCH(ROWS($A$16:A147),'Прайс-лист'!$U$11:$U$310,0)),"")</f>
        <v/>
      </c>
      <c r="H147" s="60">
        <f>IFERROR(INDEX('Прайс-лист'!$P$11:$P$310,MATCH(ROWS($A$16:A147),'Прайс-лист'!$U$11:$U$310,0)),"")</f>
        <v/>
      </c>
      <c r="I147" s="61">
        <f>IFERROR(INDEX('Прайс-лист'!$S$11:$S$310,MATCH(ROWS($A$16:A147),'Прайс-лист'!$U$11:$U$310,0)),"")</f>
        <v/>
      </c>
      <c r="J147" s="61">
        <f>IFERROR($I147*0.22,"")</f>
        <v/>
      </c>
      <c r="K147" s="61">
        <f>IFERROR($I147+$J147,"")</f>
        <v/>
      </c>
      <c r="L147" s="59">
        <f>IFERROR(INDEX('Прайс-лист'!$Q$11:$Q$310,MATCH(ROWS($A$16:A147),'Прайс-лист'!$U$11:$U$310,0)),"")</f>
        <v/>
      </c>
    </row>
    <row r="148" ht="13.5" customHeight="1" s="49">
      <c r="A148" s="64">
        <f>IFERROR(IF(INDEX('Прайс-лист'!$U$11:$U$310,MATCH(ROWS($A$16:A148),'Прайс-лист'!$U$11:$U$310,0))="","",ROWS($A$16:A148)),"")</f>
        <v/>
      </c>
      <c r="B148" s="58">
        <f>IFERROR(INDEX('Прайс-лист'!$A$11:$A$310,MATCH(ROWS($A$16:A148),'Прайс-лист'!$U$11:$U$310,0)),"")</f>
        <v/>
      </c>
      <c r="C148" s="58">
        <f>IFERROR(INDEX('Прайс-лист'!$B$11:$B$310,MATCH(ROWS($A$16:A148),'Прайс-лист'!$U$11:$U$310,0)),"")</f>
        <v/>
      </c>
      <c r="D148" s="59">
        <f>IFERROR(INDEX('Прайс-лист'!$C$11:$C$310,MATCH(ROWS($A$16:A148),'Прайс-лист'!$U$11:$U$310,0)),"")</f>
        <v/>
      </c>
      <c r="E148" s="59">
        <f>IFERROR(INDEX('Прайс-лист'!$E$11:$E$310,MATCH(ROWS($A$16:A148),'Прайс-лист'!$U$11:$U$310,0)),"")</f>
        <v/>
      </c>
      <c r="F148" s="58">
        <f>IFERROR(INDEX('Прайс-лист'!$F$11:$F$310,MATCH(ROWS($A$16:A148),'Прайс-лист'!$U$11:$U$310,0)),"")</f>
        <v/>
      </c>
      <c r="G148" s="61">
        <f>IFERROR(INDEX('Прайс-лист'!$R$11:$R$310,MATCH(ROWS($A$16:A148),'Прайс-лист'!$U$11:$U$310,0)),"")</f>
        <v/>
      </c>
      <c r="H148" s="60">
        <f>IFERROR(INDEX('Прайс-лист'!$P$11:$P$310,MATCH(ROWS($A$16:A148),'Прайс-лист'!$U$11:$U$310,0)),"")</f>
        <v/>
      </c>
      <c r="I148" s="61">
        <f>IFERROR(INDEX('Прайс-лист'!$S$11:$S$310,MATCH(ROWS($A$16:A148),'Прайс-лист'!$U$11:$U$310,0)),"")</f>
        <v/>
      </c>
      <c r="J148" s="61">
        <f>IFERROR($I148*0.22,"")</f>
        <v/>
      </c>
      <c r="K148" s="61">
        <f>IFERROR($I148+$J148,"")</f>
        <v/>
      </c>
      <c r="L148" s="59">
        <f>IFERROR(INDEX('Прайс-лист'!$Q$11:$Q$310,MATCH(ROWS($A$16:A148),'Прайс-лист'!$U$11:$U$310,0)),"")</f>
        <v/>
      </c>
    </row>
    <row r="149" ht="13.5" customHeight="1" s="49">
      <c r="A149" s="64">
        <f>IFERROR(IF(INDEX('Прайс-лист'!$U$11:$U$310,MATCH(ROWS($A$16:A149),'Прайс-лист'!$U$11:$U$310,0))="","",ROWS($A$16:A149)),"")</f>
        <v/>
      </c>
      <c r="B149" s="58">
        <f>IFERROR(INDEX('Прайс-лист'!$A$11:$A$310,MATCH(ROWS($A$16:A149),'Прайс-лист'!$U$11:$U$310,0)),"")</f>
        <v/>
      </c>
      <c r="C149" s="58">
        <f>IFERROR(INDEX('Прайс-лист'!$B$11:$B$310,MATCH(ROWS($A$16:A149),'Прайс-лист'!$U$11:$U$310,0)),"")</f>
        <v/>
      </c>
      <c r="D149" s="59">
        <f>IFERROR(INDEX('Прайс-лист'!$C$11:$C$310,MATCH(ROWS($A$16:A149),'Прайс-лист'!$U$11:$U$310,0)),"")</f>
        <v/>
      </c>
      <c r="E149" s="59">
        <f>IFERROR(INDEX('Прайс-лист'!$E$11:$E$310,MATCH(ROWS($A$16:A149),'Прайс-лист'!$U$11:$U$310,0)),"")</f>
        <v/>
      </c>
      <c r="F149" s="58">
        <f>IFERROR(INDEX('Прайс-лист'!$F$11:$F$310,MATCH(ROWS($A$16:A149),'Прайс-лист'!$U$11:$U$310,0)),"")</f>
        <v/>
      </c>
      <c r="G149" s="61">
        <f>IFERROR(INDEX('Прайс-лист'!$R$11:$R$310,MATCH(ROWS($A$16:A149),'Прайс-лист'!$U$11:$U$310,0)),"")</f>
        <v/>
      </c>
      <c r="H149" s="60">
        <f>IFERROR(INDEX('Прайс-лист'!$P$11:$P$310,MATCH(ROWS($A$16:A149),'Прайс-лист'!$U$11:$U$310,0)),"")</f>
        <v/>
      </c>
      <c r="I149" s="61">
        <f>IFERROR(INDEX('Прайс-лист'!$S$11:$S$310,MATCH(ROWS($A$16:A149),'Прайс-лист'!$U$11:$U$310,0)),"")</f>
        <v/>
      </c>
      <c r="J149" s="61">
        <f>IFERROR($I149*0.22,"")</f>
        <v/>
      </c>
      <c r="K149" s="61">
        <f>IFERROR($I149+$J149,"")</f>
        <v/>
      </c>
      <c r="L149" s="59">
        <f>IFERROR(INDEX('Прайс-лист'!$Q$11:$Q$310,MATCH(ROWS($A$16:A149),'Прайс-лист'!$U$11:$U$310,0)),"")</f>
        <v/>
      </c>
    </row>
    <row r="150" ht="13.5" customHeight="1" s="49">
      <c r="A150" s="64">
        <f>IFERROR(IF(INDEX('Прайс-лист'!$U$11:$U$310,MATCH(ROWS($A$16:A150),'Прайс-лист'!$U$11:$U$310,0))="","",ROWS($A$16:A150)),"")</f>
        <v/>
      </c>
      <c r="B150" s="58">
        <f>IFERROR(INDEX('Прайс-лист'!$A$11:$A$310,MATCH(ROWS($A$16:A150),'Прайс-лист'!$U$11:$U$310,0)),"")</f>
        <v/>
      </c>
      <c r="C150" s="58">
        <f>IFERROR(INDEX('Прайс-лист'!$B$11:$B$310,MATCH(ROWS($A$16:A150),'Прайс-лист'!$U$11:$U$310,0)),"")</f>
        <v/>
      </c>
      <c r="D150" s="59">
        <f>IFERROR(INDEX('Прайс-лист'!$C$11:$C$310,MATCH(ROWS($A$16:A150),'Прайс-лист'!$U$11:$U$310,0)),"")</f>
        <v/>
      </c>
      <c r="E150" s="59">
        <f>IFERROR(INDEX('Прайс-лист'!$E$11:$E$310,MATCH(ROWS($A$16:A150),'Прайс-лист'!$U$11:$U$310,0)),"")</f>
        <v/>
      </c>
      <c r="F150" s="58">
        <f>IFERROR(INDEX('Прайс-лист'!$F$11:$F$310,MATCH(ROWS($A$16:A150),'Прайс-лист'!$U$11:$U$310,0)),"")</f>
        <v/>
      </c>
      <c r="G150" s="61">
        <f>IFERROR(INDEX('Прайс-лист'!$R$11:$R$310,MATCH(ROWS($A$16:A150),'Прайс-лист'!$U$11:$U$310,0)),"")</f>
        <v/>
      </c>
      <c r="H150" s="60">
        <f>IFERROR(INDEX('Прайс-лист'!$P$11:$P$310,MATCH(ROWS($A$16:A150),'Прайс-лист'!$U$11:$U$310,0)),"")</f>
        <v/>
      </c>
      <c r="I150" s="61">
        <f>IFERROR(INDEX('Прайс-лист'!$S$11:$S$310,MATCH(ROWS($A$16:A150),'Прайс-лист'!$U$11:$U$310,0)),"")</f>
        <v/>
      </c>
      <c r="J150" s="61">
        <f>IFERROR($I150*0.22,"")</f>
        <v/>
      </c>
      <c r="K150" s="61">
        <f>IFERROR($I150+$J150,"")</f>
        <v/>
      </c>
      <c r="L150" s="59">
        <f>IFERROR(INDEX('Прайс-лист'!$Q$11:$Q$310,MATCH(ROWS($A$16:A150),'Прайс-лист'!$U$11:$U$310,0)),"")</f>
        <v/>
      </c>
    </row>
    <row r="151" ht="13.5" customHeight="1" s="49">
      <c r="A151" s="64">
        <f>IFERROR(IF(INDEX('Прайс-лист'!$U$11:$U$310,MATCH(ROWS($A$16:A151),'Прайс-лист'!$U$11:$U$310,0))="","",ROWS($A$16:A151)),"")</f>
        <v/>
      </c>
      <c r="B151" s="58">
        <f>IFERROR(INDEX('Прайс-лист'!$A$11:$A$310,MATCH(ROWS($A$16:A151),'Прайс-лист'!$U$11:$U$310,0)),"")</f>
        <v/>
      </c>
      <c r="C151" s="58">
        <f>IFERROR(INDEX('Прайс-лист'!$B$11:$B$310,MATCH(ROWS($A$16:A151),'Прайс-лист'!$U$11:$U$310,0)),"")</f>
        <v/>
      </c>
      <c r="D151" s="59">
        <f>IFERROR(INDEX('Прайс-лист'!$C$11:$C$310,MATCH(ROWS($A$16:A151),'Прайс-лист'!$U$11:$U$310,0)),"")</f>
        <v/>
      </c>
      <c r="E151" s="59">
        <f>IFERROR(INDEX('Прайс-лист'!$E$11:$E$310,MATCH(ROWS($A$16:A151),'Прайс-лист'!$U$11:$U$310,0)),"")</f>
        <v/>
      </c>
      <c r="F151" s="58">
        <f>IFERROR(INDEX('Прайс-лист'!$F$11:$F$310,MATCH(ROWS($A$16:A151),'Прайс-лист'!$U$11:$U$310,0)),"")</f>
        <v/>
      </c>
      <c r="G151" s="61">
        <f>IFERROR(INDEX('Прайс-лист'!$R$11:$R$310,MATCH(ROWS($A$16:A151),'Прайс-лист'!$U$11:$U$310,0)),"")</f>
        <v/>
      </c>
      <c r="H151" s="60">
        <f>IFERROR(INDEX('Прайс-лист'!$P$11:$P$310,MATCH(ROWS($A$16:A151),'Прайс-лист'!$U$11:$U$310,0)),"")</f>
        <v/>
      </c>
      <c r="I151" s="61">
        <f>IFERROR(INDEX('Прайс-лист'!$S$11:$S$310,MATCH(ROWS($A$16:A151),'Прайс-лист'!$U$11:$U$310,0)),"")</f>
        <v/>
      </c>
      <c r="J151" s="61">
        <f>IFERROR($I151*0.22,"")</f>
        <v/>
      </c>
      <c r="K151" s="61">
        <f>IFERROR($I151+$J151,"")</f>
        <v/>
      </c>
      <c r="L151" s="59">
        <f>IFERROR(INDEX('Прайс-лист'!$Q$11:$Q$310,MATCH(ROWS($A$16:A151),'Прайс-лист'!$U$11:$U$310,0)),"")</f>
        <v/>
      </c>
    </row>
    <row r="152" ht="13.5" customHeight="1" s="49">
      <c r="A152" s="64">
        <f>IFERROR(IF(INDEX('Прайс-лист'!$U$11:$U$310,MATCH(ROWS($A$16:A152),'Прайс-лист'!$U$11:$U$310,0))="","",ROWS($A$16:A152)),"")</f>
        <v/>
      </c>
      <c r="B152" s="58">
        <f>IFERROR(INDEX('Прайс-лист'!$A$11:$A$310,MATCH(ROWS($A$16:A152),'Прайс-лист'!$U$11:$U$310,0)),"")</f>
        <v/>
      </c>
      <c r="C152" s="58">
        <f>IFERROR(INDEX('Прайс-лист'!$B$11:$B$310,MATCH(ROWS($A$16:A152),'Прайс-лист'!$U$11:$U$310,0)),"")</f>
        <v/>
      </c>
      <c r="D152" s="59">
        <f>IFERROR(INDEX('Прайс-лист'!$C$11:$C$310,MATCH(ROWS($A$16:A152),'Прайс-лист'!$U$11:$U$310,0)),"")</f>
        <v/>
      </c>
      <c r="E152" s="59">
        <f>IFERROR(INDEX('Прайс-лист'!$E$11:$E$310,MATCH(ROWS($A$16:A152),'Прайс-лист'!$U$11:$U$310,0)),"")</f>
        <v/>
      </c>
      <c r="F152" s="58">
        <f>IFERROR(INDEX('Прайс-лист'!$F$11:$F$310,MATCH(ROWS($A$16:A152),'Прайс-лист'!$U$11:$U$310,0)),"")</f>
        <v/>
      </c>
      <c r="G152" s="61">
        <f>IFERROR(INDEX('Прайс-лист'!$R$11:$R$310,MATCH(ROWS($A$16:A152),'Прайс-лист'!$U$11:$U$310,0)),"")</f>
        <v/>
      </c>
      <c r="H152" s="60">
        <f>IFERROR(INDEX('Прайс-лист'!$P$11:$P$310,MATCH(ROWS($A$16:A152),'Прайс-лист'!$U$11:$U$310,0)),"")</f>
        <v/>
      </c>
      <c r="I152" s="61">
        <f>IFERROR(INDEX('Прайс-лист'!$S$11:$S$310,MATCH(ROWS($A$16:A152),'Прайс-лист'!$U$11:$U$310,0)),"")</f>
        <v/>
      </c>
      <c r="J152" s="61">
        <f>IFERROR($I152*0.22,"")</f>
        <v/>
      </c>
      <c r="K152" s="61">
        <f>IFERROR($I152+$J152,"")</f>
        <v/>
      </c>
      <c r="L152" s="59">
        <f>IFERROR(INDEX('Прайс-лист'!$Q$11:$Q$310,MATCH(ROWS($A$16:A152),'Прайс-лист'!$U$11:$U$310,0)),"")</f>
        <v/>
      </c>
    </row>
    <row r="153" ht="13.5" customHeight="1" s="49">
      <c r="A153" s="64">
        <f>IFERROR(IF(INDEX('Прайс-лист'!$U$11:$U$310,MATCH(ROWS($A$16:A153),'Прайс-лист'!$U$11:$U$310,0))="","",ROWS($A$16:A153)),"")</f>
        <v/>
      </c>
      <c r="B153" s="58">
        <f>IFERROR(INDEX('Прайс-лист'!$A$11:$A$310,MATCH(ROWS($A$16:A153),'Прайс-лист'!$U$11:$U$310,0)),"")</f>
        <v/>
      </c>
      <c r="C153" s="58">
        <f>IFERROR(INDEX('Прайс-лист'!$B$11:$B$310,MATCH(ROWS($A$16:A153),'Прайс-лист'!$U$11:$U$310,0)),"")</f>
        <v/>
      </c>
      <c r="D153" s="59">
        <f>IFERROR(INDEX('Прайс-лист'!$C$11:$C$310,MATCH(ROWS($A$16:A153),'Прайс-лист'!$U$11:$U$310,0)),"")</f>
        <v/>
      </c>
      <c r="E153" s="59">
        <f>IFERROR(INDEX('Прайс-лист'!$E$11:$E$310,MATCH(ROWS($A$16:A153),'Прайс-лист'!$U$11:$U$310,0)),"")</f>
        <v/>
      </c>
      <c r="F153" s="58">
        <f>IFERROR(INDEX('Прайс-лист'!$F$11:$F$310,MATCH(ROWS($A$16:A153),'Прайс-лист'!$U$11:$U$310,0)),"")</f>
        <v/>
      </c>
      <c r="G153" s="61">
        <f>IFERROR(INDEX('Прайс-лист'!$R$11:$R$310,MATCH(ROWS($A$16:A153),'Прайс-лист'!$U$11:$U$310,0)),"")</f>
        <v/>
      </c>
      <c r="H153" s="60">
        <f>IFERROR(INDEX('Прайс-лист'!$P$11:$P$310,MATCH(ROWS($A$16:A153),'Прайс-лист'!$U$11:$U$310,0)),"")</f>
        <v/>
      </c>
      <c r="I153" s="61">
        <f>IFERROR(INDEX('Прайс-лист'!$S$11:$S$310,MATCH(ROWS($A$16:A153),'Прайс-лист'!$U$11:$U$310,0)),"")</f>
        <v/>
      </c>
      <c r="J153" s="61">
        <f>IFERROR($I153*0.22,"")</f>
        <v/>
      </c>
      <c r="K153" s="61">
        <f>IFERROR($I153+$J153,"")</f>
        <v/>
      </c>
      <c r="L153" s="59">
        <f>IFERROR(INDEX('Прайс-лист'!$Q$11:$Q$310,MATCH(ROWS($A$16:A153),'Прайс-лист'!$U$11:$U$310,0)),"")</f>
        <v/>
      </c>
    </row>
    <row r="154" ht="13.5" customHeight="1" s="49">
      <c r="A154" s="64">
        <f>IFERROR(IF(INDEX('Прайс-лист'!$U$11:$U$310,MATCH(ROWS($A$16:A154),'Прайс-лист'!$U$11:$U$310,0))="","",ROWS($A$16:A154)),"")</f>
        <v/>
      </c>
      <c r="B154" s="58">
        <f>IFERROR(INDEX('Прайс-лист'!$A$11:$A$310,MATCH(ROWS($A$16:A154),'Прайс-лист'!$U$11:$U$310,0)),"")</f>
        <v/>
      </c>
      <c r="C154" s="58">
        <f>IFERROR(INDEX('Прайс-лист'!$B$11:$B$310,MATCH(ROWS($A$16:A154),'Прайс-лист'!$U$11:$U$310,0)),"")</f>
        <v/>
      </c>
      <c r="D154" s="59">
        <f>IFERROR(INDEX('Прайс-лист'!$C$11:$C$310,MATCH(ROWS($A$16:A154),'Прайс-лист'!$U$11:$U$310,0)),"")</f>
        <v/>
      </c>
      <c r="E154" s="59">
        <f>IFERROR(INDEX('Прайс-лист'!$E$11:$E$310,MATCH(ROWS($A$16:A154),'Прайс-лист'!$U$11:$U$310,0)),"")</f>
        <v/>
      </c>
      <c r="F154" s="58">
        <f>IFERROR(INDEX('Прайс-лист'!$F$11:$F$310,MATCH(ROWS($A$16:A154),'Прайс-лист'!$U$11:$U$310,0)),"")</f>
        <v/>
      </c>
      <c r="G154" s="61">
        <f>IFERROR(INDEX('Прайс-лист'!$R$11:$R$310,MATCH(ROWS($A$16:A154),'Прайс-лист'!$U$11:$U$310,0)),"")</f>
        <v/>
      </c>
      <c r="H154" s="60">
        <f>IFERROR(INDEX('Прайс-лист'!$P$11:$P$310,MATCH(ROWS($A$16:A154),'Прайс-лист'!$U$11:$U$310,0)),"")</f>
        <v/>
      </c>
      <c r="I154" s="61">
        <f>IFERROR(INDEX('Прайс-лист'!$S$11:$S$310,MATCH(ROWS($A$16:A154),'Прайс-лист'!$U$11:$U$310,0)),"")</f>
        <v/>
      </c>
      <c r="J154" s="61">
        <f>IFERROR($I154*0.22,"")</f>
        <v/>
      </c>
      <c r="K154" s="61">
        <f>IFERROR($I154+$J154,"")</f>
        <v/>
      </c>
      <c r="L154" s="59">
        <f>IFERROR(INDEX('Прайс-лист'!$Q$11:$Q$310,MATCH(ROWS($A$16:A154),'Прайс-лист'!$U$11:$U$310,0)),"")</f>
        <v/>
      </c>
    </row>
    <row r="155" ht="13.5" customHeight="1" s="49">
      <c r="A155" s="64">
        <f>IFERROR(IF(INDEX('Прайс-лист'!$U$11:$U$310,MATCH(ROWS($A$16:A155),'Прайс-лист'!$U$11:$U$310,0))="","",ROWS($A$16:A155)),"")</f>
        <v/>
      </c>
      <c r="B155" s="58">
        <f>IFERROR(INDEX('Прайс-лист'!$A$11:$A$310,MATCH(ROWS($A$16:A155),'Прайс-лист'!$U$11:$U$310,0)),"")</f>
        <v/>
      </c>
      <c r="C155" s="58">
        <f>IFERROR(INDEX('Прайс-лист'!$B$11:$B$310,MATCH(ROWS($A$16:A155),'Прайс-лист'!$U$11:$U$310,0)),"")</f>
        <v/>
      </c>
      <c r="D155" s="59">
        <f>IFERROR(INDEX('Прайс-лист'!$C$11:$C$310,MATCH(ROWS($A$16:A155),'Прайс-лист'!$U$11:$U$310,0)),"")</f>
        <v/>
      </c>
      <c r="E155" s="59">
        <f>IFERROR(INDEX('Прайс-лист'!$E$11:$E$310,MATCH(ROWS($A$16:A155),'Прайс-лист'!$U$11:$U$310,0)),"")</f>
        <v/>
      </c>
      <c r="F155" s="58">
        <f>IFERROR(INDEX('Прайс-лист'!$F$11:$F$310,MATCH(ROWS($A$16:A155),'Прайс-лист'!$U$11:$U$310,0)),"")</f>
        <v/>
      </c>
      <c r="G155" s="61">
        <f>IFERROR(INDEX('Прайс-лист'!$R$11:$R$310,MATCH(ROWS($A$16:A155),'Прайс-лист'!$U$11:$U$310,0)),"")</f>
        <v/>
      </c>
      <c r="H155" s="60">
        <f>IFERROR(INDEX('Прайс-лист'!$P$11:$P$310,MATCH(ROWS($A$16:A155),'Прайс-лист'!$U$11:$U$310,0)),"")</f>
        <v/>
      </c>
      <c r="I155" s="61">
        <f>IFERROR(INDEX('Прайс-лист'!$S$11:$S$310,MATCH(ROWS($A$16:A155),'Прайс-лист'!$U$11:$U$310,0)),"")</f>
        <v/>
      </c>
      <c r="J155" s="61">
        <f>IFERROR($I155*0.22,"")</f>
        <v/>
      </c>
      <c r="K155" s="61">
        <f>IFERROR($I155+$J155,"")</f>
        <v/>
      </c>
      <c r="L155" s="59">
        <f>IFERROR(INDEX('Прайс-лист'!$Q$11:$Q$310,MATCH(ROWS($A$16:A155),'Прайс-лист'!$U$11:$U$310,0)),"")</f>
        <v/>
      </c>
    </row>
    <row r="156" ht="13.5" customHeight="1" s="49">
      <c r="A156" s="64">
        <f>IFERROR(IF(INDEX('Прайс-лист'!$U$11:$U$310,MATCH(ROWS($A$16:A156),'Прайс-лист'!$U$11:$U$310,0))="","",ROWS($A$16:A156)),"")</f>
        <v/>
      </c>
      <c r="B156" s="58">
        <f>IFERROR(INDEX('Прайс-лист'!$A$11:$A$310,MATCH(ROWS($A$16:A156),'Прайс-лист'!$U$11:$U$310,0)),"")</f>
        <v/>
      </c>
      <c r="C156" s="58">
        <f>IFERROR(INDEX('Прайс-лист'!$B$11:$B$310,MATCH(ROWS($A$16:A156),'Прайс-лист'!$U$11:$U$310,0)),"")</f>
        <v/>
      </c>
      <c r="D156" s="59">
        <f>IFERROR(INDEX('Прайс-лист'!$C$11:$C$310,MATCH(ROWS($A$16:A156),'Прайс-лист'!$U$11:$U$310,0)),"")</f>
        <v/>
      </c>
      <c r="E156" s="59">
        <f>IFERROR(INDEX('Прайс-лист'!$E$11:$E$310,MATCH(ROWS($A$16:A156),'Прайс-лист'!$U$11:$U$310,0)),"")</f>
        <v/>
      </c>
      <c r="F156" s="58">
        <f>IFERROR(INDEX('Прайс-лист'!$F$11:$F$310,MATCH(ROWS($A$16:A156),'Прайс-лист'!$U$11:$U$310,0)),"")</f>
        <v/>
      </c>
      <c r="G156" s="61">
        <f>IFERROR(INDEX('Прайс-лист'!$R$11:$R$310,MATCH(ROWS($A$16:A156),'Прайс-лист'!$U$11:$U$310,0)),"")</f>
        <v/>
      </c>
      <c r="H156" s="60">
        <f>IFERROR(INDEX('Прайс-лист'!$P$11:$P$310,MATCH(ROWS($A$16:A156),'Прайс-лист'!$U$11:$U$310,0)),"")</f>
        <v/>
      </c>
      <c r="I156" s="61">
        <f>IFERROR(INDEX('Прайс-лист'!$S$11:$S$310,MATCH(ROWS($A$16:A156),'Прайс-лист'!$U$11:$U$310,0)),"")</f>
        <v/>
      </c>
      <c r="J156" s="61">
        <f>IFERROR($I156*0.22,"")</f>
        <v/>
      </c>
      <c r="K156" s="61">
        <f>IFERROR($I156+$J156,"")</f>
        <v/>
      </c>
      <c r="L156" s="59">
        <f>IFERROR(INDEX('Прайс-лист'!$Q$11:$Q$310,MATCH(ROWS($A$16:A156),'Прайс-лист'!$U$11:$U$310,0)),"")</f>
        <v/>
      </c>
    </row>
    <row r="157" ht="13.5" customHeight="1" s="49">
      <c r="A157" s="64">
        <f>IFERROR(IF(INDEX('Прайс-лист'!$U$11:$U$310,MATCH(ROWS($A$16:A157),'Прайс-лист'!$U$11:$U$310,0))="","",ROWS($A$16:A157)),"")</f>
        <v/>
      </c>
      <c r="B157" s="58">
        <f>IFERROR(INDEX('Прайс-лист'!$A$11:$A$310,MATCH(ROWS($A$16:A157),'Прайс-лист'!$U$11:$U$310,0)),"")</f>
        <v/>
      </c>
      <c r="C157" s="58">
        <f>IFERROR(INDEX('Прайс-лист'!$B$11:$B$310,MATCH(ROWS($A$16:A157),'Прайс-лист'!$U$11:$U$310,0)),"")</f>
        <v/>
      </c>
      <c r="D157" s="59">
        <f>IFERROR(INDEX('Прайс-лист'!$C$11:$C$310,MATCH(ROWS($A$16:A157),'Прайс-лист'!$U$11:$U$310,0)),"")</f>
        <v/>
      </c>
      <c r="E157" s="59">
        <f>IFERROR(INDEX('Прайс-лист'!$E$11:$E$310,MATCH(ROWS($A$16:A157),'Прайс-лист'!$U$11:$U$310,0)),"")</f>
        <v/>
      </c>
      <c r="F157" s="58">
        <f>IFERROR(INDEX('Прайс-лист'!$F$11:$F$310,MATCH(ROWS($A$16:A157),'Прайс-лист'!$U$11:$U$310,0)),"")</f>
        <v/>
      </c>
      <c r="G157" s="61">
        <f>IFERROR(INDEX('Прайс-лист'!$R$11:$R$310,MATCH(ROWS($A$16:A157),'Прайс-лист'!$U$11:$U$310,0)),"")</f>
        <v/>
      </c>
      <c r="H157" s="60">
        <f>IFERROR(INDEX('Прайс-лист'!$P$11:$P$310,MATCH(ROWS($A$16:A157),'Прайс-лист'!$U$11:$U$310,0)),"")</f>
        <v/>
      </c>
      <c r="I157" s="61">
        <f>IFERROR(INDEX('Прайс-лист'!$S$11:$S$310,MATCH(ROWS($A$16:A157),'Прайс-лист'!$U$11:$U$310,0)),"")</f>
        <v/>
      </c>
      <c r="J157" s="61">
        <f>IFERROR($I157*0.22,"")</f>
        <v/>
      </c>
      <c r="K157" s="61">
        <f>IFERROR($I157+$J157,"")</f>
        <v/>
      </c>
      <c r="L157" s="59">
        <f>IFERROR(INDEX('Прайс-лист'!$Q$11:$Q$310,MATCH(ROWS($A$16:A157),'Прайс-лист'!$U$11:$U$310,0)),"")</f>
        <v/>
      </c>
    </row>
    <row r="158" ht="13.5" customHeight="1" s="49">
      <c r="A158" s="64">
        <f>IFERROR(IF(INDEX('Прайс-лист'!$U$11:$U$310,MATCH(ROWS($A$16:A158),'Прайс-лист'!$U$11:$U$310,0))="","",ROWS($A$16:A158)),"")</f>
        <v/>
      </c>
      <c r="B158" s="58">
        <f>IFERROR(INDEX('Прайс-лист'!$A$11:$A$310,MATCH(ROWS($A$16:A158),'Прайс-лист'!$U$11:$U$310,0)),"")</f>
        <v/>
      </c>
      <c r="C158" s="58">
        <f>IFERROR(INDEX('Прайс-лист'!$B$11:$B$310,MATCH(ROWS($A$16:A158),'Прайс-лист'!$U$11:$U$310,0)),"")</f>
        <v/>
      </c>
      <c r="D158" s="59">
        <f>IFERROR(INDEX('Прайс-лист'!$C$11:$C$310,MATCH(ROWS($A$16:A158),'Прайс-лист'!$U$11:$U$310,0)),"")</f>
        <v/>
      </c>
      <c r="E158" s="59">
        <f>IFERROR(INDEX('Прайс-лист'!$E$11:$E$310,MATCH(ROWS($A$16:A158),'Прайс-лист'!$U$11:$U$310,0)),"")</f>
        <v/>
      </c>
      <c r="F158" s="58">
        <f>IFERROR(INDEX('Прайс-лист'!$F$11:$F$310,MATCH(ROWS($A$16:A158),'Прайс-лист'!$U$11:$U$310,0)),"")</f>
        <v/>
      </c>
      <c r="G158" s="61">
        <f>IFERROR(INDEX('Прайс-лист'!$R$11:$R$310,MATCH(ROWS($A$16:A158),'Прайс-лист'!$U$11:$U$310,0)),"")</f>
        <v/>
      </c>
      <c r="H158" s="60">
        <f>IFERROR(INDEX('Прайс-лист'!$P$11:$P$310,MATCH(ROWS($A$16:A158),'Прайс-лист'!$U$11:$U$310,0)),"")</f>
        <v/>
      </c>
      <c r="I158" s="61">
        <f>IFERROR(INDEX('Прайс-лист'!$S$11:$S$310,MATCH(ROWS($A$16:A158),'Прайс-лист'!$U$11:$U$310,0)),"")</f>
        <v/>
      </c>
      <c r="J158" s="61">
        <f>IFERROR($I158*0.22,"")</f>
        <v/>
      </c>
      <c r="K158" s="61">
        <f>IFERROR($I158+$J158,"")</f>
        <v/>
      </c>
      <c r="L158" s="59">
        <f>IFERROR(INDEX('Прайс-лист'!$Q$11:$Q$310,MATCH(ROWS($A$16:A158),'Прайс-лист'!$U$11:$U$310,0)),"")</f>
        <v/>
      </c>
    </row>
    <row r="159" ht="13.5" customHeight="1" s="49">
      <c r="A159" s="64">
        <f>IFERROR(IF(INDEX('Прайс-лист'!$U$11:$U$310,MATCH(ROWS($A$16:A159),'Прайс-лист'!$U$11:$U$310,0))="","",ROWS($A$16:A159)),"")</f>
        <v/>
      </c>
      <c r="B159" s="58">
        <f>IFERROR(INDEX('Прайс-лист'!$A$11:$A$310,MATCH(ROWS($A$16:A159),'Прайс-лист'!$U$11:$U$310,0)),"")</f>
        <v/>
      </c>
      <c r="C159" s="58">
        <f>IFERROR(INDEX('Прайс-лист'!$B$11:$B$310,MATCH(ROWS($A$16:A159),'Прайс-лист'!$U$11:$U$310,0)),"")</f>
        <v/>
      </c>
      <c r="D159" s="59">
        <f>IFERROR(INDEX('Прайс-лист'!$C$11:$C$310,MATCH(ROWS($A$16:A159),'Прайс-лист'!$U$11:$U$310,0)),"")</f>
        <v/>
      </c>
      <c r="E159" s="59">
        <f>IFERROR(INDEX('Прайс-лист'!$E$11:$E$310,MATCH(ROWS($A$16:A159),'Прайс-лист'!$U$11:$U$310,0)),"")</f>
        <v/>
      </c>
      <c r="F159" s="58">
        <f>IFERROR(INDEX('Прайс-лист'!$F$11:$F$310,MATCH(ROWS($A$16:A159),'Прайс-лист'!$U$11:$U$310,0)),"")</f>
        <v/>
      </c>
      <c r="G159" s="61">
        <f>IFERROR(INDEX('Прайс-лист'!$R$11:$R$310,MATCH(ROWS($A$16:A159),'Прайс-лист'!$U$11:$U$310,0)),"")</f>
        <v/>
      </c>
      <c r="H159" s="60">
        <f>IFERROR(INDEX('Прайс-лист'!$P$11:$P$310,MATCH(ROWS($A$16:A159),'Прайс-лист'!$U$11:$U$310,0)),"")</f>
        <v/>
      </c>
      <c r="I159" s="61">
        <f>IFERROR(INDEX('Прайс-лист'!$S$11:$S$310,MATCH(ROWS($A$16:A159),'Прайс-лист'!$U$11:$U$310,0)),"")</f>
        <v/>
      </c>
      <c r="J159" s="61">
        <f>IFERROR($I159*0.22,"")</f>
        <v/>
      </c>
      <c r="K159" s="61">
        <f>IFERROR($I159+$J159,"")</f>
        <v/>
      </c>
      <c r="L159" s="59">
        <f>IFERROR(INDEX('Прайс-лист'!$Q$11:$Q$310,MATCH(ROWS($A$16:A159),'Прайс-лист'!$U$11:$U$310,0)),"")</f>
        <v/>
      </c>
    </row>
    <row r="160" ht="13.5" customHeight="1" s="49">
      <c r="A160" s="64">
        <f>IFERROR(IF(INDEX('Прайс-лист'!$U$11:$U$310,MATCH(ROWS($A$16:A160),'Прайс-лист'!$U$11:$U$310,0))="","",ROWS($A$16:A160)),"")</f>
        <v/>
      </c>
      <c r="B160" s="58">
        <f>IFERROR(INDEX('Прайс-лист'!$A$11:$A$310,MATCH(ROWS($A$16:A160),'Прайс-лист'!$U$11:$U$310,0)),"")</f>
        <v/>
      </c>
      <c r="C160" s="58">
        <f>IFERROR(INDEX('Прайс-лист'!$B$11:$B$310,MATCH(ROWS($A$16:A160),'Прайс-лист'!$U$11:$U$310,0)),"")</f>
        <v/>
      </c>
      <c r="D160" s="59">
        <f>IFERROR(INDEX('Прайс-лист'!$C$11:$C$310,MATCH(ROWS($A$16:A160),'Прайс-лист'!$U$11:$U$310,0)),"")</f>
        <v/>
      </c>
      <c r="E160" s="59">
        <f>IFERROR(INDEX('Прайс-лист'!$E$11:$E$310,MATCH(ROWS($A$16:A160),'Прайс-лист'!$U$11:$U$310,0)),"")</f>
        <v/>
      </c>
      <c r="F160" s="58">
        <f>IFERROR(INDEX('Прайс-лист'!$F$11:$F$310,MATCH(ROWS($A$16:A160),'Прайс-лист'!$U$11:$U$310,0)),"")</f>
        <v/>
      </c>
      <c r="G160" s="61">
        <f>IFERROR(INDEX('Прайс-лист'!$R$11:$R$310,MATCH(ROWS($A$16:A160),'Прайс-лист'!$U$11:$U$310,0)),"")</f>
        <v/>
      </c>
      <c r="H160" s="60">
        <f>IFERROR(INDEX('Прайс-лист'!$P$11:$P$310,MATCH(ROWS($A$16:A160),'Прайс-лист'!$U$11:$U$310,0)),"")</f>
        <v/>
      </c>
      <c r="I160" s="61">
        <f>IFERROR(INDEX('Прайс-лист'!$S$11:$S$310,MATCH(ROWS($A$16:A160),'Прайс-лист'!$U$11:$U$310,0)),"")</f>
        <v/>
      </c>
      <c r="J160" s="61">
        <f>IFERROR($I160*0.22,"")</f>
        <v/>
      </c>
      <c r="K160" s="61">
        <f>IFERROR($I160+$J160,"")</f>
        <v/>
      </c>
      <c r="L160" s="59">
        <f>IFERROR(INDEX('Прайс-лист'!$Q$11:$Q$310,MATCH(ROWS($A$16:A160),'Прайс-лист'!$U$11:$U$310,0)),"")</f>
        <v/>
      </c>
    </row>
    <row r="161" ht="13.5" customHeight="1" s="49">
      <c r="A161" s="64">
        <f>IFERROR(IF(INDEX('Прайс-лист'!$U$11:$U$310,MATCH(ROWS($A$16:A161),'Прайс-лист'!$U$11:$U$310,0))="","",ROWS($A$16:A161)),"")</f>
        <v/>
      </c>
      <c r="B161" s="58">
        <f>IFERROR(INDEX('Прайс-лист'!$A$11:$A$310,MATCH(ROWS($A$16:A161),'Прайс-лист'!$U$11:$U$310,0)),"")</f>
        <v/>
      </c>
      <c r="C161" s="58">
        <f>IFERROR(INDEX('Прайс-лист'!$B$11:$B$310,MATCH(ROWS($A$16:A161),'Прайс-лист'!$U$11:$U$310,0)),"")</f>
        <v/>
      </c>
      <c r="D161" s="59">
        <f>IFERROR(INDEX('Прайс-лист'!$C$11:$C$310,MATCH(ROWS($A$16:A161),'Прайс-лист'!$U$11:$U$310,0)),"")</f>
        <v/>
      </c>
      <c r="E161" s="59">
        <f>IFERROR(INDEX('Прайс-лист'!$E$11:$E$310,MATCH(ROWS($A$16:A161),'Прайс-лист'!$U$11:$U$310,0)),"")</f>
        <v/>
      </c>
      <c r="F161" s="58">
        <f>IFERROR(INDEX('Прайс-лист'!$F$11:$F$310,MATCH(ROWS($A$16:A161),'Прайс-лист'!$U$11:$U$310,0)),"")</f>
        <v/>
      </c>
      <c r="G161" s="61">
        <f>IFERROR(INDEX('Прайс-лист'!$R$11:$R$310,MATCH(ROWS($A$16:A161),'Прайс-лист'!$U$11:$U$310,0)),"")</f>
        <v/>
      </c>
      <c r="H161" s="60">
        <f>IFERROR(INDEX('Прайс-лист'!$P$11:$P$310,MATCH(ROWS($A$16:A161),'Прайс-лист'!$U$11:$U$310,0)),"")</f>
        <v/>
      </c>
      <c r="I161" s="61">
        <f>IFERROR(INDEX('Прайс-лист'!$S$11:$S$310,MATCH(ROWS($A$16:A161),'Прайс-лист'!$U$11:$U$310,0)),"")</f>
        <v/>
      </c>
      <c r="J161" s="61">
        <f>IFERROR($I161*0.22,"")</f>
        <v/>
      </c>
      <c r="K161" s="61">
        <f>IFERROR($I161+$J161,"")</f>
        <v/>
      </c>
      <c r="L161" s="59">
        <f>IFERROR(INDEX('Прайс-лист'!$Q$11:$Q$310,MATCH(ROWS($A$16:A161),'Прайс-лист'!$U$11:$U$310,0)),"")</f>
        <v/>
      </c>
    </row>
    <row r="162" ht="13.5" customHeight="1" s="49">
      <c r="A162" s="64">
        <f>IFERROR(IF(INDEX('Прайс-лист'!$U$11:$U$310,MATCH(ROWS($A$16:A162),'Прайс-лист'!$U$11:$U$310,0))="","",ROWS($A$16:A162)),"")</f>
        <v/>
      </c>
      <c r="B162" s="58">
        <f>IFERROR(INDEX('Прайс-лист'!$A$11:$A$310,MATCH(ROWS($A$16:A162),'Прайс-лист'!$U$11:$U$310,0)),"")</f>
        <v/>
      </c>
      <c r="C162" s="58">
        <f>IFERROR(INDEX('Прайс-лист'!$B$11:$B$310,MATCH(ROWS($A$16:A162),'Прайс-лист'!$U$11:$U$310,0)),"")</f>
        <v/>
      </c>
      <c r="D162" s="59">
        <f>IFERROR(INDEX('Прайс-лист'!$C$11:$C$310,MATCH(ROWS($A$16:A162),'Прайс-лист'!$U$11:$U$310,0)),"")</f>
        <v/>
      </c>
      <c r="E162" s="59">
        <f>IFERROR(INDEX('Прайс-лист'!$E$11:$E$310,MATCH(ROWS($A$16:A162),'Прайс-лист'!$U$11:$U$310,0)),"")</f>
        <v/>
      </c>
      <c r="F162" s="58">
        <f>IFERROR(INDEX('Прайс-лист'!$F$11:$F$310,MATCH(ROWS($A$16:A162),'Прайс-лист'!$U$11:$U$310,0)),"")</f>
        <v/>
      </c>
      <c r="G162" s="61">
        <f>IFERROR(INDEX('Прайс-лист'!$R$11:$R$310,MATCH(ROWS($A$16:A162),'Прайс-лист'!$U$11:$U$310,0)),"")</f>
        <v/>
      </c>
      <c r="H162" s="60">
        <f>IFERROR(INDEX('Прайс-лист'!$P$11:$P$310,MATCH(ROWS($A$16:A162),'Прайс-лист'!$U$11:$U$310,0)),"")</f>
        <v/>
      </c>
      <c r="I162" s="61">
        <f>IFERROR(INDEX('Прайс-лист'!$S$11:$S$310,MATCH(ROWS($A$16:A162),'Прайс-лист'!$U$11:$U$310,0)),"")</f>
        <v/>
      </c>
      <c r="J162" s="61">
        <f>IFERROR($I162*0.22,"")</f>
        <v/>
      </c>
      <c r="K162" s="61">
        <f>IFERROR($I162+$J162,"")</f>
        <v/>
      </c>
      <c r="L162" s="59">
        <f>IFERROR(INDEX('Прайс-лист'!$Q$11:$Q$310,MATCH(ROWS($A$16:A162),'Прайс-лист'!$U$11:$U$310,0)),"")</f>
        <v/>
      </c>
    </row>
    <row r="163" ht="13.5" customHeight="1" s="49">
      <c r="A163" s="64">
        <f>IFERROR(IF(INDEX('Прайс-лист'!$U$11:$U$310,MATCH(ROWS($A$16:A163),'Прайс-лист'!$U$11:$U$310,0))="","",ROWS($A$16:A163)),"")</f>
        <v/>
      </c>
      <c r="B163" s="58">
        <f>IFERROR(INDEX('Прайс-лист'!$A$11:$A$310,MATCH(ROWS($A$16:A163),'Прайс-лист'!$U$11:$U$310,0)),"")</f>
        <v/>
      </c>
      <c r="C163" s="58">
        <f>IFERROR(INDEX('Прайс-лист'!$B$11:$B$310,MATCH(ROWS($A$16:A163),'Прайс-лист'!$U$11:$U$310,0)),"")</f>
        <v/>
      </c>
      <c r="D163" s="59">
        <f>IFERROR(INDEX('Прайс-лист'!$C$11:$C$310,MATCH(ROWS($A$16:A163),'Прайс-лист'!$U$11:$U$310,0)),"")</f>
        <v/>
      </c>
      <c r="E163" s="59">
        <f>IFERROR(INDEX('Прайс-лист'!$E$11:$E$310,MATCH(ROWS($A$16:A163),'Прайс-лист'!$U$11:$U$310,0)),"")</f>
        <v/>
      </c>
      <c r="F163" s="58">
        <f>IFERROR(INDEX('Прайс-лист'!$F$11:$F$310,MATCH(ROWS($A$16:A163),'Прайс-лист'!$U$11:$U$310,0)),"")</f>
        <v/>
      </c>
      <c r="G163" s="61">
        <f>IFERROR(INDEX('Прайс-лист'!$R$11:$R$310,MATCH(ROWS($A$16:A163),'Прайс-лист'!$U$11:$U$310,0)),"")</f>
        <v/>
      </c>
      <c r="H163" s="60">
        <f>IFERROR(INDEX('Прайс-лист'!$P$11:$P$310,MATCH(ROWS($A$16:A163),'Прайс-лист'!$U$11:$U$310,0)),"")</f>
        <v/>
      </c>
      <c r="I163" s="61">
        <f>IFERROR(INDEX('Прайс-лист'!$S$11:$S$310,MATCH(ROWS($A$16:A163),'Прайс-лист'!$U$11:$U$310,0)),"")</f>
        <v/>
      </c>
      <c r="J163" s="61">
        <f>IFERROR($I163*0.22,"")</f>
        <v/>
      </c>
      <c r="K163" s="61">
        <f>IFERROR($I163+$J163,"")</f>
        <v/>
      </c>
      <c r="L163" s="59">
        <f>IFERROR(INDEX('Прайс-лист'!$Q$11:$Q$310,MATCH(ROWS($A$16:A163),'Прайс-лист'!$U$11:$U$310,0)),"")</f>
        <v/>
      </c>
    </row>
    <row r="164" ht="13.5" customHeight="1" s="49">
      <c r="A164" s="64">
        <f>IFERROR(IF(INDEX('Прайс-лист'!$U$11:$U$310,MATCH(ROWS($A$16:A164),'Прайс-лист'!$U$11:$U$310,0))="","",ROWS($A$16:A164)),"")</f>
        <v/>
      </c>
      <c r="B164" s="58">
        <f>IFERROR(INDEX('Прайс-лист'!$A$11:$A$310,MATCH(ROWS($A$16:A164),'Прайс-лист'!$U$11:$U$310,0)),"")</f>
        <v/>
      </c>
      <c r="C164" s="58">
        <f>IFERROR(INDEX('Прайс-лист'!$B$11:$B$310,MATCH(ROWS($A$16:A164),'Прайс-лист'!$U$11:$U$310,0)),"")</f>
        <v/>
      </c>
      <c r="D164" s="59">
        <f>IFERROR(INDEX('Прайс-лист'!$C$11:$C$310,MATCH(ROWS($A$16:A164),'Прайс-лист'!$U$11:$U$310,0)),"")</f>
        <v/>
      </c>
      <c r="E164" s="59">
        <f>IFERROR(INDEX('Прайс-лист'!$E$11:$E$310,MATCH(ROWS($A$16:A164),'Прайс-лист'!$U$11:$U$310,0)),"")</f>
        <v/>
      </c>
      <c r="F164" s="58">
        <f>IFERROR(INDEX('Прайс-лист'!$F$11:$F$310,MATCH(ROWS($A$16:A164),'Прайс-лист'!$U$11:$U$310,0)),"")</f>
        <v/>
      </c>
      <c r="G164" s="61">
        <f>IFERROR(INDEX('Прайс-лист'!$R$11:$R$310,MATCH(ROWS($A$16:A164),'Прайс-лист'!$U$11:$U$310,0)),"")</f>
        <v/>
      </c>
      <c r="H164" s="60">
        <f>IFERROR(INDEX('Прайс-лист'!$P$11:$P$310,MATCH(ROWS($A$16:A164),'Прайс-лист'!$U$11:$U$310,0)),"")</f>
        <v/>
      </c>
      <c r="I164" s="61">
        <f>IFERROR(INDEX('Прайс-лист'!$S$11:$S$310,MATCH(ROWS($A$16:A164),'Прайс-лист'!$U$11:$U$310,0)),"")</f>
        <v/>
      </c>
      <c r="J164" s="61">
        <f>IFERROR($I164*0.22,"")</f>
        <v/>
      </c>
      <c r="K164" s="61">
        <f>IFERROR($I164+$J164,"")</f>
        <v/>
      </c>
      <c r="L164" s="59">
        <f>IFERROR(INDEX('Прайс-лист'!$Q$11:$Q$310,MATCH(ROWS($A$16:A164),'Прайс-лист'!$U$11:$U$310,0)),"")</f>
        <v/>
      </c>
    </row>
    <row r="165" ht="13.5" customHeight="1" s="49">
      <c r="A165" s="64">
        <f>IFERROR(IF(INDEX('Прайс-лист'!$U$11:$U$310,MATCH(ROWS($A$16:A165),'Прайс-лист'!$U$11:$U$310,0))="","",ROWS($A$16:A165)),"")</f>
        <v/>
      </c>
      <c r="B165" s="58">
        <f>IFERROR(INDEX('Прайс-лист'!$A$11:$A$310,MATCH(ROWS($A$16:A165),'Прайс-лист'!$U$11:$U$310,0)),"")</f>
        <v/>
      </c>
      <c r="C165" s="58">
        <f>IFERROR(INDEX('Прайс-лист'!$B$11:$B$310,MATCH(ROWS($A$16:A165),'Прайс-лист'!$U$11:$U$310,0)),"")</f>
        <v/>
      </c>
      <c r="D165" s="59">
        <f>IFERROR(INDEX('Прайс-лист'!$C$11:$C$310,MATCH(ROWS($A$16:A165),'Прайс-лист'!$U$11:$U$310,0)),"")</f>
        <v/>
      </c>
      <c r="E165" s="59">
        <f>IFERROR(INDEX('Прайс-лист'!$E$11:$E$310,MATCH(ROWS($A$16:A165),'Прайс-лист'!$U$11:$U$310,0)),"")</f>
        <v/>
      </c>
      <c r="F165" s="58">
        <f>IFERROR(INDEX('Прайс-лист'!$F$11:$F$310,MATCH(ROWS($A$16:A165),'Прайс-лист'!$U$11:$U$310,0)),"")</f>
        <v/>
      </c>
      <c r="G165" s="61">
        <f>IFERROR(INDEX('Прайс-лист'!$R$11:$R$310,MATCH(ROWS($A$16:A165),'Прайс-лист'!$U$11:$U$310,0)),"")</f>
        <v/>
      </c>
      <c r="H165" s="60">
        <f>IFERROR(INDEX('Прайс-лист'!$P$11:$P$310,MATCH(ROWS($A$16:A165),'Прайс-лист'!$U$11:$U$310,0)),"")</f>
        <v/>
      </c>
      <c r="I165" s="61">
        <f>IFERROR(INDEX('Прайс-лист'!$S$11:$S$310,MATCH(ROWS($A$16:A165),'Прайс-лист'!$U$11:$U$310,0)),"")</f>
        <v/>
      </c>
      <c r="J165" s="61">
        <f>IFERROR($I165*0.22,"")</f>
        <v/>
      </c>
      <c r="K165" s="61">
        <f>IFERROR($I165+$J165,"")</f>
        <v/>
      </c>
      <c r="L165" s="59">
        <f>IFERROR(INDEX('Прайс-лист'!$Q$11:$Q$310,MATCH(ROWS($A$16:A165),'Прайс-лист'!$U$11:$U$310,0)),"")</f>
        <v/>
      </c>
    </row>
    <row r="166" ht="13.5" customHeight="1" s="49">
      <c r="A166" s="64">
        <f>IFERROR(IF(INDEX('Прайс-лист'!$U$11:$U$310,MATCH(ROWS($A$16:A166),'Прайс-лист'!$U$11:$U$310,0))="","",ROWS($A$16:A166)),"")</f>
        <v/>
      </c>
      <c r="B166" s="58">
        <f>IFERROR(INDEX('Прайс-лист'!$A$11:$A$310,MATCH(ROWS($A$16:A166),'Прайс-лист'!$U$11:$U$310,0)),"")</f>
        <v/>
      </c>
      <c r="C166" s="58">
        <f>IFERROR(INDEX('Прайс-лист'!$B$11:$B$310,MATCH(ROWS($A$16:A166),'Прайс-лист'!$U$11:$U$310,0)),"")</f>
        <v/>
      </c>
      <c r="D166" s="59">
        <f>IFERROR(INDEX('Прайс-лист'!$C$11:$C$310,MATCH(ROWS($A$16:A166),'Прайс-лист'!$U$11:$U$310,0)),"")</f>
        <v/>
      </c>
      <c r="E166" s="59">
        <f>IFERROR(INDEX('Прайс-лист'!$E$11:$E$310,MATCH(ROWS($A$16:A166),'Прайс-лист'!$U$11:$U$310,0)),"")</f>
        <v/>
      </c>
      <c r="F166" s="58">
        <f>IFERROR(INDEX('Прайс-лист'!$F$11:$F$310,MATCH(ROWS($A$16:A166),'Прайс-лист'!$U$11:$U$310,0)),"")</f>
        <v/>
      </c>
      <c r="G166" s="61">
        <f>IFERROR(INDEX('Прайс-лист'!$R$11:$R$310,MATCH(ROWS($A$16:A166),'Прайс-лист'!$U$11:$U$310,0)),"")</f>
        <v/>
      </c>
      <c r="H166" s="60">
        <f>IFERROR(INDEX('Прайс-лист'!$P$11:$P$310,MATCH(ROWS($A$16:A166),'Прайс-лист'!$U$11:$U$310,0)),"")</f>
        <v/>
      </c>
      <c r="I166" s="61">
        <f>IFERROR(INDEX('Прайс-лист'!$S$11:$S$310,MATCH(ROWS($A$16:A166),'Прайс-лист'!$U$11:$U$310,0)),"")</f>
        <v/>
      </c>
      <c r="J166" s="61">
        <f>IFERROR($I166*0.22,"")</f>
        <v/>
      </c>
      <c r="K166" s="61">
        <f>IFERROR($I166+$J166,"")</f>
        <v/>
      </c>
      <c r="L166" s="59">
        <f>IFERROR(INDEX('Прайс-лист'!$Q$11:$Q$310,MATCH(ROWS($A$16:A166),'Прайс-лист'!$U$11:$U$310,0)),"")</f>
        <v/>
      </c>
    </row>
    <row r="167" ht="13.5" customHeight="1" s="49">
      <c r="A167" s="64">
        <f>IFERROR(IF(INDEX('Прайс-лист'!$U$11:$U$310,MATCH(ROWS($A$16:A167),'Прайс-лист'!$U$11:$U$310,0))="","",ROWS($A$16:A167)),"")</f>
        <v/>
      </c>
      <c r="B167" s="58">
        <f>IFERROR(INDEX('Прайс-лист'!$A$11:$A$310,MATCH(ROWS($A$16:A167),'Прайс-лист'!$U$11:$U$310,0)),"")</f>
        <v/>
      </c>
      <c r="C167" s="58">
        <f>IFERROR(INDEX('Прайс-лист'!$B$11:$B$310,MATCH(ROWS($A$16:A167),'Прайс-лист'!$U$11:$U$310,0)),"")</f>
        <v/>
      </c>
      <c r="D167" s="59">
        <f>IFERROR(INDEX('Прайс-лист'!$C$11:$C$310,MATCH(ROWS($A$16:A167),'Прайс-лист'!$U$11:$U$310,0)),"")</f>
        <v/>
      </c>
      <c r="E167" s="59">
        <f>IFERROR(INDEX('Прайс-лист'!$E$11:$E$310,MATCH(ROWS($A$16:A167),'Прайс-лист'!$U$11:$U$310,0)),"")</f>
        <v/>
      </c>
      <c r="F167" s="58">
        <f>IFERROR(INDEX('Прайс-лист'!$F$11:$F$310,MATCH(ROWS($A$16:A167),'Прайс-лист'!$U$11:$U$310,0)),"")</f>
        <v/>
      </c>
      <c r="G167" s="61">
        <f>IFERROR(INDEX('Прайс-лист'!$R$11:$R$310,MATCH(ROWS($A$16:A167),'Прайс-лист'!$U$11:$U$310,0)),"")</f>
        <v/>
      </c>
      <c r="H167" s="60">
        <f>IFERROR(INDEX('Прайс-лист'!$P$11:$P$310,MATCH(ROWS($A$16:A167),'Прайс-лист'!$U$11:$U$310,0)),"")</f>
        <v/>
      </c>
      <c r="I167" s="61">
        <f>IFERROR(INDEX('Прайс-лист'!$S$11:$S$310,MATCH(ROWS($A$16:A167),'Прайс-лист'!$U$11:$U$310,0)),"")</f>
        <v/>
      </c>
      <c r="J167" s="61">
        <f>IFERROR($I167*0.22,"")</f>
        <v/>
      </c>
      <c r="K167" s="61">
        <f>IFERROR($I167+$J167,"")</f>
        <v/>
      </c>
      <c r="L167" s="59">
        <f>IFERROR(INDEX('Прайс-лист'!$Q$11:$Q$310,MATCH(ROWS($A$16:A167),'Прайс-лист'!$U$11:$U$310,0)),"")</f>
        <v/>
      </c>
    </row>
    <row r="168" ht="13.5" customHeight="1" s="49">
      <c r="A168" s="64">
        <f>IFERROR(IF(INDEX('Прайс-лист'!$U$11:$U$310,MATCH(ROWS($A$16:A168),'Прайс-лист'!$U$11:$U$310,0))="","",ROWS($A$16:A168)),"")</f>
        <v/>
      </c>
      <c r="B168" s="58">
        <f>IFERROR(INDEX('Прайс-лист'!$A$11:$A$310,MATCH(ROWS($A$16:A168),'Прайс-лист'!$U$11:$U$310,0)),"")</f>
        <v/>
      </c>
      <c r="C168" s="58">
        <f>IFERROR(INDEX('Прайс-лист'!$B$11:$B$310,MATCH(ROWS($A$16:A168),'Прайс-лист'!$U$11:$U$310,0)),"")</f>
        <v/>
      </c>
      <c r="D168" s="59">
        <f>IFERROR(INDEX('Прайс-лист'!$C$11:$C$310,MATCH(ROWS($A$16:A168),'Прайс-лист'!$U$11:$U$310,0)),"")</f>
        <v/>
      </c>
      <c r="E168" s="59">
        <f>IFERROR(INDEX('Прайс-лист'!$E$11:$E$310,MATCH(ROWS($A$16:A168),'Прайс-лист'!$U$11:$U$310,0)),"")</f>
        <v/>
      </c>
      <c r="F168" s="58">
        <f>IFERROR(INDEX('Прайс-лист'!$F$11:$F$310,MATCH(ROWS($A$16:A168),'Прайс-лист'!$U$11:$U$310,0)),"")</f>
        <v/>
      </c>
      <c r="G168" s="61">
        <f>IFERROR(INDEX('Прайс-лист'!$R$11:$R$310,MATCH(ROWS($A$16:A168),'Прайс-лист'!$U$11:$U$310,0)),"")</f>
        <v/>
      </c>
      <c r="H168" s="60">
        <f>IFERROR(INDEX('Прайс-лист'!$P$11:$P$310,MATCH(ROWS($A$16:A168),'Прайс-лист'!$U$11:$U$310,0)),"")</f>
        <v/>
      </c>
      <c r="I168" s="61">
        <f>IFERROR(INDEX('Прайс-лист'!$S$11:$S$310,MATCH(ROWS($A$16:A168),'Прайс-лист'!$U$11:$U$310,0)),"")</f>
        <v/>
      </c>
      <c r="J168" s="61">
        <f>IFERROR($I168*0.22,"")</f>
        <v/>
      </c>
      <c r="K168" s="61">
        <f>IFERROR($I168+$J168,"")</f>
        <v/>
      </c>
      <c r="L168" s="59">
        <f>IFERROR(INDEX('Прайс-лист'!$Q$11:$Q$310,MATCH(ROWS($A$16:A168),'Прайс-лист'!$U$11:$U$310,0)),"")</f>
        <v/>
      </c>
    </row>
    <row r="169" ht="13.5" customHeight="1" s="49">
      <c r="A169" s="64">
        <f>IFERROR(IF(INDEX('Прайс-лист'!$U$11:$U$310,MATCH(ROWS($A$16:A169),'Прайс-лист'!$U$11:$U$310,0))="","",ROWS($A$16:A169)),"")</f>
        <v/>
      </c>
      <c r="B169" s="58">
        <f>IFERROR(INDEX('Прайс-лист'!$A$11:$A$310,MATCH(ROWS($A$16:A169),'Прайс-лист'!$U$11:$U$310,0)),"")</f>
        <v/>
      </c>
      <c r="C169" s="58">
        <f>IFERROR(INDEX('Прайс-лист'!$B$11:$B$310,MATCH(ROWS($A$16:A169),'Прайс-лист'!$U$11:$U$310,0)),"")</f>
        <v/>
      </c>
      <c r="D169" s="59">
        <f>IFERROR(INDEX('Прайс-лист'!$C$11:$C$310,MATCH(ROWS($A$16:A169),'Прайс-лист'!$U$11:$U$310,0)),"")</f>
        <v/>
      </c>
      <c r="E169" s="59">
        <f>IFERROR(INDEX('Прайс-лист'!$E$11:$E$310,MATCH(ROWS($A$16:A169),'Прайс-лист'!$U$11:$U$310,0)),"")</f>
        <v/>
      </c>
      <c r="F169" s="58">
        <f>IFERROR(INDEX('Прайс-лист'!$F$11:$F$310,MATCH(ROWS($A$16:A169),'Прайс-лист'!$U$11:$U$310,0)),"")</f>
        <v/>
      </c>
      <c r="G169" s="61">
        <f>IFERROR(INDEX('Прайс-лист'!$R$11:$R$310,MATCH(ROWS($A$16:A169),'Прайс-лист'!$U$11:$U$310,0)),"")</f>
        <v/>
      </c>
      <c r="H169" s="60">
        <f>IFERROR(INDEX('Прайс-лист'!$P$11:$P$310,MATCH(ROWS($A$16:A169),'Прайс-лист'!$U$11:$U$310,0)),"")</f>
        <v/>
      </c>
      <c r="I169" s="61">
        <f>IFERROR(INDEX('Прайс-лист'!$S$11:$S$310,MATCH(ROWS($A$16:A169),'Прайс-лист'!$U$11:$U$310,0)),"")</f>
        <v/>
      </c>
      <c r="J169" s="61">
        <f>IFERROR($I169*0.22,"")</f>
        <v/>
      </c>
      <c r="K169" s="61">
        <f>IFERROR($I169+$J169,"")</f>
        <v/>
      </c>
      <c r="L169" s="59">
        <f>IFERROR(INDEX('Прайс-лист'!$Q$11:$Q$310,MATCH(ROWS($A$16:A169),'Прайс-лист'!$U$11:$U$310,0)),"")</f>
        <v/>
      </c>
    </row>
    <row r="170" ht="13.5" customHeight="1" s="49">
      <c r="A170" s="64">
        <f>IFERROR(IF(INDEX('Прайс-лист'!$U$11:$U$310,MATCH(ROWS($A$16:A170),'Прайс-лист'!$U$11:$U$310,0))="","",ROWS($A$16:A170)),"")</f>
        <v/>
      </c>
      <c r="B170" s="58">
        <f>IFERROR(INDEX('Прайс-лист'!$A$11:$A$310,MATCH(ROWS($A$16:A170),'Прайс-лист'!$U$11:$U$310,0)),"")</f>
        <v/>
      </c>
      <c r="C170" s="58">
        <f>IFERROR(INDEX('Прайс-лист'!$B$11:$B$310,MATCH(ROWS($A$16:A170),'Прайс-лист'!$U$11:$U$310,0)),"")</f>
        <v/>
      </c>
      <c r="D170" s="59">
        <f>IFERROR(INDEX('Прайс-лист'!$C$11:$C$310,MATCH(ROWS($A$16:A170),'Прайс-лист'!$U$11:$U$310,0)),"")</f>
        <v/>
      </c>
      <c r="E170" s="59">
        <f>IFERROR(INDEX('Прайс-лист'!$E$11:$E$310,MATCH(ROWS($A$16:A170),'Прайс-лист'!$U$11:$U$310,0)),"")</f>
        <v/>
      </c>
      <c r="F170" s="58">
        <f>IFERROR(INDEX('Прайс-лист'!$F$11:$F$310,MATCH(ROWS($A$16:A170),'Прайс-лист'!$U$11:$U$310,0)),"")</f>
        <v/>
      </c>
      <c r="G170" s="61">
        <f>IFERROR(INDEX('Прайс-лист'!$R$11:$R$310,MATCH(ROWS($A$16:A170),'Прайс-лист'!$U$11:$U$310,0)),"")</f>
        <v/>
      </c>
      <c r="H170" s="60">
        <f>IFERROR(INDEX('Прайс-лист'!$P$11:$P$310,MATCH(ROWS($A$16:A170),'Прайс-лист'!$U$11:$U$310,0)),"")</f>
        <v/>
      </c>
      <c r="I170" s="61">
        <f>IFERROR(INDEX('Прайс-лист'!$S$11:$S$310,MATCH(ROWS($A$16:A170),'Прайс-лист'!$U$11:$U$310,0)),"")</f>
        <v/>
      </c>
      <c r="J170" s="61">
        <f>IFERROR($I170*0.22,"")</f>
        <v/>
      </c>
      <c r="K170" s="61">
        <f>IFERROR($I170+$J170,"")</f>
        <v/>
      </c>
      <c r="L170" s="59">
        <f>IFERROR(INDEX('Прайс-лист'!$Q$11:$Q$310,MATCH(ROWS($A$16:A170),'Прайс-лист'!$U$11:$U$310,0)),"")</f>
        <v/>
      </c>
    </row>
    <row r="171" ht="13.5" customHeight="1" s="49">
      <c r="A171" s="64">
        <f>IFERROR(IF(INDEX('Прайс-лист'!$U$11:$U$310,MATCH(ROWS($A$16:A171),'Прайс-лист'!$U$11:$U$310,0))="","",ROWS($A$16:A171)),"")</f>
        <v/>
      </c>
      <c r="B171" s="58">
        <f>IFERROR(INDEX('Прайс-лист'!$A$11:$A$310,MATCH(ROWS($A$16:A171),'Прайс-лист'!$U$11:$U$310,0)),"")</f>
        <v/>
      </c>
      <c r="C171" s="58">
        <f>IFERROR(INDEX('Прайс-лист'!$B$11:$B$310,MATCH(ROWS($A$16:A171),'Прайс-лист'!$U$11:$U$310,0)),"")</f>
        <v/>
      </c>
      <c r="D171" s="59">
        <f>IFERROR(INDEX('Прайс-лист'!$C$11:$C$310,MATCH(ROWS($A$16:A171),'Прайс-лист'!$U$11:$U$310,0)),"")</f>
        <v/>
      </c>
      <c r="E171" s="59">
        <f>IFERROR(INDEX('Прайс-лист'!$E$11:$E$310,MATCH(ROWS($A$16:A171),'Прайс-лист'!$U$11:$U$310,0)),"")</f>
        <v/>
      </c>
      <c r="F171" s="58">
        <f>IFERROR(INDEX('Прайс-лист'!$F$11:$F$310,MATCH(ROWS($A$16:A171),'Прайс-лист'!$U$11:$U$310,0)),"")</f>
        <v/>
      </c>
      <c r="G171" s="61">
        <f>IFERROR(INDEX('Прайс-лист'!$R$11:$R$310,MATCH(ROWS($A$16:A171),'Прайс-лист'!$U$11:$U$310,0)),"")</f>
        <v/>
      </c>
      <c r="H171" s="60">
        <f>IFERROR(INDEX('Прайс-лист'!$P$11:$P$310,MATCH(ROWS($A$16:A171),'Прайс-лист'!$U$11:$U$310,0)),"")</f>
        <v/>
      </c>
      <c r="I171" s="61">
        <f>IFERROR(INDEX('Прайс-лист'!$S$11:$S$310,MATCH(ROWS($A$16:A171),'Прайс-лист'!$U$11:$U$310,0)),"")</f>
        <v/>
      </c>
      <c r="J171" s="61">
        <f>IFERROR($I171*0.22,"")</f>
        <v/>
      </c>
      <c r="K171" s="61">
        <f>IFERROR($I171+$J171,"")</f>
        <v/>
      </c>
      <c r="L171" s="59">
        <f>IFERROR(INDEX('Прайс-лист'!$Q$11:$Q$310,MATCH(ROWS($A$16:A171),'Прайс-лист'!$U$11:$U$310,0)),"")</f>
        <v/>
      </c>
    </row>
    <row r="172" ht="13.5" customHeight="1" s="49">
      <c r="A172" s="64">
        <f>IFERROR(IF(INDEX('Прайс-лист'!$U$11:$U$310,MATCH(ROWS($A$16:A172),'Прайс-лист'!$U$11:$U$310,0))="","",ROWS($A$16:A172)),"")</f>
        <v/>
      </c>
      <c r="B172" s="58">
        <f>IFERROR(INDEX('Прайс-лист'!$A$11:$A$310,MATCH(ROWS($A$16:A172),'Прайс-лист'!$U$11:$U$310,0)),"")</f>
        <v/>
      </c>
      <c r="C172" s="58">
        <f>IFERROR(INDEX('Прайс-лист'!$B$11:$B$310,MATCH(ROWS($A$16:A172),'Прайс-лист'!$U$11:$U$310,0)),"")</f>
        <v/>
      </c>
      <c r="D172" s="59">
        <f>IFERROR(INDEX('Прайс-лист'!$C$11:$C$310,MATCH(ROWS($A$16:A172),'Прайс-лист'!$U$11:$U$310,0)),"")</f>
        <v/>
      </c>
      <c r="E172" s="59">
        <f>IFERROR(INDEX('Прайс-лист'!$E$11:$E$310,MATCH(ROWS($A$16:A172),'Прайс-лист'!$U$11:$U$310,0)),"")</f>
        <v/>
      </c>
      <c r="F172" s="58">
        <f>IFERROR(INDEX('Прайс-лист'!$F$11:$F$310,MATCH(ROWS($A$16:A172),'Прайс-лист'!$U$11:$U$310,0)),"")</f>
        <v/>
      </c>
      <c r="G172" s="61">
        <f>IFERROR(INDEX('Прайс-лист'!$R$11:$R$310,MATCH(ROWS($A$16:A172),'Прайс-лист'!$U$11:$U$310,0)),"")</f>
        <v/>
      </c>
      <c r="H172" s="60">
        <f>IFERROR(INDEX('Прайс-лист'!$P$11:$P$310,MATCH(ROWS($A$16:A172),'Прайс-лист'!$U$11:$U$310,0)),"")</f>
        <v/>
      </c>
      <c r="I172" s="61">
        <f>IFERROR(INDEX('Прайс-лист'!$S$11:$S$310,MATCH(ROWS($A$16:A172),'Прайс-лист'!$U$11:$U$310,0)),"")</f>
        <v/>
      </c>
      <c r="J172" s="61">
        <f>IFERROR($I172*0.22,"")</f>
        <v/>
      </c>
      <c r="K172" s="61">
        <f>IFERROR($I172+$J172,"")</f>
        <v/>
      </c>
      <c r="L172" s="59">
        <f>IFERROR(INDEX('Прайс-лист'!$Q$11:$Q$310,MATCH(ROWS($A$16:A172),'Прайс-лист'!$U$11:$U$310,0)),"")</f>
        <v/>
      </c>
    </row>
    <row r="173" ht="13.5" customHeight="1" s="49">
      <c r="A173" s="64">
        <f>IFERROR(IF(INDEX('Прайс-лист'!$U$11:$U$310,MATCH(ROWS($A$16:A173),'Прайс-лист'!$U$11:$U$310,0))="","",ROWS($A$16:A173)),"")</f>
        <v/>
      </c>
      <c r="B173" s="58">
        <f>IFERROR(INDEX('Прайс-лист'!$A$11:$A$310,MATCH(ROWS($A$16:A173),'Прайс-лист'!$U$11:$U$310,0)),"")</f>
        <v/>
      </c>
      <c r="C173" s="58">
        <f>IFERROR(INDEX('Прайс-лист'!$B$11:$B$310,MATCH(ROWS($A$16:A173),'Прайс-лист'!$U$11:$U$310,0)),"")</f>
        <v/>
      </c>
      <c r="D173" s="59">
        <f>IFERROR(INDEX('Прайс-лист'!$C$11:$C$310,MATCH(ROWS($A$16:A173),'Прайс-лист'!$U$11:$U$310,0)),"")</f>
        <v/>
      </c>
      <c r="E173" s="59">
        <f>IFERROR(INDEX('Прайс-лист'!$E$11:$E$310,MATCH(ROWS($A$16:A173),'Прайс-лист'!$U$11:$U$310,0)),"")</f>
        <v/>
      </c>
      <c r="F173" s="58">
        <f>IFERROR(INDEX('Прайс-лист'!$F$11:$F$310,MATCH(ROWS($A$16:A173),'Прайс-лист'!$U$11:$U$310,0)),"")</f>
        <v/>
      </c>
      <c r="G173" s="61">
        <f>IFERROR(INDEX('Прайс-лист'!$R$11:$R$310,MATCH(ROWS($A$16:A173),'Прайс-лист'!$U$11:$U$310,0)),"")</f>
        <v/>
      </c>
      <c r="H173" s="60">
        <f>IFERROR(INDEX('Прайс-лист'!$P$11:$P$310,MATCH(ROWS($A$16:A173),'Прайс-лист'!$U$11:$U$310,0)),"")</f>
        <v/>
      </c>
      <c r="I173" s="61">
        <f>IFERROR(INDEX('Прайс-лист'!$S$11:$S$310,MATCH(ROWS($A$16:A173),'Прайс-лист'!$U$11:$U$310,0)),"")</f>
        <v/>
      </c>
      <c r="J173" s="61">
        <f>IFERROR($I173*0.22,"")</f>
        <v/>
      </c>
      <c r="K173" s="61">
        <f>IFERROR($I173+$J173,"")</f>
        <v/>
      </c>
      <c r="L173" s="59">
        <f>IFERROR(INDEX('Прайс-лист'!$Q$11:$Q$310,MATCH(ROWS($A$16:A173),'Прайс-лист'!$U$11:$U$310,0)),"")</f>
        <v/>
      </c>
    </row>
    <row r="174" ht="13.5" customHeight="1" s="49">
      <c r="A174" s="64">
        <f>IFERROR(IF(INDEX('Прайс-лист'!$U$11:$U$310,MATCH(ROWS($A$16:A174),'Прайс-лист'!$U$11:$U$310,0))="","",ROWS($A$16:A174)),"")</f>
        <v/>
      </c>
      <c r="B174" s="58">
        <f>IFERROR(INDEX('Прайс-лист'!$A$11:$A$310,MATCH(ROWS($A$16:A174),'Прайс-лист'!$U$11:$U$310,0)),"")</f>
        <v/>
      </c>
      <c r="C174" s="58">
        <f>IFERROR(INDEX('Прайс-лист'!$B$11:$B$310,MATCH(ROWS($A$16:A174),'Прайс-лист'!$U$11:$U$310,0)),"")</f>
        <v/>
      </c>
      <c r="D174" s="59">
        <f>IFERROR(INDEX('Прайс-лист'!$C$11:$C$310,MATCH(ROWS($A$16:A174),'Прайс-лист'!$U$11:$U$310,0)),"")</f>
        <v/>
      </c>
      <c r="E174" s="59">
        <f>IFERROR(INDEX('Прайс-лист'!$E$11:$E$310,MATCH(ROWS($A$16:A174),'Прайс-лист'!$U$11:$U$310,0)),"")</f>
        <v/>
      </c>
      <c r="F174" s="58">
        <f>IFERROR(INDEX('Прайс-лист'!$F$11:$F$310,MATCH(ROWS($A$16:A174),'Прайс-лист'!$U$11:$U$310,0)),"")</f>
        <v/>
      </c>
      <c r="G174" s="61">
        <f>IFERROR(INDEX('Прайс-лист'!$R$11:$R$310,MATCH(ROWS($A$16:A174),'Прайс-лист'!$U$11:$U$310,0)),"")</f>
        <v/>
      </c>
      <c r="H174" s="60">
        <f>IFERROR(INDEX('Прайс-лист'!$P$11:$P$310,MATCH(ROWS($A$16:A174),'Прайс-лист'!$U$11:$U$310,0)),"")</f>
        <v/>
      </c>
      <c r="I174" s="61">
        <f>IFERROR(INDEX('Прайс-лист'!$S$11:$S$310,MATCH(ROWS($A$16:A174),'Прайс-лист'!$U$11:$U$310,0)),"")</f>
        <v/>
      </c>
      <c r="J174" s="61">
        <f>IFERROR($I174*0.22,"")</f>
        <v/>
      </c>
      <c r="K174" s="61">
        <f>IFERROR($I174+$J174,"")</f>
        <v/>
      </c>
      <c r="L174" s="59">
        <f>IFERROR(INDEX('Прайс-лист'!$Q$11:$Q$310,MATCH(ROWS($A$16:A174),'Прайс-лист'!$U$11:$U$310,0)),"")</f>
        <v/>
      </c>
    </row>
    <row r="175" ht="13.5" customHeight="1" s="49">
      <c r="A175" s="64">
        <f>IFERROR(IF(INDEX('Прайс-лист'!$U$11:$U$310,MATCH(ROWS($A$16:A175),'Прайс-лист'!$U$11:$U$310,0))="","",ROWS($A$16:A175)),"")</f>
        <v/>
      </c>
      <c r="B175" s="58">
        <f>IFERROR(INDEX('Прайс-лист'!$A$11:$A$310,MATCH(ROWS($A$16:A175),'Прайс-лист'!$U$11:$U$310,0)),"")</f>
        <v/>
      </c>
      <c r="C175" s="58">
        <f>IFERROR(INDEX('Прайс-лист'!$B$11:$B$310,MATCH(ROWS($A$16:A175),'Прайс-лист'!$U$11:$U$310,0)),"")</f>
        <v/>
      </c>
      <c r="D175" s="59">
        <f>IFERROR(INDEX('Прайс-лист'!$C$11:$C$310,MATCH(ROWS($A$16:A175),'Прайс-лист'!$U$11:$U$310,0)),"")</f>
        <v/>
      </c>
      <c r="E175" s="59">
        <f>IFERROR(INDEX('Прайс-лист'!$E$11:$E$310,MATCH(ROWS($A$16:A175),'Прайс-лист'!$U$11:$U$310,0)),"")</f>
        <v/>
      </c>
      <c r="F175" s="58">
        <f>IFERROR(INDEX('Прайс-лист'!$F$11:$F$310,MATCH(ROWS($A$16:A175),'Прайс-лист'!$U$11:$U$310,0)),"")</f>
        <v/>
      </c>
      <c r="G175" s="61">
        <f>IFERROR(INDEX('Прайс-лист'!$R$11:$R$310,MATCH(ROWS($A$16:A175),'Прайс-лист'!$U$11:$U$310,0)),"")</f>
        <v/>
      </c>
      <c r="H175" s="60">
        <f>IFERROR(INDEX('Прайс-лист'!$P$11:$P$310,MATCH(ROWS($A$16:A175),'Прайс-лист'!$U$11:$U$310,0)),"")</f>
        <v/>
      </c>
      <c r="I175" s="61">
        <f>IFERROR(INDEX('Прайс-лист'!$S$11:$S$310,MATCH(ROWS($A$16:A175),'Прайс-лист'!$U$11:$U$310,0)),"")</f>
        <v/>
      </c>
      <c r="J175" s="61">
        <f>IFERROR($I175*0.22,"")</f>
        <v/>
      </c>
      <c r="K175" s="61">
        <f>IFERROR($I175+$J175,"")</f>
        <v/>
      </c>
      <c r="L175" s="59">
        <f>IFERROR(INDEX('Прайс-лист'!$Q$11:$Q$310,MATCH(ROWS($A$16:A175),'Прайс-лист'!$U$11:$U$310,0)),"")</f>
        <v/>
      </c>
    </row>
    <row r="176" ht="13.5" customHeight="1" s="49">
      <c r="A176" s="64">
        <f>IFERROR(IF(INDEX('Прайс-лист'!$U$11:$U$310,MATCH(ROWS($A$16:A176),'Прайс-лист'!$U$11:$U$310,0))="","",ROWS($A$16:A176)),"")</f>
        <v/>
      </c>
      <c r="B176" s="58">
        <f>IFERROR(INDEX('Прайс-лист'!$A$11:$A$310,MATCH(ROWS($A$16:A176),'Прайс-лист'!$U$11:$U$310,0)),"")</f>
        <v/>
      </c>
      <c r="C176" s="58">
        <f>IFERROR(INDEX('Прайс-лист'!$B$11:$B$310,MATCH(ROWS($A$16:A176),'Прайс-лист'!$U$11:$U$310,0)),"")</f>
        <v/>
      </c>
      <c r="D176" s="59">
        <f>IFERROR(INDEX('Прайс-лист'!$C$11:$C$310,MATCH(ROWS($A$16:A176),'Прайс-лист'!$U$11:$U$310,0)),"")</f>
        <v/>
      </c>
      <c r="E176" s="59">
        <f>IFERROR(INDEX('Прайс-лист'!$E$11:$E$310,MATCH(ROWS($A$16:A176),'Прайс-лист'!$U$11:$U$310,0)),"")</f>
        <v/>
      </c>
      <c r="F176" s="58">
        <f>IFERROR(INDEX('Прайс-лист'!$F$11:$F$310,MATCH(ROWS($A$16:A176),'Прайс-лист'!$U$11:$U$310,0)),"")</f>
        <v/>
      </c>
      <c r="G176" s="61">
        <f>IFERROR(INDEX('Прайс-лист'!$R$11:$R$310,MATCH(ROWS($A$16:A176),'Прайс-лист'!$U$11:$U$310,0)),"")</f>
        <v/>
      </c>
      <c r="H176" s="60">
        <f>IFERROR(INDEX('Прайс-лист'!$P$11:$P$310,MATCH(ROWS($A$16:A176),'Прайс-лист'!$U$11:$U$310,0)),"")</f>
        <v/>
      </c>
      <c r="I176" s="61">
        <f>IFERROR(INDEX('Прайс-лист'!$S$11:$S$310,MATCH(ROWS($A$16:A176),'Прайс-лист'!$U$11:$U$310,0)),"")</f>
        <v/>
      </c>
      <c r="J176" s="61">
        <f>IFERROR($I176*0.22,"")</f>
        <v/>
      </c>
      <c r="K176" s="61">
        <f>IFERROR($I176+$J176,"")</f>
        <v/>
      </c>
      <c r="L176" s="59">
        <f>IFERROR(INDEX('Прайс-лист'!$Q$11:$Q$310,MATCH(ROWS($A$16:A176),'Прайс-лист'!$U$11:$U$310,0)),"")</f>
        <v/>
      </c>
    </row>
    <row r="177" ht="13.5" customHeight="1" s="49">
      <c r="A177" s="64">
        <f>IFERROR(IF(INDEX('Прайс-лист'!$U$11:$U$310,MATCH(ROWS($A$16:A177),'Прайс-лист'!$U$11:$U$310,0))="","",ROWS($A$16:A177)),"")</f>
        <v/>
      </c>
      <c r="B177" s="58">
        <f>IFERROR(INDEX('Прайс-лист'!$A$11:$A$310,MATCH(ROWS($A$16:A177),'Прайс-лист'!$U$11:$U$310,0)),"")</f>
        <v/>
      </c>
      <c r="C177" s="58">
        <f>IFERROR(INDEX('Прайс-лист'!$B$11:$B$310,MATCH(ROWS($A$16:A177),'Прайс-лист'!$U$11:$U$310,0)),"")</f>
        <v/>
      </c>
      <c r="D177" s="59">
        <f>IFERROR(INDEX('Прайс-лист'!$C$11:$C$310,MATCH(ROWS($A$16:A177),'Прайс-лист'!$U$11:$U$310,0)),"")</f>
        <v/>
      </c>
      <c r="E177" s="59">
        <f>IFERROR(INDEX('Прайс-лист'!$E$11:$E$310,MATCH(ROWS($A$16:A177),'Прайс-лист'!$U$11:$U$310,0)),"")</f>
        <v/>
      </c>
      <c r="F177" s="58">
        <f>IFERROR(INDEX('Прайс-лист'!$F$11:$F$310,MATCH(ROWS($A$16:A177),'Прайс-лист'!$U$11:$U$310,0)),"")</f>
        <v/>
      </c>
      <c r="G177" s="61">
        <f>IFERROR(INDEX('Прайс-лист'!$R$11:$R$310,MATCH(ROWS($A$16:A177),'Прайс-лист'!$U$11:$U$310,0)),"")</f>
        <v/>
      </c>
      <c r="H177" s="60">
        <f>IFERROR(INDEX('Прайс-лист'!$P$11:$P$310,MATCH(ROWS($A$16:A177),'Прайс-лист'!$U$11:$U$310,0)),"")</f>
        <v/>
      </c>
      <c r="I177" s="61">
        <f>IFERROR(INDEX('Прайс-лист'!$S$11:$S$310,MATCH(ROWS($A$16:A177),'Прайс-лист'!$U$11:$U$310,0)),"")</f>
        <v/>
      </c>
      <c r="J177" s="61">
        <f>IFERROR($I177*0.22,"")</f>
        <v/>
      </c>
      <c r="K177" s="61">
        <f>IFERROR($I177+$J177,"")</f>
        <v/>
      </c>
      <c r="L177" s="59">
        <f>IFERROR(INDEX('Прайс-лист'!$Q$11:$Q$310,MATCH(ROWS($A$16:A177),'Прайс-лист'!$U$11:$U$310,0)),"")</f>
        <v/>
      </c>
    </row>
    <row r="178" ht="13.5" customHeight="1" s="49">
      <c r="A178" s="64">
        <f>IFERROR(IF(INDEX('Прайс-лист'!$U$11:$U$310,MATCH(ROWS($A$16:A178),'Прайс-лист'!$U$11:$U$310,0))="","",ROWS($A$16:A178)),"")</f>
        <v/>
      </c>
      <c r="B178" s="58">
        <f>IFERROR(INDEX('Прайс-лист'!$A$11:$A$310,MATCH(ROWS($A$16:A178),'Прайс-лист'!$U$11:$U$310,0)),"")</f>
        <v/>
      </c>
      <c r="C178" s="58">
        <f>IFERROR(INDEX('Прайс-лист'!$B$11:$B$310,MATCH(ROWS($A$16:A178),'Прайс-лист'!$U$11:$U$310,0)),"")</f>
        <v/>
      </c>
      <c r="D178" s="59">
        <f>IFERROR(INDEX('Прайс-лист'!$C$11:$C$310,MATCH(ROWS($A$16:A178),'Прайс-лист'!$U$11:$U$310,0)),"")</f>
        <v/>
      </c>
      <c r="E178" s="59">
        <f>IFERROR(INDEX('Прайс-лист'!$E$11:$E$310,MATCH(ROWS($A$16:A178),'Прайс-лист'!$U$11:$U$310,0)),"")</f>
        <v/>
      </c>
      <c r="F178" s="58">
        <f>IFERROR(INDEX('Прайс-лист'!$F$11:$F$310,MATCH(ROWS($A$16:A178),'Прайс-лист'!$U$11:$U$310,0)),"")</f>
        <v/>
      </c>
      <c r="G178" s="61">
        <f>IFERROR(INDEX('Прайс-лист'!$R$11:$R$310,MATCH(ROWS($A$16:A178),'Прайс-лист'!$U$11:$U$310,0)),"")</f>
        <v/>
      </c>
      <c r="H178" s="60">
        <f>IFERROR(INDEX('Прайс-лист'!$P$11:$P$310,MATCH(ROWS($A$16:A178),'Прайс-лист'!$U$11:$U$310,0)),"")</f>
        <v/>
      </c>
      <c r="I178" s="61">
        <f>IFERROR(INDEX('Прайс-лист'!$S$11:$S$310,MATCH(ROWS($A$16:A178),'Прайс-лист'!$U$11:$U$310,0)),"")</f>
        <v/>
      </c>
      <c r="J178" s="61">
        <f>IFERROR($I178*0.22,"")</f>
        <v/>
      </c>
      <c r="K178" s="61">
        <f>IFERROR($I178+$J178,"")</f>
        <v/>
      </c>
      <c r="L178" s="59">
        <f>IFERROR(INDEX('Прайс-лист'!$Q$11:$Q$310,MATCH(ROWS($A$16:A178),'Прайс-лист'!$U$11:$U$310,0)),"")</f>
        <v/>
      </c>
    </row>
    <row r="179" ht="13.5" customHeight="1" s="49">
      <c r="A179" s="64">
        <f>IFERROR(IF(INDEX('Прайс-лист'!$U$11:$U$310,MATCH(ROWS($A$16:A179),'Прайс-лист'!$U$11:$U$310,0))="","",ROWS($A$16:A179)),"")</f>
        <v/>
      </c>
      <c r="B179" s="58">
        <f>IFERROR(INDEX('Прайс-лист'!$A$11:$A$310,MATCH(ROWS($A$16:A179),'Прайс-лист'!$U$11:$U$310,0)),"")</f>
        <v/>
      </c>
      <c r="C179" s="58">
        <f>IFERROR(INDEX('Прайс-лист'!$B$11:$B$310,MATCH(ROWS($A$16:A179),'Прайс-лист'!$U$11:$U$310,0)),"")</f>
        <v/>
      </c>
      <c r="D179" s="59">
        <f>IFERROR(INDEX('Прайс-лист'!$C$11:$C$310,MATCH(ROWS($A$16:A179),'Прайс-лист'!$U$11:$U$310,0)),"")</f>
        <v/>
      </c>
      <c r="E179" s="59">
        <f>IFERROR(INDEX('Прайс-лист'!$E$11:$E$310,MATCH(ROWS($A$16:A179),'Прайс-лист'!$U$11:$U$310,0)),"")</f>
        <v/>
      </c>
      <c r="F179" s="58">
        <f>IFERROR(INDEX('Прайс-лист'!$F$11:$F$310,MATCH(ROWS($A$16:A179),'Прайс-лист'!$U$11:$U$310,0)),"")</f>
        <v/>
      </c>
      <c r="G179" s="61">
        <f>IFERROR(INDEX('Прайс-лист'!$R$11:$R$310,MATCH(ROWS($A$16:A179),'Прайс-лист'!$U$11:$U$310,0)),"")</f>
        <v/>
      </c>
      <c r="H179" s="60">
        <f>IFERROR(INDEX('Прайс-лист'!$P$11:$P$310,MATCH(ROWS($A$16:A179),'Прайс-лист'!$U$11:$U$310,0)),"")</f>
        <v/>
      </c>
      <c r="I179" s="61">
        <f>IFERROR(INDEX('Прайс-лист'!$S$11:$S$310,MATCH(ROWS($A$16:A179),'Прайс-лист'!$U$11:$U$310,0)),"")</f>
        <v/>
      </c>
      <c r="J179" s="61">
        <f>IFERROR($I179*0.22,"")</f>
        <v/>
      </c>
      <c r="K179" s="61">
        <f>IFERROR($I179+$J179,"")</f>
        <v/>
      </c>
      <c r="L179" s="59">
        <f>IFERROR(INDEX('Прайс-лист'!$Q$11:$Q$310,MATCH(ROWS($A$16:A179),'Прайс-лист'!$U$11:$U$310,0)),"")</f>
        <v/>
      </c>
    </row>
    <row r="180" ht="13.5" customHeight="1" s="49">
      <c r="A180" s="64">
        <f>IFERROR(IF(INDEX('Прайс-лист'!$U$11:$U$310,MATCH(ROWS($A$16:A180),'Прайс-лист'!$U$11:$U$310,0))="","",ROWS($A$16:A180)),"")</f>
        <v/>
      </c>
      <c r="B180" s="58">
        <f>IFERROR(INDEX('Прайс-лист'!$A$11:$A$310,MATCH(ROWS($A$16:A180),'Прайс-лист'!$U$11:$U$310,0)),"")</f>
        <v/>
      </c>
      <c r="C180" s="58">
        <f>IFERROR(INDEX('Прайс-лист'!$B$11:$B$310,MATCH(ROWS($A$16:A180),'Прайс-лист'!$U$11:$U$310,0)),"")</f>
        <v/>
      </c>
      <c r="D180" s="59">
        <f>IFERROR(INDEX('Прайс-лист'!$C$11:$C$310,MATCH(ROWS($A$16:A180),'Прайс-лист'!$U$11:$U$310,0)),"")</f>
        <v/>
      </c>
      <c r="E180" s="59">
        <f>IFERROR(INDEX('Прайс-лист'!$E$11:$E$310,MATCH(ROWS($A$16:A180),'Прайс-лист'!$U$11:$U$310,0)),"")</f>
        <v/>
      </c>
      <c r="F180" s="58">
        <f>IFERROR(INDEX('Прайс-лист'!$F$11:$F$310,MATCH(ROWS($A$16:A180),'Прайс-лист'!$U$11:$U$310,0)),"")</f>
        <v/>
      </c>
      <c r="G180" s="61">
        <f>IFERROR(INDEX('Прайс-лист'!$R$11:$R$310,MATCH(ROWS($A$16:A180),'Прайс-лист'!$U$11:$U$310,0)),"")</f>
        <v/>
      </c>
      <c r="H180" s="60">
        <f>IFERROR(INDEX('Прайс-лист'!$P$11:$P$310,MATCH(ROWS($A$16:A180),'Прайс-лист'!$U$11:$U$310,0)),"")</f>
        <v/>
      </c>
      <c r="I180" s="61">
        <f>IFERROR(INDEX('Прайс-лист'!$S$11:$S$310,MATCH(ROWS($A$16:A180),'Прайс-лист'!$U$11:$U$310,0)),"")</f>
        <v/>
      </c>
      <c r="J180" s="61">
        <f>IFERROR($I180*0.22,"")</f>
        <v/>
      </c>
      <c r="K180" s="61">
        <f>IFERROR($I180+$J180,"")</f>
        <v/>
      </c>
      <c r="L180" s="59">
        <f>IFERROR(INDEX('Прайс-лист'!$Q$11:$Q$310,MATCH(ROWS($A$16:A180),'Прайс-лист'!$U$11:$U$310,0)),"")</f>
        <v/>
      </c>
    </row>
    <row r="181" ht="13.5" customHeight="1" s="49">
      <c r="A181" s="64">
        <f>IFERROR(IF(INDEX('Прайс-лист'!$U$11:$U$310,MATCH(ROWS($A$16:A181),'Прайс-лист'!$U$11:$U$310,0))="","",ROWS($A$16:A181)),"")</f>
        <v/>
      </c>
      <c r="B181" s="58">
        <f>IFERROR(INDEX('Прайс-лист'!$A$11:$A$310,MATCH(ROWS($A$16:A181),'Прайс-лист'!$U$11:$U$310,0)),"")</f>
        <v/>
      </c>
      <c r="C181" s="58">
        <f>IFERROR(INDEX('Прайс-лист'!$B$11:$B$310,MATCH(ROWS($A$16:A181),'Прайс-лист'!$U$11:$U$310,0)),"")</f>
        <v/>
      </c>
      <c r="D181" s="59">
        <f>IFERROR(INDEX('Прайс-лист'!$C$11:$C$310,MATCH(ROWS($A$16:A181),'Прайс-лист'!$U$11:$U$310,0)),"")</f>
        <v/>
      </c>
      <c r="E181" s="59">
        <f>IFERROR(INDEX('Прайс-лист'!$E$11:$E$310,MATCH(ROWS($A$16:A181),'Прайс-лист'!$U$11:$U$310,0)),"")</f>
        <v/>
      </c>
      <c r="F181" s="58">
        <f>IFERROR(INDEX('Прайс-лист'!$F$11:$F$310,MATCH(ROWS($A$16:A181),'Прайс-лист'!$U$11:$U$310,0)),"")</f>
        <v/>
      </c>
      <c r="G181" s="61">
        <f>IFERROR(INDEX('Прайс-лист'!$R$11:$R$310,MATCH(ROWS($A$16:A181),'Прайс-лист'!$U$11:$U$310,0)),"")</f>
        <v/>
      </c>
      <c r="H181" s="60">
        <f>IFERROR(INDEX('Прайс-лист'!$P$11:$P$310,MATCH(ROWS($A$16:A181),'Прайс-лист'!$U$11:$U$310,0)),"")</f>
        <v/>
      </c>
      <c r="I181" s="61">
        <f>IFERROR(INDEX('Прайс-лист'!$S$11:$S$310,MATCH(ROWS($A$16:A181),'Прайс-лист'!$U$11:$U$310,0)),"")</f>
        <v/>
      </c>
      <c r="J181" s="61">
        <f>IFERROR($I181*0.22,"")</f>
        <v/>
      </c>
      <c r="K181" s="61">
        <f>IFERROR($I181+$J181,"")</f>
        <v/>
      </c>
      <c r="L181" s="59">
        <f>IFERROR(INDEX('Прайс-лист'!$Q$11:$Q$310,MATCH(ROWS($A$16:A181),'Прайс-лист'!$U$11:$U$310,0)),"")</f>
        <v/>
      </c>
    </row>
    <row r="182" ht="13.5" customHeight="1" s="49">
      <c r="A182" s="64">
        <f>IFERROR(IF(INDEX('Прайс-лист'!$U$11:$U$310,MATCH(ROWS($A$16:A182),'Прайс-лист'!$U$11:$U$310,0))="","",ROWS($A$16:A182)),"")</f>
        <v/>
      </c>
      <c r="B182" s="58">
        <f>IFERROR(INDEX('Прайс-лист'!$A$11:$A$310,MATCH(ROWS($A$16:A182),'Прайс-лист'!$U$11:$U$310,0)),"")</f>
        <v/>
      </c>
      <c r="C182" s="58">
        <f>IFERROR(INDEX('Прайс-лист'!$B$11:$B$310,MATCH(ROWS($A$16:A182),'Прайс-лист'!$U$11:$U$310,0)),"")</f>
        <v/>
      </c>
      <c r="D182" s="59">
        <f>IFERROR(INDEX('Прайс-лист'!$C$11:$C$310,MATCH(ROWS($A$16:A182),'Прайс-лист'!$U$11:$U$310,0)),"")</f>
        <v/>
      </c>
      <c r="E182" s="59">
        <f>IFERROR(INDEX('Прайс-лист'!$E$11:$E$310,MATCH(ROWS($A$16:A182),'Прайс-лист'!$U$11:$U$310,0)),"")</f>
        <v/>
      </c>
      <c r="F182" s="58">
        <f>IFERROR(INDEX('Прайс-лист'!$F$11:$F$310,MATCH(ROWS($A$16:A182),'Прайс-лист'!$U$11:$U$310,0)),"")</f>
        <v/>
      </c>
      <c r="G182" s="61">
        <f>IFERROR(INDEX('Прайс-лист'!$R$11:$R$310,MATCH(ROWS($A$16:A182),'Прайс-лист'!$U$11:$U$310,0)),"")</f>
        <v/>
      </c>
      <c r="H182" s="60">
        <f>IFERROR(INDEX('Прайс-лист'!$P$11:$P$310,MATCH(ROWS($A$16:A182),'Прайс-лист'!$U$11:$U$310,0)),"")</f>
        <v/>
      </c>
      <c r="I182" s="61">
        <f>IFERROR(INDEX('Прайс-лист'!$S$11:$S$310,MATCH(ROWS($A$16:A182),'Прайс-лист'!$U$11:$U$310,0)),"")</f>
        <v/>
      </c>
      <c r="J182" s="61">
        <f>IFERROR($I182*0.22,"")</f>
        <v/>
      </c>
      <c r="K182" s="61">
        <f>IFERROR($I182+$J182,"")</f>
        <v/>
      </c>
      <c r="L182" s="59">
        <f>IFERROR(INDEX('Прайс-лист'!$Q$11:$Q$310,MATCH(ROWS($A$16:A182),'Прайс-лист'!$U$11:$U$310,0)),"")</f>
        <v/>
      </c>
    </row>
    <row r="183" ht="13.5" customHeight="1" s="49">
      <c r="A183" s="64">
        <f>IFERROR(IF(INDEX('Прайс-лист'!$U$11:$U$310,MATCH(ROWS($A$16:A183),'Прайс-лист'!$U$11:$U$310,0))="","",ROWS($A$16:A183)),"")</f>
        <v/>
      </c>
      <c r="B183" s="58">
        <f>IFERROR(INDEX('Прайс-лист'!$A$11:$A$310,MATCH(ROWS($A$16:A183),'Прайс-лист'!$U$11:$U$310,0)),"")</f>
        <v/>
      </c>
      <c r="C183" s="58">
        <f>IFERROR(INDEX('Прайс-лист'!$B$11:$B$310,MATCH(ROWS($A$16:A183),'Прайс-лист'!$U$11:$U$310,0)),"")</f>
        <v/>
      </c>
      <c r="D183" s="59">
        <f>IFERROR(INDEX('Прайс-лист'!$C$11:$C$310,MATCH(ROWS($A$16:A183),'Прайс-лист'!$U$11:$U$310,0)),"")</f>
        <v/>
      </c>
      <c r="E183" s="59">
        <f>IFERROR(INDEX('Прайс-лист'!$E$11:$E$310,MATCH(ROWS($A$16:A183),'Прайс-лист'!$U$11:$U$310,0)),"")</f>
        <v/>
      </c>
      <c r="F183" s="58">
        <f>IFERROR(INDEX('Прайс-лист'!$F$11:$F$310,MATCH(ROWS($A$16:A183),'Прайс-лист'!$U$11:$U$310,0)),"")</f>
        <v/>
      </c>
      <c r="G183" s="61">
        <f>IFERROR(INDEX('Прайс-лист'!$R$11:$R$310,MATCH(ROWS($A$16:A183),'Прайс-лист'!$U$11:$U$310,0)),"")</f>
        <v/>
      </c>
      <c r="H183" s="60">
        <f>IFERROR(INDEX('Прайс-лист'!$P$11:$P$310,MATCH(ROWS($A$16:A183),'Прайс-лист'!$U$11:$U$310,0)),"")</f>
        <v/>
      </c>
      <c r="I183" s="61">
        <f>IFERROR(INDEX('Прайс-лист'!$S$11:$S$310,MATCH(ROWS($A$16:A183),'Прайс-лист'!$U$11:$U$310,0)),"")</f>
        <v/>
      </c>
      <c r="J183" s="61">
        <f>IFERROR($I183*0.22,"")</f>
        <v/>
      </c>
      <c r="K183" s="61">
        <f>IFERROR($I183+$J183,"")</f>
        <v/>
      </c>
      <c r="L183" s="59">
        <f>IFERROR(INDEX('Прайс-лист'!$Q$11:$Q$310,MATCH(ROWS($A$16:A183),'Прайс-лист'!$U$11:$U$310,0)),"")</f>
        <v/>
      </c>
    </row>
    <row r="184" ht="13.5" customHeight="1" s="49">
      <c r="A184" s="64">
        <f>IFERROR(IF(INDEX('Прайс-лист'!$U$11:$U$310,MATCH(ROWS($A$16:A184),'Прайс-лист'!$U$11:$U$310,0))="","",ROWS($A$16:A184)),"")</f>
        <v/>
      </c>
      <c r="B184" s="58">
        <f>IFERROR(INDEX('Прайс-лист'!$A$11:$A$310,MATCH(ROWS($A$16:A184),'Прайс-лист'!$U$11:$U$310,0)),"")</f>
        <v/>
      </c>
      <c r="C184" s="58">
        <f>IFERROR(INDEX('Прайс-лист'!$B$11:$B$310,MATCH(ROWS($A$16:A184),'Прайс-лист'!$U$11:$U$310,0)),"")</f>
        <v/>
      </c>
      <c r="D184" s="59">
        <f>IFERROR(INDEX('Прайс-лист'!$C$11:$C$310,MATCH(ROWS($A$16:A184),'Прайс-лист'!$U$11:$U$310,0)),"")</f>
        <v/>
      </c>
      <c r="E184" s="59">
        <f>IFERROR(INDEX('Прайс-лист'!$E$11:$E$310,MATCH(ROWS($A$16:A184),'Прайс-лист'!$U$11:$U$310,0)),"")</f>
        <v/>
      </c>
      <c r="F184" s="58">
        <f>IFERROR(INDEX('Прайс-лист'!$F$11:$F$310,MATCH(ROWS($A$16:A184),'Прайс-лист'!$U$11:$U$310,0)),"")</f>
        <v/>
      </c>
      <c r="G184" s="61">
        <f>IFERROR(INDEX('Прайс-лист'!$R$11:$R$310,MATCH(ROWS($A$16:A184),'Прайс-лист'!$U$11:$U$310,0)),"")</f>
        <v/>
      </c>
      <c r="H184" s="60">
        <f>IFERROR(INDEX('Прайс-лист'!$P$11:$P$310,MATCH(ROWS($A$16:A184),'Прайс-лист'!$U$11:$U$310,0)),"")</f>
        <v/>
      </c>
      <c r="I184" s="61">
        <f>IFERROR(INDEX('Прайс-лист'!$S$11:$S$310,MATCH(ROWS($A$16:A184),'Прайс-лист'!$U$11:$U$310,0)),"")</f>
        <v/>
      </c>
      <c r="J184" s="61">
        <f>IFERROR($I184*0.22,"")</f>
        <v/>
      </c>
      <c r="K184" s="61">
        <f>IFERROR($I184+$J184,"")</f>
        <v/>
      </c>
      <c r="L184" s="59">
        <f>IFERROR(INDEX('Прайс-лист'!$Q$11:$Q$310,MATCH(ROWS($A$16:A184),'Прайс-лист'!$U$11:$U$310,0)),"")</f>
        <v/>
      </c>
    </row>
    <row r="185" ht="13.5" customHeight="1" s="49">
      <c r="A185" s="64">
        <f>IFERROR(IF(INDEX('Прайс-лист'!$U$11:$U$310,MATCH(ROWS($A$16:A185),'Прайс-лист'!$U$11:$U$310,0))="","",ROWS($A$16:A185)),"")</f>
        <v/>
      </c>
      <c r="B185" s="58">
        <f>IFERROR(INDEX('Прайс-лист'!$A$11:$A$310,MATCH(ROWS($A$16:A185),'Прайс-лист'!$U$11:$U$310,0)),"")</f>
        <v/>
      </c>
      <c r="C185" s="58">
        <f>IFERROR(INDEX('Прайс-лист'!$B$11:$B$310,MATCH(ROWS($A$16:A185),'Прайс-лист'!$U$11:$U$310,0)),"")</f>
        <v/>
      </c>
      <c r="D185" s="59">
        <f>IFERROR(INDEX('Прайс-лист'!$C$11:$C$310,MATCH(ROWS($A$16:A185),'Прайс-лист'!$U$11:$U$310,0)),"")</f>
        <v/>
      </c>
      <c r="E185" s="59">
        <f>IFERROR(INDEX('Прайс-лист'!$E$11:$E$310,MATCH(ROWS($A$16:A185),'Прайс-лист'!$U$11:$U$310,0)),"")</f>
        <v/>
      </c>
      <c r="F185" s="58">
        <f>IFERROR(INDEX('Прайс-лист'!$F$11:$F$310,MATCH(ROWS($A$16:A185),'Прайс-лист'!$U$11:$U$310,0)),"")</f>
        <v/>
      </c>
      <c r="G185" s="61">
        <f>IFERROR(INDEX('Прайс-лист'!$R$11:$R$310,MATCH(ROWS($A$16:A185),'Прайс-лист'!$U$11:$U$310,0)),"")</f>
        <v/>
      </c>
      <c r="H185" s="60">
        <f>IFERROR(INDEX('Прайс-лист'!$P$11:$P$310,MATCH(ROWS($A$16:A185),'Прайс-лист'!$U$11:$U$310,0)),"")</f>
        <v/>
      </c>
      <c r="I185" s="61">
        <f>IFERROR(INDEX('Прайс-лист'!$S$11:$S$310,MATCH(ROWS($A$16:A185),'Прайс-лист'!$U$11:$U$310,0)),"")</f>
        <v/>
      </c>
      <c r="J185" s="61">
        <f>IFERROR($I185*0.22,"")</f>
        <v/>
      </c>
      <c r="K185" s="61">
        <f>IFERROR($I185+$J185,"")</f>
        <v/>
      </c>
      <c r="L185" s="59">
        <f>IFERROR(INDEX('Прайс-лист'!$Q$11:$Q$310,MATCH(ROWS($A$16:A185),'Прайс-лист'!$U$11:$U$310,0)),"")</f>
        <v/>
      </c>
    </row>
    <row r="186" ht="13.5" customHeight="1" s="49">
      <c r="A186" s="64">
        <f>IFERROR(IF(INDEX('Прайс-лист'!$U$11:$U$310,MATCH(ROWS($A$16:A186),'Прайс-лист'!$U$11:$U$310,0))="","",ROWS($A$16:A186)),"")</f>
        <v/>
      </c>
      <c r="B186" s="58">
        <f>IFERROR(INDEX('Прайс-лист'!$A$11:$A$310,MATCH(ROWS($A$16:A186),'Прайс-лист'!$U$11:$U$310,0)),"")</f>
        <v/>
      </c>
      <c r="C186" s="58">
        <f>IFERROR(INDEX('Прайс-лист'!$B$11:$B$310,MATCH(ROWS($A$16:A186),'Прайс-лист'!$U$11:$U$310,0)),"")</f>
        <v/>
      </c>
      <c r="D186" s="59">
        <f>IFERROR(INDEX('Прайс-лист'!$C$11:$C$310,MATCH(ROWS($A$16:A186),'Прайс-лист'!$U$11:$U$310,0)),"")</f>
        <v/>
      </c>
      <c r="E186" s="59">
        <f>IFERROR(INDEX('Прайс-лист'!$E$11:$E$310,MATCH(ROWS($A$16:A186),'Прайс-лист'!$U$11:$U$310,0)),"")</f>
        <v/>
      </c>
      <c r="F186" s="58">
        <f>IFERROR(INDEX('Прайс-лист'!$F$11:$F$310,MATCH(ROWS($A$16:A186),'Прайс-лист'!$U$11:$U$310,0)),"")</f>
        <v/>
      </c>
      <c r="G186" s="61">
        <f>IFERROR(INDEX('Прайс-лист'!$R$11:$R$310,MATCH(ROWS($A$16:A186),'Прайс-лист'!$U$11:$U$310,0)),"")</f>
        <v/>
      </c>
      <c r="H186" s="60">
        <f>IFERROR(INDEX('Прайс-лист'!$P$11:$P$310,MATCH(ROWS($A$16:A186),'Прайс-лист'!$U$11:$U$310,0)),"")</f>
        <v/>
      </c>
      <c r="I186" s="61">
        <f>IFERROR(INDEX('Прайс-лист'!$S$11:$S$310,MATCH(ROWS($A$16:A186),'Прайс-лист'!$U$11:$U$310,0)),"")</f>
        <v/>
      </c>
      <c r="J186" s="61">
        <f>IFERROR($I186*0.22,"")</f>
        <v/>
      </c>
      <c r="K186" s="61">
        <f>IFERROR($I186+$J186,"")</f>
        <v/>
      </c>
      <c r="L186" s="59">
        <f>IFERROR(INDEX('Прайс-лист'!$Q$11:$Q$310,MATCH(ROWS($A$16:A186),'Прайс-лист'!$U$11:$U$310,0)),"")</f>
        <v/>
      </c>
    </row>
    <row r="187" ht="13.5" customHeight="1" s="49">
      <c r="A187" s="64">
        <f>IFERROR(IF(INDEX('Прайс-лист'!$U$11:$U$310,MATCH(ROWS($A$16:A187),'Прайс-лист'!$U$11:$U$310,0))="","",ROWS($A$16:A187)),"")</f>
        <v/>
      </c>
      <c r="B187" s="58">
        <f>IFERROR(INDEX('Прайс-лист'!$A$11:$A$310,MATCH(ROWS($A$16:A187),'Прайс-лист'!$U$11:$U$310,0)),"")</f>
        <v/>
      </c>
      <c r="C187" s="58">
        <f>IFERROR(INDEX('Прайс-лист'!$B$11:$B$310,MATCH(ROWS($A$16:A187),'Прайс-лист'!$U$11:$U$310,0)),"")</f>
        <v/>
      </c>
      <c r="D187" s="59">
        <f>IFERROR(INDEX('Прайс-лист'!$C$11:$C$310,MATCH(ROWS($A$16:A187),'Прайс-лист'!$U$11:$U$310,0)),"")</f>
        <v/>
      </c>
      <c r="E187" s="59">
        <f>IFERROR(INDEX('Прайс-лист'!$E$11:$E$310,MATCH(ROWS($A$16:A187),'Прайс-лист'!$U$11:$U$310,0)),"")</f>
        <v/>
      </c>
      <c r="F187" s="58">
        <f>IFERROR(INDEX('Прайс-лист'!$F$11:$F$310,MATCH(ROWS($A$16:A187),'Прайс-лист'!$U$11:$U$310,0)),"")</f>
        <v/>
      </c>
      <c r="G187" s="61">
        <f>IFERROR(INDEX('Прайс-лист'!$R$11:$R$310,MATCH(ROWS($A$16:A187),'Прайс-лист'!$U$11:$U$310,0)),"")</f>
        <v/>
      </c>
      <c r="H187" s="60">
        <f>IFERROR(INDEX('Прайс-лист'!$P$11:$P$310,MATCH(ROWS($A$16:A187),'Прайс-лист'!$U$11:$U$310,0)),"")</f>
        <v/>
      </c>
      <c r="I187" s="61">
        <f>IFERROR(INDEX('Прайс-лист'!$S$11:$S$310,MATCH(ROWS($A$16:A187),'Прайс-лист'!$U$11:$U$310,0)),"")</f>
        <v/>
      </c>
      <c r="J187" s="61">
        <f>IFERROR($I187*0.22,"")</f>
        <v/>
      </c>
      <c r="K187" s="61">
        <f>IFERROR($I187+$J187,"")</f>
        <v/>
      </c>
      <c r="L187" s="59">
        <f>IFERROR(INDEX('Прайс-лист'!$Q$11:$Q$310,MATCH(ROWS($A$16:A187),'Прайс-лист'!$U$11:$U$310,0)),"")</f>
        <v/>
      </c>
    </row>
    <row r="188" ht="13.5" customHeight="1" s="49">
      <c r="A188" s="64">
        <f>IFERROR(IF(INDEX('Прайс-лист'!$U$11:$U$310,MATCH(ROWS($A$16:A188),'Прайс-лист'!$U$11:$U$310,0))="","",ROWS($A$16:A188)),"")</f>
        <v/>
      </c>
      <c r="B188" s="58">
        <f>IFERROR(INDEX('Прайс-лист'!$A$11:$A$310,MATCH(ROWS($A$16:A188),'Прайс-лист'!$U$11:$U$310,0)),"")</f>
        <v/>
      </c>
      <c r="C188" s="58">
        <f>IFERROR(INDEX('Прайс-лист'!$B$11:$B$310,MATCH(ROWS($A$16:A188),'Прайс-лист'!$U$11:$U$310,0)),"")</f>
        <v/>
      </c>
      <c r="D188" s="59">
        <f>IFERROR(INDEX('Прайс-лист'!$C$11:$C$310,MATCH(ROWS($A$16:A188),'Прайс-лист'!$U$11:$U$310,0)),"")</f>
        <v/>
      </c>
      <c r="E188" s="59">
        <f>IFERROR(INDEX('Прайс-лист'!$E$11:$E$310,MATCH(ROWS($A$16:A188),'Прайс-лист'!$U$11:$U$310,0)),"")</f>
        <v/>
      </c>
      <c r="F188" s="58">
        <f>IFERROR(INDEX('Прайс-лист'!$F$11:$F$310,MATCH(ROWS($A$16:A188),'Прайс-лист'!$U$11:$U$310,0)),"")</f>
        <v/>
      </c>
      <c r="G188" s="61">
        <f>IFERROR(INDEX('Прайс-лист'!$R$11:$R$310,MATCH(ROWS($A$16:A188),'Прайс-лист'!$U$11:$U$310,0)),"")</f>
        <v/>
      </c>
      <c r="H188" s="60">
        <f>IFERROR(INDEX('Прайс-лист'!$P$11:$P$310,MATCH(ROWS($A$16:A188),'Прайс-лист'!$U$11:$U$310,0)),"")</f>
        <v/>
      </c>
      <c r="I188" s="61">
        <f>IFERROR(INDEX('Прайс-лист'!$S$11:$S$310,MATCH(ROWS($A$16:A188),'Прайс-лист'!$U$11:$U$310,0)),"")</f>
        <v/>
      </c>
      <c r="J188" s="61">
        <f>IFERROR($I188*0.22,"")</f>
        <v/>
      </c>
      <c r="K188" s="61">
        <f>IFERROR($I188+$J188,"")</f>
        <v/>
      </c>
      <c r="L188" s="59">
        <f>IFERROR(INDEX('Прайс-лист'!$Q$11:$Q$310,MATCH(ROWS($A$16:A188),'Прайс-лист'!$U$11:$U$310,0)),"")</f>
        <v/>
      </c>
    </row>
    <row r="189" ht="13.5" customHeight="1" s="49">
      <c r="A189" s="64">
        <f>IFERROR(IF(INDEX('Прайс-лист'!$U$11:$U$310,MATCH(ROWS($A$16:A189),'Прайс-лист'!$U$11:$U$310,0))="","",ROWS($A$16:A189)),"")</f>
        <v/>
      </c>
      <c r="B189" s="58">
        <f>IFERROR(INDEX('Прайс-лист'!$A$11:$A$310,MATCH(ROWS($A$16:A189),'Прайс-лист'!$U$11:$U$310,0)),"")</f>
        <v/>
      </c>
      <c r="C189" s="58">
        <f>IFERROR(INDEX('Прайс-лист'!$B$11:$B$310,MATCH(ROWS($A$16:A189),'Прайс-лист'!$U$11:$U$310,0)),"")</f>
        <v/>
      </c>
      <c r="D189" s="59">
        <f>IFERROR(INDEX('Прайс-лист'!$C$11:$C$310,MATCH(ROWS($A$16:A189),'Прайс-лист'!$U$11:$U$310,0)),"")</f>
        <v/>
      </c>
      <c r="E189" s="59">
        <f>IFERROR(INDEX('Прайс-лист'!$E$11:$E$310,MATCH(ROWS($A$16:A189),'Прайс-лист'!$U$11:$U$310,0)),"")</f>
        <v/>
      </c>
      <c r="F189" s="58">
        <f>IFERROR(INDEX('Прайс-лист'!$F$11:$F$310,MATCH(ROWS($A$16:A189),'Прайс-лист'!$U$11:$U$310,0)),"")</f>
        <v/>
      </c>
      <c r="G189" s="61">
        <f>IFERROR(INDEX('Прайс-лист'!$R$11:$R$310,MATCH(ROWS($A$16:A189),'Прайс-лист'!$U$11:$U$310,0)),"")</f>
        <v/>
      </c>
      <c r="H189" s="60">
        <f>IFERROR(INDEX('Прайс-лист'!$P$11:$P$310,MATCH(ROWS($A$16:A189),'Прайс-лист'!$U$11:$U$310,0)),"")</f>
        <v/>
      </c>
      <c r="I189" s="61">
        <f>IFERROR(INDEX('Прайс-лист'!$S$11:$S$310,MATCH(ROWS($A$16:A189),'Прайс-лист'!$U$11:$U$310,0)),"")</f>
        <v/>
      </c>
      <c r="J189" s="61">
        <f>IFERROR($I189*0.22,"")</f>
        <v/>
      </c>
      <c r="K189" s="61">
        <f>IFERROR($I189+$J189,"")</f>
        <v/>
      </c>
      <c r="L189" s="59">
        <f>IFERROR(INDEX('Прайс-лист'!$Q$11:$Q$310,MATCH(ROWS($A$16:A189),'Прайс-лист'!$U$11:$U$310,0)),"")</f>
        <v/>
      </c>
    </row>
    <row r="190" ht="13.5" customHeight="1" s="49">
      <c r="A190" s="64">
        <f>IFERROR(IF(INDEX('Прайс-лист'!$U$11:$U$310,MATCH(ROWS($A$16:A190),'Прайс-лист'!$U$11:$U$310,0))="","",ROWS($A$16:A190)),"")</f>
        <v/>
      </c>
      <c r="B190" s="58">
        <f>IFERROR(INDEX('Прайс-лист'!$A$11:$A$310,MATCH(ROWS($A$16:A190),'Прайс-лист'!$U$11:$U$310,0)),"")</f>
        <v/>
      </c>
      <c r="C190" s="58">
        <f>IFERROR(INDEX('Прайс-лист'!$B$11:$B$310,MATCH(ROWS($A$16:A190),'Прайс-лист'!$U$11:$U$310,0)),"")</f>
        <v/>
      </c>
      <c r="D190" s="59">
        <f>IFERROR(INDEX('Прайс-лист'!$C$11:$C$310,MATCH(ROWS($A$16:A190),'Прайс-лист'!$U$11:$U$310,0)),"")</f>
        <v/>
      </c>
      <c r="E190" s="59">
        <f>IFERROR(INDEX('Прайс-лист'!$E$11:$E$310,MATCH(ROWS($A$16:A190),'Прайс-лист'!$U$11:$U$310,0)),"")</f>
        <v/>
      </c>
      <c r="F190" s="58">
        <f>IFERROR(INDEX('Прайс-лист'!$F$11:$F$310,MATCH(ROWS($A$16:A190),'Прайс-лист'!$U$11:$U$310,0)),"")</f>
        <v/>
      </c>
      <c r="G190" s="61">
        <f>IFERROR(INDEX('Прайс-лист'!$R$11:$R$310,MATCH(ROWS($A$16:A190),'Прайс-лист'!$U$11:$U$310,0)),"")</f>
        <v/>
      </c>
      <c r="H190" s="60">
        <f>IFERROR(INDEX('Прайс-лист'!$P$11:$P$310,MATCH(ROWS($A$16:A190),'Прайс-лист'!$U$11:$U$310,0)),"")</f>
        <v/>
      </c>
      <c r="I190" s="61">
        <f>IFERROR(INDEX('Прайс-лист'!$S$11:$S$310,MATCH(ROWS($A$16:A190),'Прайс-лист'!$U$11:$U$310,0)),"")</f>
        <v/>
      </c>
      <c r="J190" s="61">
        <f>IFERROR($I190*0.22,"")</f>
        <v/>
      </c>
      <c r="K190" s="61">
        <f>IFERROR($I190+$J190,"")</f>
        <v/>
      </c>
      <c r="L190" s="59">
        <f>IFERROR(INDEX('Прайс-лист'!$Q$11:$Q$310,MATCH(ROWS($A$16:A190),'Прайс-лист'!$U$11:$U$310,0)),"")</f>
        <v/>
      </c>
    </row>
    <row r="191" ht="13.5" customHeight="1" s="49">
      <c r="A191" s="64">
        <f>IFERROR(IF(INDEX('Прайс-лист'!$U$11:$U$310,MATCH(ROWS($A$16:A191),'Прайс-лист'!$U$11:$U$310,0))="","",ROWS($A$16:A191)),"")</f>
        <v/>
      </c>
      <c r="B191" s="58">
        <f>IFERROR(INDEX('Прайс-лист'!$A$11:$A$310,MATCH(ROWS($A$16:A191),'Прайс-лист'!$U$11:$U$310,0)),"")</f>
        <v/>
      </c>
      <c r="C191" s="58">
        <f>IFERROR(INDEX('Прайс-лист'!$B$11:$B$310,MATCH(ROWS($A$16:A191),'Прайс-лист'!$U$11:$U$310,0)),"")</f>
        <v/>
      </c>
      <c r="D191" s="59">
        <f>IFERROR(INDEX('Прайс-лист'!$C$11:$C$310,MATCH(ROWS($A$16:A191),'Прайс-лист'!$U$11:$U$310,0)),"")</f>
        <v/>
      </c>
      <c r="E191" s="59">
        <f>IFERROR(INDEX('Прайс-лист'!$E$11:$E$310,MATCH(ROWS($A$16:A191),'Прайс-лист'!$U$11:$U$310,0)),"")</f>
        <v/>
      </c>
      <c r="F191" s="58">
        <f>IFERROR(INDEX('Прайс-лист'!$F$11:$F$310,MATCH(ROWS($A$16:A191),'Прайс-лист'!$U$11:$U$310,0)),"")</f>
        <v/>
      </c>
      <c r="G191" s="61">
        <f>IFERROR(INDEX('Прайс-лист'!$R$11:$R$310,MATCH(ROWS($A$16:A191),'Прайс-лист'!$U$11:$U$310,0)),"")</f>
        <v/>
      </c>
      <c r="H191" s="60">
        <f>IFERROR(INDEX('Прайс-лист'!$P$11:$P$310,MATCH(ROWS($A$16:A191),'Прайс-лист'!$U$11:$U$310,0)),"")</f>
        <v/>
      </c>
      <c r="I191" s="61">
        <f>IFERROR(INDEX('Прайс-лист'!$S$11:$S$310,MATCH(ROWS($A$16:A191),'Прайс-лист'!$U$11:$U$310,0)),"")</f>
        <v/>
      </c>
      <c r="J191" s="61">
        <f>IFERROR($I191*0.22,"")</f>
        <v/>
      </c>
      <c r="K191" s="61">
        <f>IFERROR($I191+$J191,"")</f>
        <v/>
      </c>
      <c r="L191" s="59">
        <f>IFERROR(INDEX('Прайс-лист'!$Q$11:$Q$310,MATCH(ROWS($A$16:A191),'Прайс-лист'!$U$11:$U$310,0)),"")</f>
        <v/>
      </c>
    </row>
    <row r="192" ht="13.5" customHeight="1" s="49">
      <c r="A192" s="64">
        <f>IFERROR(IF(INDEX('Прайс-лист'!$U$11:$U$310,MATCH(ROWS($A$16:A192),'Прайс-лист'!$U$11:$U$310,0))="","",ROWS($A$16:A192)),"")</f>
        <v/>
      </c>
      <c r="B192" s="58">
        <f>IFERROR(INDEX('Прайс-лист'!$A$11:$A$310,MATCH(ROWS($A$16:A192),'Прайс-лист'!$U$11:$U$310,0)),"")</f>
        <v/>
      </c>
      <c r="C192" s="58">
        <f>IFERROR(INDEX('Прайс-лист'!$B$11:$B$310,MATCH(ROWS($A$16:A192),'Прайс-лист'!$U$11:$U$310,0)),"")</f>
        <v/>
      </c>
      <c r="D192" s="59">
        <f>IFERROR(INDEX('Прайс-лист'!$C$11:$C$310,MATCH(ROWS($A$16:A192),'Прайс-лист'!$U$11:$U$310,0)),"")</f>
        <v/>
      </c>
      <c r="E192" s="59">
        <f>IFERROR(INDEX('Прайс-лист'!$E$11:$E$310,MATCH(ROWS($A$16:A192),'Прайс-лист'!$U$11:$U$310,0)),"")</f>
        <v/>
      </c>
      <c r="F192" s="58">
        <f>IFERROR(INDEX('Прайс-лист'!$F$11:$F$310,MATCH(ROWS($A$16:A192),'Прайс-лист'!$U$11:$U$310,0)),"")</f>
        <v/>
      </c>
      <c r="G192" s="61">
        <f>IFERROR(INDEX('Прайс-лист'!$R$11:$R$310,MATCH(ROWS($A$16:A192),'Прайс-лист'!$U$11:$U$310,0)),"")</f>
        <v/>
      </c>
      <c r="H192" s="60">
        <f>IFERROR(INDEX('Прайс-лист'!$P$11:$P$310,MATCH(ROWS($A$16:A192),'Прайс-лист'!$U$11:$U$310,0)),"")</f>
        <v/>
      </c>
      <c r="I192" s="61">
        <f>IFERROR(INDEX('Прайс-лист'!$S$11:$S$310,MATCH(ROWS($A$16:A192),'Прайс-лист'!$U$11:$U$310,0)),"")</f>
        <v/>
      </c>
      <c r="J192" s="61">
        <f>IFERROR($I192*0.22,"")</f>
        <v/>
      </c>
      <c r="K192" s="61">
        <f>IFERROR($I192+$J192,"")</f>
        <v/>
      </c>
      <c r="L192" s="59">
        <f>IFERROR(INDEX('Прайс-лист'!$Q$11:$Q$310,MATCH(ROWS($A$16:A192),'Прайс-лист'!$U$11:$U$310,0)),"")</f>
        <v/>
      </c>
    </row>
    <row r="193" ht="13.5" customHeight="1" s="49">
      <c r="A193" s="64">
        <f>IFERROR(IF(INDEX('Прайс-лист'!$U$11:$U$310,MATCH(ROWS($A$16:A193),'Прайс-лист'!$U$11:$U$310,0))="","",ROWS($A$16:A193)),"")</f>
        <v/>
      </c>
      <c r="B193" s="58">
        <f>IFERROR(INDEX('Прайс-лист'!$A$11:$A$310,MATCH(ROWS($A$16:A193),'Прайс-лист'!$U$11:$U$310,0)),"")</f>
        <v/>
      </c>
      <c r="C193" s="58">
        <f>IFERROR(INDEX('Прайс-лист'!$B$11:$B$310,MATCH(ROWS($A$16:A193),'Прайс-лист'!$U$11:$U$310,0)),"")</f>
        <v/>
      </c>
      <c r="D193" s="59">
        <f>IFERROR(INDEX('Прайс-лист'!$C$11:$C$310,MATCH(ROWS($A$16:A193),'Прайс-лист'!$U$11:$U$310,0)),"")</f>
        <v/>
      </c>
      <c r="E193" s="59">
        <f>IFERROR(INDEX('Прайс-лист'!$E$11:$E$310,MATCH(ROWS($A$16:A193),'Прайс-лист'!$U$11:$U$310,0)),"")</f>
        <v/>
      </c>
      <c r="F193" s="58">
        <f>IFERROR(INDEX('Прайс-лист'!$F$11:$F$310,MATCH(ROWS($A$16:A193),'Прайс-лист'!$U$11:$U$310,0)),"")</f>
        <v/>
      </c>
      <c r="G193" s="61">
        <f>IFERROR(INDEX('Прайс-лист'!$R$11:$R$310,MATCH(ROWS($A$16:A193),'Прайс-лист'!$U$11:$U$310,0)),"")</f>
        <v/>
      </c>
      <c r="H193" s="60">
        <f>IFERROR(INDEX('Прайс-лист'!$P$11:$P$310,MATCH(ROWS($A$16:A193),'Прайс-лист'!$U$11:$U$310,0)),"")</f>
        <v/>
      </c>
      <c r="I193" s="61">
        <f>IFERROR(INDEX('Прайс-лист'!$S$11:$S$310,MATCH(ROWS($A$16:A193),'Прайс-лист'!$U$11:$U$310,0)),"")</f>
        <v/>
      </c>
      <c r="J193" s="61">
        <f>IFERROR($I193*0.22,"")</f>
        <v/>
      </c>
      <c r="K193" s="61">
        <f>IFERROR($I193+$J193,"")</f>
        <v/>
      </c>
      <c r="L193" s="59">
        <f>IFERROR(INDEX('Прайс-лист'!$Q$11:$Q$310,MATCH(ROWS($A$16:A193),'Прайс-лист'!$U$11:$U$310,0)),"")</f>
        <v/>
      </c>
    </row>
    <row r="194" ht="13.5" customHeight="1" s="49">
      <c r="A194" s="64">
        <f>IFERROR(IF(INDEX('Прайс-лист'!$U$11:$U$310,MATCH(ROWS($A$16:A194),'Прайс-лист'!$U$11:$U$310,0))="","",ROWS($A$16:A194)),"")</f>
        <v/>
      </c>
      <c r="B194" s="58">
        <f>IFERROR(INDEX('Прайс-лист'!$A$11:$A$310,MATCH(ROWS($A$16:A194),'Прайс-лист'!$U$11:$U$310,0)),"")</f>
        <v/>
      </c>
      <c r="C194" s="58">
        <f>IFERROR(INDEX('Прайс-лист'!$B$11:$B$310,MATCH(ROWS($A$16:A194),'Прайс-лист'!$U$11:$U$310,0)),"")</f>
        <v/>
      </c>
      <c r="D194" s="59">
        <f>IFERROR(INDEX('Прайс-лист'!$C$11:$C$310,MATCH(ROWS($A$16:A194),'Прайс-лист'!$U$11:$U$310,0)),"")</f>
        <v/>
      </c>
      <c r="E194" s="59">
        <f>IFERROR(INDEX('Прайс-лист'!$E$11:$E$310,MATCH(ROWS($A$16:A194),'Прайс-лист'!$U$11:$U$310,0)),"")</f>
        <v/>
      </c>
      <c r="F194" s="58">
        <f>IFERROR(INDEX('Прайс-лист'!$F$11:$F$310,MATCH(ROWS($A$16:A194),'Прайс-лист'!$U$11:$U$310,0)),"")</f>
        <v/>
      </c>
      <c r="G194" s="61">
        <f>IFERROR(INDEX('Прайс-лист'!$R$11:$R$310,MATCH(ROWS($A$16:A194),'Прайс-лист'!$U$11:$U$310,0)),"")</f>
        <v/>
      </c>
      <c r="H194" s="60">
        <f>IFERROR(INDEX('Прайс-лист'!$P$11:$P$310,MATCH(ROWS($A$16:A194),'Прайс-лист'!$U$11:$U$310,0)),"")</f>
        <v/>
      </c>
      <c r="I194" s="61">
        <f>IFERROR(INDEX('Прайс-лист'!$S$11:$S$310,MATCH(ROWS($A$16:A194),'Прайс-лист'!$U$11:$U$310,0)),"")</f>
        <v/>
      </c>
      <c r="J194" s="61">
        <f>IFERROR($I194*0.22,"")</f>
        <v/>
      </c>
      <c r="K194" s="61">
        <f>IFERROR($I194+$J194,"")</f>
        <v/>
      </c>
      <c r="L194" s="59">
        <f>IFERROR(INDEX('Прайс-лист'!$Q$11:$Q$310,MATCH(ROWS($A$16:A194),'Прайс-лист'!$U$11:$U$310,0)),"")</f>
        <v/>
      </c>
    </row>
    <row r="195" ht="13.5" customHeight="1" s="49">
      <c r="A195" s="64">
        <f>IFERROR(IF(INDEX('Прайс-лист'!$U$11:$U$310,MATCH(ROWS($A$16:A195),'Прайс-лист'!$U$11:$U$310,0))="","",ROWS($A$16:A195)),"")</f>
        <v/>
      </c>
      <c r="B195" s="58">
        <f>IFERROR(INDEX('Прайс-лист'!$A$11:$A$310,MATCH(ROWS($A$16:A195),'Прайс-лист'!$U$11:$U$310,0)),"")</f>
        <v/>
      </c>
      <c r="C195" s="58">
        <f>IFERROR(INDEX('Прайс-лист'!$B$11:$B$310,MATCH(ROWS($A$16:A195),'Прайс-лист'!$U$11:$U$310,0)),"")</f>
        <v/>
      </c>
      <c r="D195" s="59">
        <f>IFERROR(INDEX('Прайс-лист'!$C$11:$C$310,MATCH(ROWS($A$16:A195),'Прайс-лист'!$U$11:$U$310,0)),"")</f>
        <v/>
      </c>
      <c r="E195" s="59">
        <f>IFERROR(INDEX('Прайс-лист'!$E$11:$E$310,MATCH(ROWS($A$16:A195),'Прайс-лист'!$U$11:$U$310,0)),"")</f>
        <v/>
      </c>
      <c r="F195" s="58">
        <f>IFERROR(INDEX('Прайс-лист'!$F$11:$F$310,MATCH(ROWS($A$16:A195),'Прайс-лист'!$U$11:$U$310,0)),"")</f>
        <v/>
      </c>
      <c r="G195" s="61">
        <f>IFERROR(INDEX('Прайс-лист'!$R$11:$R$310,MATCH(ROWS($A$16:A195),'Прайс-лист'!$U$11:$U$310,0)),"")</f>
        <v/>
      </c>
      <c r="H195" s="60">
        <f>IFERROR(INDEX('Прайс-лист'!$P$11:$P$310,MATCH(ROWS($A$16:A195),'Прайс-лист'!$U$11:$U$310,0)),"")</f>
        <v/>
      </c>
      <c r="I195" s="61">
        <f>IFERROR(INDEX('Прайс-лист'!$S$11:$S$310,MATCH(ROWS($A$16:A195),'Прайс-лист'!$U$11:$U$310,0)),"")</f>
        <v/>
      </c>
      <c r="J195" s="61">
        <f>IFERROR($I195*0.22,"")</f>
        <v/>
      </c>
      <c r="K195" s="61">
        <f>IFERROR($I195+$J195,"")</f>
        <v/>
      </c>
      <c r="L195" s="59">
        <f>IFERROR(INDEX('Прайс-лист'!$Q$11:$Q$310,MATCH(ROWS($A$16:A195),'Прайс-лист'!$U$11:$U$310,0)),"")</f>
        <v/>
      </c>
    </row>
    <row r="196" ht="13.5" customHeight="1" s="49">
      <c r="A196" s="64">
        <f>IFERROR(IF(INDEX('Прайс-лист'!$U$11:$U$310,MATCH(ROWS($A$16:A196),'Прайс-лист'!$U$11:$U$310,0))="","",ROWS($A$16:A196)),"")</f>
        <v/>
      </c>
      <c r="B196" s="58">
        <f>IFERROR(INDEX('Прайс-лист'!$A$11:$A$310,MATCH(ROWS($A$16:A196),'Прайс-лист'!$U$11:$U$310,0)),"")</f>
        <v/>
      </c>
      <c r="C196" s="58">
        <f>IFERROR(INDEX('Прайс-лист'!$B$11:$B$310,MATCH(ROWS($A$16:A196),'Прайс-лист'!$U$11:$U$310,0)),"")</f>
        <v/>
      </c>
      <c r="D196" s="59">
        <f>IFERROR(INDEX('Прайс-лист'!$C$11:$C$310,MATCH(ROWS($A$16:A196),'Прайс-лист'!$U$11:$U$310,0)),"")</f>
        <v/>
      </c>
      <c r="E196" s="59">
        <f>IFERROR(INDEX('Прайс-лист'!$E$11:$E$310,MATCH(ROWS($A$16:A196),'Прайс-лист'!$U$11:$U$310,0)),"")</f>
        <v/>
      </c>
      <c r="F196" s="58">
        <f>IFERROR(INDEX('Прайс-лист'!$F$11:$F$310,MATCH(ROWS($A$16:A196),'Прайс-лист'!$U$11:$U$310,0)),"")</f>
        <v/>
      </c>
      <c r="G196" s="61">
        <f>IFERROR(INDEX('Прайс-лист'!$R$11:$R$310,MATCH(ROWS($A$16:A196),'Прайс-лист'!$U$11:$U$310,0)),"")</f>
        <v/>
      </c>
      <c r="H196" s="60">
        <f>IFERROR(INDEX('Прайс-лист'!$P$11:$P$310,MATCH(ROWS($A$16:A196),'Прайс-лист'!$U$11:$U$310,0)),"")</f>
        <v/>
      </c>
      <c r="I196" s="61">
        <f>IFERROR(INDEX('Прайс-лист'!$S$11:$S$310,MATCH(ROWS($A$16:A196),'Прайс-лист'!$U$11:$U$310,0)),"")</f>
        <v/>
      </c>
      <c r="J196" s="61">
        <f>IFERROR($I196*0.22,"")</f>
        <v/>
      </c>
      <c r="K196" s="61">
        <f>IFERROR($I196+$J196,"")</f>
        <v/>
      </c>
      <c r="L196" s="59">
        <f>IFERROR(INDEX('Прайс-лист'!$Q$11:$Q$310,MATCH(ROWS($A$16:A196),'Прайс-лист'!$U$11:$U$310,0)),"")</f>
        <v/>
      </c>
    </row>
    <row r="197" ht="13.5" customHeight="1" s="49">
      <c r="A197" s="64">
        <f>IFERROR(IF(INDEX('Прайс-лист'!$U$11:$U$310,MATCH(ROWS($A$16:A197),'Прайс-лист'!$U$11:$U$310,0))="","",ROWS($A$16:A197)),"")</f>
        <v/>
      </c>
      <c r="B197" s="58">
        <f>IFERROR(INDEX('Прайс-лист'!$A$11:$A$310,MATCH(ROWS($A$16:A197),'Прайс-лист'!$U$11:$U$310,0)),"")</f>
        <v/>
      </c>
      <c r="C197" s="58">
        <f>IFERROR(INDEX('Прайс-лист'!$B$11:$B$310,MATCH(ROWS($A$16:A197),'Прайс-лист'!$U$11:$U$310,0)),"")</f>
        <v/>
      </c>
      <c r="D197" s="59">
        <f>IFERROR(INDEX('Прайс-лист'!$C$11:$C$310,MATCH(ROWS($A$16:A197),'Прайс-лист'!$U$11:$U$310,0)),"")</f>
        <v/>
      </c>
      <c r="E197" s="59">
        <f>IFERROR(INDEX('Прайс-лист'!$E$11:$E$310,MATCH(ROWS($A$16:A197),'Прайс-лист'!$U$11:$U$310,0)),"")</f>
        <v/>
      </c>
      <c r="F197" s="58">
        <f>IFERROR(INDEX('Прайс-лист'!$F$11:$F$310,MATCH(ROWS($A$16:A197),'Прайс-лист'!$U$11:$U$310,0)),"")</f>
        <v/>
      </c>
      <c r="G197" s="61">
        <f>IFERROR(INDEX('Прайс-лист'!$R$11:$R$310,MATCH(ROWS($A$16:A197),'Прайс-лист'!$U$11:$U$310,0)),"")</f>
        <v/>
      </c>
      <c r="H197" s="60">
        <f>IFERROR(INDEX('Прайс-лист'!$P$11:$P$310,MATCH(ROWS($A$16:A197),'Прайс-лист'!$U$11:$U$310,0)),"")</f>
        <v/>
      </c>
      <c r="I197" s="61">
        <f>IFERROR(INDEX('Прайс-лист'!$S$11:$S$310,MATCH(ROWS($A$16:A197),'Прайс-лист'!$U$11:$U$310,0)),"")</f>
        <v/>
      </c>
      <c r="J197" s="61">
        <f>IFERROR($I197*0.22,"")</f>
        <v/>
      </c>
      <c r="K197" s="61">
        <f>IFERROR($I197+$J197,"")</f>
        <v/>
      </c>
      <c r="L197" s="59">
        <f>IFERROR(INDEX('Прайс-лист'!$Q$11:$Q$310,MATCH(ROWS($A$16:A197),'Прайс-лист'!$U$11:$U$310,0)),"")</f>
        <v/>
      </c>
    </row>
    <row r="198" ht="13.5" customHeight="1" s="49">
      <c r="A198" s="64">
        <f>IFERROR(IF(INDEX('Прайс-лист'!$U$11:$U$310,MATCH(ROWS($A$16:A198),'Прайс-лист'!$U$11:$U$310,0))="","",ROWS($A$16:A198)),"")</f>
        <v/>
      </c>
      <c r="B198" s="58">
        <f>IFERROR(INDEX('Прайс-лист'!$A$11:$A$310,MATCH(ROWS($A$16:A198),'Прайс-лист'!$U$11:$U$310,0)),"")</f>
        <v/>
      </c>
      <c r="C198" s="58">
        <f>IFERROR(INDEX('Прайс-лист'!$B$11:$B$310,MATCH(ROWS($A$16:A198),'Прайс-лист'!$U$11:$U$310,0)),"")</f>
        <v/>
      </c>
      <c r="D198" s="59">
        <f>IFERROR(INDEX('Прайс-лист'!$C$11:$C$310,MATCH(ROWS($A$16:A198),'Прайс-лист'!$U$11:$U$310,0)),"")</f>
        <v/>
      </c>
      <c r="E198" s="59">
        <f>IFERROR(INDEX('Прайс-лист'!$E$11:$E$310,MATCH(ROWS($A$16:A198),'Прайс-лист'!$U$11:$U$310,0)),"")</f>
        <v/>
      </c>
      <c r="F198" s="58">
        <f>IFERROR(INDEX('Прайс-лист'!$F$11:$F$310,MATCH(ROWS($A$16:A198),'Прайс-лист'!$U$11:$U$310,0)),"")</f>
        <v/>
      </c>
      <c r="G198" s="61">
        <f>IFERROR(INDEX('Прайс-лист'!$R$11:$R$310,MATCH(ROWS($A$16:A198),'Прайс-лист'!$U$11:$U$310,0)),"")</f>
        <v/>
      </c>
      <c r="H198" s="60">
        <f>IFERROR(INDEX('Прайс-лист'!$P$11:$P$310,MATCH(ROWS($A$16:A198),'Прайс-лист'!$U$11:$U$310,0)),"")</f>
        <v/>
      </c>
      <c r="I198" s="61">
        <f>IFERROR(INDEX('Прайс-лист'!$S$11:$S$310,MATCH(ROWS($A$16:A198),'Прайс-лист'!$U$11:$U$310,0)),"")</f>
        <v/>
      </c>
      <c r="J198" s="61">
        <f>IFERROR($I198*0.22,"")</f>
        <v/>
      </c>
      <c r="K198" s="61">
        <f>IFERROR($I198+$J198,"")</f>
        <v/>
      </c>
      <c r="L198" s="59">
        <f>IFERROR(INDEX('Прайс-лист'!$Q$11:$Q$310,MATCH(ROWS($A$16:A198),'Прайс-лист'!$U$11:$U$310,0)),"")</f>
        <v/>
      </c>
    </row>
    <row r="199" ht="13.5" customHeight="1" s="49">
      <c r="A199" s="64">
        <f>IFERROR(IF(INDEX('Прайс-лист'!$U$11:$U$310,MATCH(ROWS($A$16:A199),'Прайс-лист'!$U$11:$U$310,0))="","",ROWS($A$16:A199)),"")</f>
        <v/>
      </c>
      <c r="B199" s="58">
        <f>IFERROR(INDEX('Прайс-лист'!$A$11:$A$310,MATCH(ROWS($A$16:A199),'Прайс-лист'!$U$11:$U$310,0)),"")</f>
        <v/>
      </c>
      <c r="C199" s="58">
        <f>IFERROR(INDEX('Прайс-лист'!$B$11:$B$310,MATCH(ROWS($A$16:A199),'Прайс-лист'!$U$11:$U$310,0)),"")</f>
        <v/>
      </c>
      <c r="D199" s="59">
        <f>IFERROR(INDEX('Прайс-лист'!$C$11:$C$310,MATCH(ROWS($A$16:A199),'Прайс-лист'!$U$11:$U$310,0)),"")</f>
        <v/>
      </c>
      <c r="E199" s="59">
        <f>IFERROR(INDEX('Прайс-лист'!$E$11:$E$310,MATCH(ROWS($A$16:A199),'Прайс-лист'!$U$11:$U$310,0)),"")</f>
        <v/>
      </c>
      <c r="F199" s="58">
        <f>IFERROR(INDEX('Прайс-лист'!$F$11:$F$310,MATCH(ROWS($A$16:A199),'Прайс-лист'!$U$11:$U$310,0)),"")</f>
        <v/>
      </c>
      <c r="G199" s="61">
        <f>IFERROR(INDEX('Прайс-лист'!$R$11:$R$310,MATCH(ROWS($A$16:A199),'Прайс-лист'!$U$11:$U$310,0)),"")</f>
        <v/>
      </c>
      <c r="H199" s="60">
        <f>IFERROR(INDEX('Прайс-лист'!$P$11:$P$310,MATCH(ROWS($A$16:A199),'Прайс-лист'!$U$11:$U$310,0)),"")</f>
        <v/>
      </c>
      <c r="I199" s="61">
        <f>IFERROR(INDEX('Прайс-лист'!$S$11:$S$310,MATCH(ROWS($A$16:A199),'Прайс-лист'!$U$11:$U$310,0)),"")</f>
        <v/>
      </c>
      <c r="J199" s="61">
        <f>IFERROR($I199*0.22,"")</f>
        <v/>
      </c>
      <c r="K199" s="61">
        <f>IFERROR($I199+$J199,"")</f>
        <v/>
      </c>
      <c r="L199" s="59">
        <f>IFERROR(INDEX('Прайс-лист'!$Q$11:$Q$310,MATCH(ROWS($A$16:A199),'Прайс-лист'!$U$11:$U$310,0)),"")</f>
        <v/>
      </c>
    </row>
    <row r="200" ht="13.5" customHeight="1" s="49">
      <c r="A200" s="64">
        <f>IFERROR(IF(INDEX('Прайс-лист'!$U$11:$U$310,MATCH(ROWS($A$16:A200),'Прайс-лист'!$U$11:$U$310,0))="","",ROWS($A$16:A200)),"")</f>
        <v/>
      </c>
      <c r="B200" s="58">
        <f>IFERROR(INDEX('Прайс-лист'!$A$11:$A$310,MATCH(ROWS($A$16:A200),'Прайс-лист'!$U$11:$U$310,0)),"")</f>
        <v/>
      </c>
      <c r="C200" s="58">
        <f>IFERROR(INDEX('Прайс-лист'!$B$11:$B$310,MATCH(ROWS($A$16:A200),'Прайс-лист'!$U$11:$U$310,0)),"")</f>
        <v/>
      </c>
      <c r="D200" s="59">
        <f>IFERROR(INDEX('Прайс-лист'!$C$11:$C$310,MATCH(ROWS($A$16:A200),'Прайс-лист'!$U$11:$U$310,0)),"")</f>
        <v/>
      </c>
      <c r="E200" s="59">
        <f>IFERROR(INDEX('Прайс-лист'!$E$11:$E$310,MATCH(ROWS($A$16:A200),'Прайс-лист'!$U$11:$U$310,0)),"")</f>
        <v/>
      </c>
      <c r="F200" s="58">
        <f>IFERROR(INDEX('Прайс-лист'!$F$11:$F$310,MATCH(ROWS($A$16:A200),'Прайс-лист'!$U$11:$U$310,0)),"")</f>
        <v/>
      </c>
      <c r="G200" s="61">
        <f>IFERROR(INDEX('Прайс-лист'!$R$11:$R$310,MATCH(ROWS($A$16:A200),'Прайс-лист'!$U$11:$U$310,0)),"")</f>
        <v/>
      </c>
      <c r="H200" s="60">
        <f>IFERROR(INDEX('Прайс-лист'!$P$11:$P$310,MATCH(ROWS($A$16:A200),'Прайс-лист'!$U$11:$U$310,0)),"")</f>
        <v/>
      </c>
      <c r="I200" s="61">
        <f>IFERROR(INDEX('Прайс-лист'!$S$11:$S$310,MATCH(ROWS($A$16:A200),'Прайс-лист'!$U$11:$U$310,0)),"")</f>
        <v/>
      </c>
      <c r="J200" s="61">
        <f>IFERROR($I200*0.22,"")</f>
        <v/>
      </c>
      <c r="K200" s="61">
        <f>IFERROR($I200+$J200,"")</f>
        <v/>
      </c>
      <c r="L200" s="59">
        <f>IFERROR(INDEX('Прайс-лист'!$Q$11:$Q$310,MATCH(ROWS($A$16:A200),'Прайс-лист'!$U$11:$U$310,0)),"")</f>
        <v/>
      </c>
    </row>
    <row r="201" ht="13.5" customHeight="1" s="49">
      <c r="A201" s="64">
        <f>IFERROR(IF(INDEX('Прайс-лист'!$U$11:$U$310,MATCH(ROWS($A$16:A201),'Прайс-лист'!$U$11:$U$310,0))="","",ROWS($A$16:A201)),"")</f>
        <v/>
      </c>
      <c r="B201" s="58">
        <f>IFERROR(INDEX('Прайс-лист'!$A$11:$A$310,MATCH(ROWS($A$16:A201),'Прайс-лист'!$U$11:$U$310,0)),"")</f>
        <v/>
      </c>
      <c r="C201" s="58">
        <f>IFERROR(INDEX('Прайс-лист'!$B$11:$B$310,MATCH(ROWS($A$16:A201),'Прайс-лист'!$U$11:$U$310,0)),"")</f>
        <v/>
      </c>
      <c r="D201" s="59">
        <f>IFERROR(INDEX('Прайс-лист'!$C$11:$C$310,MATCH(ROWS($A$16:A201),'Прайс-лист'!$U$11:$U$310,0)),"")</f>
        <v/>
      </c>
      <c r="E201" s="59">
        <f>IFERROR(INDEX('Прайс-лист'!$E$11:$E$310,MATCH(ROWS($A$16:A201),'Прайс-лист'!$U$11:$U$310,0)),"")</f>
        <v/>
      </c>
      <c r="F201" s="58">
        <f>IFERROR(INDEX('Прайс-лист'!$F$11:$F$310,MATCH(ROWS($A$16:A201),'Прайс-лист'!$U$11:$U$310,0)),"")</f>
        <v/>
      </c>
      <c r="G201" s="61">
        <f>IFERROR(INDEX('Прайс-лист'!$R$11:$R$310,MATCH(ROWS($A$16:A201),'Прайс-лист'!$U$11:$U$310,0)),"")</f>
        <v/>
      </c>
      <c r="H201" s="60">
        <f>IFERROR(INDEX('Прайс-лист'!$P$11:$P$310,MATCH(ROWS($A$16:A201),'Прайс-лист'!$U$11:$U$310,0)),"")</f>
        <v/>
      </c>
      <c r="I201" s="61">
        <f>IFERROR(INDEX('Прайс-лист'!$S$11:$S$310,MATCH(ROWS($A$16:A201),'Прайс-лист'!$U$11:$U$310,0)),"")</f>
        <v/>
      </c>
      <c r="J201" s="61">
        <f>IFERROR($I201*0.22,"")</f>
        <v/>
      </c>
      <c r="K201" s="61">
        <f>IFERROR($I201+$J201,"")</f>
        <v/>
      </c>
      <c r="L201" s="59">
        <f>IFERROR(INDEX('Прайс-лист'!$Q$11:$Q$310,MATCH(ROWS($A$16:A201),'Прайс-лист'!$U$11:$U$310,0)),"")</f>
        <v/>
      </c>
    </row>
    <row r="202" ht="13.5" customHeight="1" s="49">
      <c r="A202" s="64">
        <f>IFERROR(IF(INDEX('Прайс-лист'!$U$11:$U$310,MATCH(ROWS($A$16:A202),'Прайс-лист'!$U$11:$U$310,0))="","",ROWS($A$16:A202)),"")</f>
        <v/>
      </c>
      <c r="B202" s="58">
        <f>IFERROR(INDEX('Прайс-лист'!$A$11:$A$310,MATCH(ROWS($A$16:A202),'Прайс-лист'!$U$11:$U$310,0)),"")</f>
        <v/>
      </c>
      <c r="C202" s="58">
        <f>IFERROR(INDEX('Прайс-лист'!$B$11:$B$310,MATCH(ROWS($A$16:A202),'Прайс-лист'!$U$11:$U$310,0)),"")</f>
        <v/>
      </c>
      <c r="D202" s="59">
        <f>IFERROR(INDEX('Прайс-лист'!$C$11:$C$310,MATCH(ROWS($A$16:A202),'Прайс-лист'!$U$11:$U$310,0)),"")</f>
        <v/>
      </c>
      <c r="E202" s="59">
        <f>IFERROR(INDEX('Прайс-лист'!$E$11:$E$310,MATCH(ROWS($A$16:A202),'Прайс-лист'!$U$11:$U$310,0)),"")</f>
        <v/>
      </c>
      <c r="F202" s="58">
        <f>IFERROR(INDEX('Прайс-лист'!$F$11:$F$310,MATCH(ROWS($A$16:A202),'Прайс-лист'!$U$11:$U$310,0)),"")</f>
        <v/>
      </c>
      <c r="G202" s="61">
        <f>IFERROR(INDEX('Прайс-лист'!$R$11:$R$310,MATCH(ROWS($A$16:A202),'Прайс-лист'!$U$11:$U$310,0)),"")</f>
        <v/>
      </c>
      <c r="H202" s="60">
        <f>IFERROR(INDEX('Прайс-лист'!$P$11:$P$310,MATCH(ROWS($A$16:A202),'Прайс-лист'!$U$11:$U$310,0)),"")</f>
        <v/>
      </c>
      <c r="I202" s="61">
        <f>IFERROR(INDEX('Прайс-лист'!$S$11:$S$310,MATCH(ROWS($A$16:A202),'Прайс-лист'!$U$11:$U$310,0)),"")</f>
        <v/>
      </c>
      <c r="J202" s="61">
        <f>IFERROR($I202*0.22,"")</f>
        <v/>
      </c>
      <c r="K202" s="61">
        <f>IFERROR($I202+$J202,"")</f>
        <v/>
      </c>
      <c r="L202" s="59">
        <f>IFERROR(INDEX('Прайс-лист'!$Q$11:$Q$310,MATCH(ROWS($A$16:A202),'Прайс-лист'!$U$11:$U$310,0)),"")</f>
        <v/>
      </c>
    </row>
    <row r="203" ht="13.5" customHeight="1" s="49">
      <c r="A203" s="64">
        <f>IFERROR(IF(INDEX('Прайс-лист'!$U$11:$U$310,MATCH(ROWS($A$16:A203),'Прайс-лист'!$U$11:$U$310,0))="","",ROWS($A$16:A203)),"")</f>
        <v/>
      </c>
      <c r="B203" s="58">
        <f>IFERROR(INDEX('Прайс-лист'!$A$11:$A$310,MATCH(ROWS($A$16:A203),'Прайс-лист'!$U$11:$U$310,0)),"")</f>
        <v/>
      </c>
      <c r="C203" s="58">
        <f>IFERROR(INDEX('Прайс-лист'!$B$11:$B$310,MATCH(ROWS($A$16:A203),'Прайс-лист'!$U$11:$U$310,0)),"")</f>
        <v/>
      </c>
      <c r="D203" s="59">
        <f>IFERROR(INDEX('Прайс-лист'!$C$11:$C$310,MATCH(ROWS($A$16:A203),'Прайс-лист'!$U$11:$U$310,0)),"")</f>
        <v/>
      </c>
      <c r="E203" s="59">
        <f>IFERROR(INDEX('Прайс-лист'!$E$11:$E$310,MATCH(ROWS($A$16:A203),'Прайс-лист'!$U$11:$U$310,0)),"")</f>
        <v/>
      </c>
      <c r="F203" s="58">
        <f>IFERROR(INDEX('Прайс-лист'!$F$11:$F$310,MATCH(ROWS($A$16:A203),'Прайс-лист'!$U$11:$U$310,0)),"")</f>
        <v/>
      </c>
      <c r="G203" s="61">
        <f>IFERROR(INDEX('Прайс-лист'!$R$11:$R$310,MATCH(ROWS($A$16:A203),'Прайс-лист'!$U$11:$U$310,0)),"")</f>
        <v/>
      </c>
      <c r="H203" s="60">
        <f>IFERROR(INDEX('Прайс-лист'!$P$11:$P$310,MATCH(ROWS($A$16:A203),'Прайс-лист'!$U$11:$U$310,0)),"")</f>
        <v/>
      </c>
      <c r="I203" s="61">
        <f>IFERROR(INDEX('Прайс-лист'!$S$11:$S$310,MATCH(ROWS($A$16:A203),'Прайс-лист'!$U$11:$U$310,0)),"")</f>
        <v/>
      </c>
      <c r="J203" s="61">
        <f>IFERROR($I203*0.22,"")</f>
        <v/>
      </c>
      <c r="K203" s="61">
        <f>IFERROR($I203+$J203,"")</f>
        <v/>
      </c>
      <c r="L203" s="59">
        <f>IFERROR(INDEX('Прайс-лист'!$Q$11:$Q$310,MATCH(ROWS($A$16:A203),'Прайс-лист'!$U$11:$U$310,0)),"")</f>
        <v/>
      </c>
    </row>
    <row r="204" ht="13.5" customHeight="1" s="49">
      <c r="A204" s="64">
        <f>IFERROR(IF(INDEX('Прайс-лист'!$U$11:$U$310,MATCH(ROWS($A$16:A204),'Прайс-лист'!$U$11:$U$310,0))="","",ROWS($A$16:A204)),"")</f>
        <v/>
      </c>
      <c r="B204" s="58">
        <f>IFERROR(INDEX('Прайс-лист'!$A$11:$A$310,MATCH(ROWS($A$16:A204),'Прайс-лист'!$U$11:$U$310,0)),"")</f>
        <v/>
      </c>
      <c r="C204" s="58">
        <f>IFERROR(INDEX('Прайс-лист'!$B$11:$B$310,MATCH(ROWS($A$16:A204),'Прайс-лист'!$U$11:$U$310,0)),"")</f>
        <v/>
      </c>
      <c r="D204" s="59">
        <f>IFERROR(INDEX('Прайс-лист'!$C$11:$C$310,MATCH(ROWS($A$16:A204),'Прайс-лист'!$U$11:$U$310,0)),"")</f>
        <v/>
      </c>
      <c r="E204" s="59">
        <f>IFERROR(INDEX('Прайс-лист'!$E$11:$E$310,MATCH(ROWS($A$16:A204),'Прайс-лист'!$U$11:$U$310,0)),"")</f>
        <v/>
      </c>
      <c r="F204" s="58">
        <f>IFERROR(INDEX('Прайс-лист'!$F$11:$F$310,MATCH(ROWS($A$16:A204),'Прайс-лист'!$U$11:$U$310,0)),"")</f>
        <v/>
      </c>
      <c r="G204" s="61">
        <f>IFERROR(INDEX('Прайс-лист'!$R$11:$R$310,MATCH(ROWS($A$16:A204),'Прайс-лист'!$U$11:$U$310,0)),"")</f>
        <v/>
      </c>
      <c r="H204" s="60">
        <f>IFERROR(INDEX('Прайс-лист'!$P$11:$P$310,MATCH(ROWS($A$16:A204),'Прайс-лист'!$U$11:$U$310,0)),"")</f>
        <v/>
      </c>
      <c r="I204" s="61">
        <f>IFERROR(INDEX('Прайс-лист'!$S$11:$S$310,MATCH(ROWS($A$16:A204),'Прайс-лист'!$U$11:$U$310,0)),"")</f>
        <v/>
      </c>
      <c r="J204" s="61">
        <f>IFERROR($I204*0.22,"")</f>
        <v/>
      </c>
      <c r="K204" s="61">
        <f>IFERROR($I204+$J204,"")</f>
        <v/>
      </c>
      <c r="L204" s="59">
        <f>IFERROR(INDEX('Прайс-лист'!$Q$11:$Q$310,MATCH(ROWS($A$16:A204),'Прайс-лист'!$U$11:$U$310,0)),"")</f>
        <v/>
      </c>
    </row>
    <row r="205" ht="13.5" customHeight="1" s="49">
      <c r="A205" s="64">
        <f>IFERROR(IF(INDEX('Прайс-лист'!$U$11:$U$310,MATCH(ROWS($A$16:A205),'Прайс-лист'!$U$11:$U$310,0))="","",ROWS($A$16:A205)),"")</f>
        <v/>
      </c>
      <c r="B205" s="58">
        <f>IFERROR(INDEX('Прайс-лист'!$A$11:$A$310,MATCH(ROWS($A$16:A205),'Прайс-лист'!$U$11:$U$310,0)),"")</f>
        <v/>
      </c>
      <c r="C205" s="58">
        <f>IFERROR(INDEX('Прайс-лист'!$B$11:$B$310,MATCH(ROWS($A$16:A205),'Прайс-лист'!$U$11:$U$310,0)),"")</f>
        <v/>
      </c>
      <c r="D205" s="59">
        <f>IFERROR(INDEX('Прайс-лист'!$C$11:$C$310,MATCH(ROWS($A$16:A205),'Прайс-лист'!$U$11:$U$310,0)),"")</f>
        <v/>
      </c>
      <c r="E205" s="59">
        <f>IFERROR(INDEX('Прайс-лист'!$E$11:$E$310,MATCH(ROWS($A$16:A205),'Прайс-лист'!$U$11:$U$310,0)),"")</f>
        <v/>
      </c>
      <c r="F205" s="58">
        <f>IFERROR(INDEX('Прайс-лист'!$F$11:$F$310,MATCH(ROWS($A$16:A205),'Прайс-лист'!$U$11:$U$310,0)),"")</f>
        <v/>
      </c>
      <c r="G205" s="61">
        <f>IFERROR(INDEX('Прайс-лист'!$R$11:$R$310,MATCH(ROWS($A$16:A205),'Прайс-лист'!$U$11:$U$310,0)),"")</f>
        <v/>
      </c>
      <c r="H205" s="60">
        <f>IFERROR(INDEX('Прайс-лист'!$P$11:$P$310,MATCH(ROWS($A$16:A205),'Прайс-лист'!$U$11:$U$310,0)),"")</f>
        <v/>
      </c>
      <c r="I205" s="61">
        <f>IFERROR(INDEX('Прайс-лист'!$S$11:$S$310,MATCH(ROWS($A$16:A205),'Прайс-лист'!$U$11:$U$310,0)),"")</f>
        <v/>
      </c>
      <c r="J205" s="61">
        <f>IFERROR($I205*0.22,"")</f>
        <v/>
      </c>
      <c r="K205" s="61">
        <f>IFERROR($I205+$J205,"")</f>
        <v/>
      </c>
      <c r="L205" s="59">
        <f>IFERROR(INDEX('Прайс-лист'!$Q$11:$Q$310,MATCH(ROWS($A$16:A205),'Прайс-лист'!$U$11:$U$310,0)),"")</f>
        <v/>
      </c>
    </row>
    <row r="206" ht="13.5" customHeight="1" s="49">
      <c r="A206" s="64">
        <f>IFERROR(IF(INDEX('Прайс-лист'!$U$11:$U$310,MATCH(ROWS($A$16:A206),'Прайс-лист'!$U$11:$U$310,0))="","",ROWS($A$16:A206)),"")</f>
        <v/>
      </c>
      <c r="B206" s="58">
        <f>IFERROR(INDEX('Прайс-лист'!$A$11:$A$310,MATCH(ROWS($A$16:A206),'Прайс-лист'!$U$11:$U$310,0)),"")</f>
        <v/>
      </c>
      <c r="C206" s="58">
        <f>IFERROR(INDEX('Прайс-лист'!$B$11:$B$310,MATCH(ROWS($A$16:A206),'Прайс-лист'!$U$11:$U$310,0)),"")</f>
        <v/>
      </c>
      <c r="D206" s="59">
        <f>IFERROR(INDEX('Прайс-лист'!$C$11:$C$310,MATCH(ROWS($A$16:A206),'Прайс-лист'!$U$11:$U$310,0)),"")</f>
        <v/>
      </c>
      <c r="E206" s="59">
        <f>IFERROR(INDEX('Прайс-лист'!$E$11:$E$310,MATCH(ROWS($A$16:A206),'Прайс-лист'!$U$11:$U$310,0)),"")</f>
        <v/>
      </c>
      <c r="F206" s="58">
        <f>IFERROR(INDEX('Прайс-лист'!$F$11:$F$310,MATCH(ROWS($A$16:A206),'Прайс-лист'!$U$11:$U$310,0)),"")</f>
        <v/>
      </c>
      <c r="G206" s="61">
        <f>IFERROR(INDEX('Прайс-лист'!$R$11:$R$310,MATCH(ROWS($A$16:A206),'Прайс-лист'!$U$11:$U$310,0)),"")</f>
        <v/>
      </c>
      <c r="H206" s="60">
        <f>IFERROR(INDEX('Прайс-лист'!$P$11:$P$310,MATCH(ROWS($A$16:A206),'Прайс-лист'!$U$11:$U$310,0)),"")</f>
        <v/>
      </c>
      <c r="I206" s="61">
        <f>IFERROR(INDEX('Прайс-лист'!$S$11:$S$310,MATCH(ROWS($A$16:A206),'Прайс-лист'!$U$11:$U$310,0)),"")</f>
        <v/>
      </c>
      <c r="J206" s="61">
        <f>IFERROR($I206*0.22,"")</f>
        <v/>
      </c>
      <c r="K206" s="61">
        <f>IFERROR($I206+$J206,"")</f>
        <v/>
      </c>
      <c r="L206" s="59">
        <f>IFERROR(INDEX('Прайс-лист'!$Q$11:$Q$310,MATCH(ROWS($A$16:A206),'Прайс-лист'!$U$11:$U$310,0)),"")</f>
        <v/>
      </c>
    </row>
    <row r="207" ht="13.5" customHeight="1" s="49">
      <c r="A207" s="64">
        <f>IFERROR(IF(INDEX('Прайс-лист'!$U$11:$U$310,MATCH(ROWS($A$16:A207),'Прайс-лист'!$U$11:$U$310,0))="","",ROWS($A$16:A207)),"")</f>
        <v/>
      </c>
      <c r="B207" s="58">
        <f>IFERROR(INDEX('Прайс-лист'!$A$11:$A$310,MATCH(ROWS($A$16:A207),'Прайс-лист'!$U$11:$U$310,0)),"")</f>
        <v/>
      </c>
      <c r="C207" s="58">
        <f>IFERROR(INDEX('Прайс-лист'!$B$11:$B$310,MATCH(ROWS($A$16:A207),'Прайс-лист'!$U$11:$U$310,0)),"")</f>
        <v/>
      </c>
      <c r="D207" s="59">
        <f>IFERROR(INDEX('Прайс-лист'!$C$11:$C$310,MATCH(ROWS($A$16:A207),'Прайс-лист'!$U$11:$U$310,0)),"")</f>
        <v/>
      </c>
      <c r="E207" s="59">
        <f>IFERROR(INDEX('Прайс-лист'!$E$11:$E$310,MATCH(ROWS($A$16:A207),'Прайс-лист'!$U$11:$U$310,0)),"")</f>
        <v/>
      </c>
      <c r="F207" s="58">
        <f>IFERROR(INDEX('Прайс-лист'!$F$11:$F$310,MATCH(ROWS($A$16:A207),'Прайс-лист'!$U$11:$U$310,0)),"")</f>
        <v/>
      </c>
      <c r="G207" s="61">
        <f>IFERROR(INDEX('Прайс-лист'!$R$11:$R$310,MATCH(ROWS($A$16:A207),'Прайс-лист'!$U$11:$U$310,0)),"")</f>
        <v/>
      </c>
      <c r="H207" s="60">
        <f>IFERROR(INDEX('Прайс-лист'!$P$11:$P$310,MATCH(ROWS($A$16:A207),'Прайс-лист'!$U$11:$U$310,0)),"")</f>
        <v/>
      </c>
      <c r="I207" s="61">
        <f>IFERROR(INDEX('Прайс-лист'!$S$11:$S$310,MATCH(ROWS($A$16:A207),'Прайс-лист'!$U$11:$U$310,0)),"")</f>
        <v/>
      </c>
      <c r="J207" s="61">
        <f>IFERROR($I207*0.22,"")</f>
        <v/>
      </c>
      <c r="K207" s="61">
        <f>IFERROR($I207+$J207,"")</f>
        <v/>
      </c>
      <c r="L207" s="59">
        <f>IFERROR(INDEX('Прайс-лист'!$Q$11:$Q$310,MATCH(ROWS($A$16:A207),'Прайс-лист'!$U$11:$U$310,0)),"")</f>
        <v/>
      </c>
    </row>
    <row r="208" ht="13.5" customHeight="1" s="49">
      <c r="A208" s="64">
        <f>IFERROR(IF(INDEX('Прайс-лист'!$U$11:$U$310,MATCH(ROWS($A$16:A208),'Прайс-лист'!$U$11:$U$310,0))="","",ROWS($A$16:A208)),"")</f>
        <v/>
      </c>
      <c r="B208" s="58">
        <f>IFERROR(INDEX('Прайс-лист'!$A$11:$A$310,MATCH(ROWS($A$16:A208),'Прайс-лист'!$U$11:$U$310,0)),"")</f>
        <v/>
      </c>
      <c r="C208" s="58">
        <f>IFERROR(INDEX('Прайс-лист'!$B$11:$B$310,MATCH(ROWS($A$16:A208),'Прайс-лист'!$U$11:$U$310,0)),"")</f>
        <v/>
      </c>
      <c r="D208" s="59">
        <f>IFERROR(INDEX('Прайс-лист'!$C$11:$C$310,MATCH(ROWS($A$16:A208),'Прайс-лист'!$U$11:$U$310,0)),"")</f>
        <v/>
      </c>
      <c r="E208" s="59">
        <f>IFERROR(INDEX('Прайс-лист'!$E$11:$E$310,MATCH(ROWS($A$16:A208),'Прайс-лист'!$U$11:$U$310,0)),"")</f>
        <v/>
      </c>
      <c r="F208" s="58">
        <f>IFERROR(INDEX('Прайс-лист'!$F$11:$F$310,MATCH(ROWS($A$16:A208),'Прайс-лист'!$U$11:$U$310,0)),"")</f>
        <v/>
      </c>
      <c r="G208" s="61">
        <f>IFERROR(INDEX('Прайс-лист'!$R$11:$R$310,MATCH(ROWS($A$16:A208),'Прайс-лист'!$U$11:$U$310,0)),"")</f>
        <v/>
      </c>
      <c r="H208" s="60">
        <f>IFERROR(INDEX('Прайс-лист'!$P$11:$P$310,MATCH(ROWS($A$16:A208),'Прайс-лист'!$U$11:$U$310,0)),"")</f>
        <v/>
      </c>
      <c r="I208" s="61">
        <f>IFERROR(INDEX('Прайс-лист'!$S$11:$S$310,MATCH(ROWS($A$16:A208),'Прайс-лист'!$U$11:$U$310,0)),"")</f>
        <v/>
      </c>
      <c r="J208" s="61">
        <f>IFERROR($I208*0.22,"")</f>
        <v/>
      </c>
      <c r="K208" s="61">
        <f>IFERROR($I208+$J208,"")</f>
        <v/>
      </c>
      <c r="L208" s="59">
        <f>IFERROR(INDEX('Прайс-лист'!$Q$11:$Q$310,MATCH(ROWS($A$16:A208),'Прайс-лист'!$U$11:$U$310,0)),"")</f>
        <v/>
      </c>
    </row>
    <row r="209" ht="13.5" customHeight="1" s="49">
      <c r="A209" s="64">
        <f>IFERROR(IF(INDEX('Прайс-лист'!$U$11:$U$310,MATCH(ROWS($A$16:A209),'Прайс-лист'!$U$11:$U$310,0))="","",ROWS($A$16:A209)),"")</f>
        <v/>
      </c>
      <c r="B209" s="58">
        <f>IFERROR(INDEX('Прайс-лист'!$A$11:$A$310,MATCH(ROWS($A$16:A209),'Прайс-лист'!$U$11:$U$310,0)),"")</f>
        <v/>
      </c>
      <c r="C209" s="58">
        <f>IFERROR(INDEX('Прайс-лист'!$B$11:$B$310,MATCH(ROWS($A$16:A209),'Прайс-лист'!$U$11:$U$310,0)),"")</f>
        <v/>
      </c>
      <c r="D209" s="59">
        <f>IFERROR(INDEX('Прайс-лист'!$C$11:$C$310,MATCH(ROWS($A$16:A209),'Прайс-лист'!$U$11:$U$310,0)),"")</f>
        <v/>
      </c>
      <c r="E209" s="59">
        <f>IFERROR(INDEX('Прайс-лист'!$E$11:$E$310,MATCH(ROWS($A$16:A209),'Прайс-лист'!$U$11:$U$310,0)),"")</f>
        <v/>
      </c>
      <c r="F209" s="58">
        <f>IFERROR(INDEX('Прайс-лист'!$F$11:$F$310,MATCH(ROWS($A$16:A209),'Прайс-лист'!$U$11:$U$310,0)),"")</f>
        <v/>
      </c>
      <c r="G209" s="61">
        <f>IFERROR(INDEX('Прайс-лист'!$R$11:$R$310,MATCH(ROWS($A$16:A209),'Прайс-лист'!$U$11:$U$310,0)),"")</f>
        <v/>
      </c>
      <c r="H209" s="60">
        <f>IFERROR(INDEX('Прайс-лист'!$P$11:$P$310,MATCH(ROWS($A$16:A209),'Прайс-лист'!$U$11:$U$310,0)),"")</f>
        <v/>
      </c>
      <c r="I209" s="61">
        <f>IFERROR(INDEX('Прайс-лист'!$S$11:$S$310,MATCH(ROWS($A$16:A209),'Прайс-лист'!$U$11:$U$310,0)),"")</f>
        <v/>
      </c>
      <c r="J209" s="61">
        <f>IFERROR($I209*0.22,"")</f>
        <v/>
      </c>
      <c r="K209" s="61">
        <f>IFERROR($I209+$J209,"")</f>
        <v/>
      </c>
      <c r="L209" s="59">
        <f>IFERROR(INDEX('Прайс-лист'!$Q$11:$Q$310,MATCH(ROWS($A$16:A209),'Прайс-лист'!$U$11:$U$310,0)),"")</f>
        <v/>
      </c>
    </row>
    <row r="210" ht="13.5" customHeight="1" s="49">
      <c r="A210" s="64">
        <f>IFERROR(IF(INDEX('Прайс-лист'!$U$11:$U$310,MATCH(ROWS($A$16:A210),'Прайс-лист'!$U$11:$U$310,0))="","",ROWS($A$16:A210)),"")</f>
        <v/>
      </c>
      <c r="B210" s="58">
        <f>IFERROR(INDEX('Прайс-лист'!$A$11:$A$310,MATCH(ROWS($A$16:A210),'Прайс-лист'!$U$11:$U$310,0)),"")</f>
        <v/>
      </c>
      <c r="C210" s="58">
        <f>IFERROR(INDEX('Прайс-лист'!$B$11:$B$310,MATCH(ROWS($A$16:A210),'Прайс-лист'!$U$11:$U$310,0)),"")</f>
        <v/>
      </c>
      <c r="D210" s="59">
        <f>IFERROR(INDEX('Прайс-лист'!$C$11:$C$310,MATCH(ROWS($A$16:A210),'Прайс-лист'!$U$11:$U$310,0)),"")</f>
        <v/>
      </c>
      <c r="E210" s="59">
        <f>IFERROR(INDEX('Прайс-лист'!$E$11:$E$310,MATCH(ROWS($A$16:A210),'Прайс-лист'!$U$11:$U$310,0)),"")</f>
        <v/>
      </c>
      <c r="F210" s="58">
        <f>IFERROR(INDEX('Прайс-лист'!$F$11:$F$310,MATCH(ROWS($A$16:A210),'Прайс-лист'!$U$11:$U$310,0)),"")</f>
        <v/>
      </c>
      <c r="G210" s="61">
        <f>IFERROR(INDEX('Прайс-лист'!$R$11:$R$310,MATCH(ROWS($A$16:A210),'Прайс-лист'!$U$11:$U$310,0)),"")</f>
        <v/>
      </c>
      <c r="H210" s="60">
        <f>IFERROR(INDEX('Прайс-лист'!$P$11:$P$310,MATCH(ROWS($A$16:A210),'Прайс-лист'!$U$11:$U$310,0)),"")</f>
        <v/>
      </c>
      <c r="I210" s="61">
        <f>IFERROR(INDEX('Прайс-лист'!$S$11:$S$310,MATCH(ROWS($A$16:A210),'Прайс-лист'!$U$11:$U$310,0)),"")</f>
        <v/>
      </c>
      <c r="J210" s="61">
        <f>IFERROR($I210*0.22,"")</f>
        <v/>
      </c>
      <c r="K210" s="61">
        <f>IFERROR($I210+$J210,"")</f>
        <v/>
      </c>
      <c r="L210" s="59">
        <f>IFERROR(INDEX('Прайс-лист'!$Q$11:$Q$310,MATCH(ROWS($A$16:A210),'Прайс-лист'!$U$11:$U$310,0)),"")</f>
        <v/>
      </c>
    </row>
    <row r="211" ht="13.5" customHeight="1" s="49">
      <c r="A211" s="64">
        <f>IFERROR(IF(INDEX('Прайс-лист'!$U$11:$U$310,MATCH(ROWS($A$16:A211),'Прайс-лист'!$U$11:$U$310,0))="","",ROWS($A$16:A211)),"")</f>
        <v/>
      </c>
      <c r="B211" s="58">
        <f>IFERROR(INDEX('Прайс-лист'!$A$11:$A$310,MATCH(ROWS($A$16:A211),'Прайс-лист'!$U$11:$U$310,0)),"")</f>
        <v/>
      </c>
      <c r="C211" s="58">
        <f>IFERROR(INDEX('Прайс-лист'!$B$11:$B$310,MATCH(ROWS($A$16:A211),'Прайс-лист'!$U$11:$U$310,0)),"")</f>
        <v/>
      </c>
      <c r="D211" s="59">
        <f>IFERROR(INDEX('Прайс-лист'!$C$11:$C$310,MATCH(ROWS($A$16:A211),'Прайс-лист'!$U$11:$U$310,0)),"")</f>
        <v/>
      </c>
      <c r="E211" s="59">
        <f>IFERROR(INDEX('Прайс-лист'!$E$11:$E$310,MATCH(ROWS($A$16:A211),'Прайс-лист'!$U$11:$U$310,0)),"")</f>
        <v/>
      </c>
      <c r="F211" s="58">
        <f>IFERROR(INDEX('Прайс-лист'!$F$11:$F$310,MATCH(ROWS($A$16:A211),'Прайс-лист'!$U$11:$U$310,0)),"")</f>
        <v/>
      </c>
      <c r="G211" s="61">
        <f>IFERROR(INDEX('Прайс-лист'!$R$11:$R$310,MATCH(ROWS($A$16:A211),'Прайс-лист'!$U$11:$U$310,0)),"")</f>
        <v/>
      </c>
      <c r="H211" s="60">
        <f>IFERROR(INDEX('Прайс-лист'!$P$11:$P$310,MATCH(ROWS($A$16:A211),'Прайс-лист'!$U$11:$U$310,0)),"")</f>
        <v/>
      </c>
      <c r="I211" s="61">
        <f>IFERROR(INDEX('Прайс-лист'!$S$11:$S$310,MATCH(ROWS($A$16:A211),'Прайс-лист'!$U$11:$U$310,0)),"")</f>
        <v/>
      </c>
      <c r="J211" s="61">
        <f>IFERROR($I211*0.22,"")</f>
        <v/>
      </c>
      <c r="K211" s="61">
        <f>IFERROR($I211+$J211,"")</f>
        <v/>
      </c>
      <c r="L211" s="59">
        <f>IFERROR(INDEX('Прайс-лист'!$Q$11:$Q$310,MATCH(ROWS($A$16:A211),'Прайс-лист'!$U$11:$U$310,0)),"")</f>
        <v/>
      </c>
    </row>
    <row r="212" ht="13.5" customHeight="1" s="49">
      <c r="A212" s="64">
        <f>IFERROR(IF(INDEX('Прайс-лист'!$U$11:$U$310,MATCH(ROWS($A$16:A212),'Прайс-лист'!$U$11:$U$310,0))="","",ROWS($A$16:A212)),"")</f>
        <v/>
      </c>
      <c r="B212" s="58">
        <f>IFERROR(INDEX('Прайс-лист'!$A$11:$A$310,MATCH(ROWS($A$16:A212),'Прайс-лист'!$U$11:$U$310,0)),"")</f>
        <v/>
      </c>
      <c r="C212" s="58">
        <f>IFERROR(INDEX('Прайс-лист'!$B$11:$B$310,MATCH(ROWS($A$16:A212),'Прайс-лист'!$U$11:$U$310,0)),"")</f>
        <v/>
      </c>
      <c r="D212" s="59">
        <f>IFERROR(INDEX('Прайс-лист'!$C$11:$C$310,MATCH(ROWS($A$16:A212),'Прайс-лист'!$U$11:$U$310,0)),"")</f>
        <v/>
      </c>
      <c r="E212" s="59">
        <f>IFERROR(INDEX('Прайс-лист'!$E$11:$E$310,MATCH(ROWS($A$16:A212),'Прайс-лист'!$U$11:$U$310,0)),"")</f>
        <v/>
      </c>
      <c r="F212" s="58">
        <f>IFERROR(INDEX('Прайс-лист'!$F$11:$F$310,MATCH(ROWS($A$16:A212),'Прайс-лист'!$U$11:$U$310,0)),"")</f>
        <v/>
      </c>
      <c r="G212" s="61">
        <f>IFERROR(INDEX('Прайс-лист'!$R$11:$R$310,MATCH(ROWS($A$16:A212),'Прайс-лист'!$U$11:$U$310,0)),"")</f>
        <v/>
      </c>
      <c r="H212" s="60">
        <f>IFERROR(INDEX('Прайс-лист'!$P$11:$P$310,MATCH(ROWS($A$16:A212),'Прайс-лист'!$U$11:$U$310,0)),"")</f>
        <v/>
      </c>
      <c r="I212" s="61">
        <f>IFERROR(INDEX('Прайс-лист'!$S$11:$S$310,MATCH(ROWS($A$16:A212),'Прайс-лист'!$U$11:$U$310,0)),"")</f>
        <v/>
      </c>
      <c r="J212" s="61">
        <f>IFERROR($I212*0.22,"")</f>
        <v/>
      </c>
      <c r="K212" s="61">
        <f>IFERROR($I212+$J212,"")</f>
        <v/>
      </c>
      <c r="L212" s="59">
        <f>IFERROR(INDEX('Прайс-лист'!$Q$11:$Q$310,MATCH(ROWS($A$16:A212),'Прайс-лист'!$U$11:$U$310,0)),"")</f>
        <v/>
      </c>
    </row>
    <row r="213" ht="13.5" customHeight="1" s="49">
      <c r="A213" s="64">
        <f>IFERROR(IF(INDEX('Прайс-лист'!$U$11:$U$310,MATCH(ROWS($A$16:A213),'Прайс-лист'!$U$11:$U$310,0))="","",ROWS($A$16:A213)),"")</f>
        <v/>
      </c>
      <c r="B213" s="58">
        <f>IFERROR(INDEX('Прайс-лист'!$A$11:$A$310,MATCH(ROWS($A$16:A213),'Прайс-лист'!$U$11:$U$310,0)),"")</f>
        <v/>
      </c>
      <c r="C213" s="58">
        <f>IFERROR(INDEX('Прайс-лист'!$B$11:$B$310,MATCH(ROWS($A$16:A213),'Прайс-лист'!$U$11:$U$310,0)),"")</f>
        <v/>
      </c>
      <c r="D213" s="59">
        <f>IFERROR(INDEX('Прайс-лист'!$C$11:$C$310,MATCH(ROWS($A$16:A213),'Прайс-лист'!$U$11:$U$310,0)),"")</f>
        <v/>
      </c>
      <c r="E213" s="59">
        <f>IFERROR(INDEX('Прайс-лист'!$E$11:$E$310,MATCH(ROWS($A$16:A213),'Прайс-лист'!$U$11:$U$310,0)),"")</f>
        <v/>
      </c>
      <c r="F213" s="58">
        <f>IFERROR(INDEX('Прайс-лист'!$F$11:$F$310,MATCH(ROWS($A$16:A213),'Прайс-лист'!$U$11:$U$310,0)),"")</f>
        <v/>
      </c>
      <c r="G213" s="61">
        <f>IFERROR(INDEX('Прайс-лист'!$R$11:$R$310,MATCH(ROWS($A$16:A213),'Прайс-лист'!$U$11:$U$310,0)),"")</f>
        <v/>
      </c>
      <c r="H213" s="60">
        <f>IFERROR(INDEX('Прайс-лист'!$P$11:$P$310,MATCH(ROWS($A$16:A213),'Прайс-лист'!$U$11:$U$310,0)),"")</f>
        <v/>
      </c>
      <c r="I213" s="61">
        <f>IFERROR(INDEX('Прайс-лист'!$S$11:$S$310,MATCH(ROWS($A$16:A213),'Прайс-лист'!$U$11:$U$310,0)),"")</f>
        <v/>
      </c>
      <c r="J213" s="61">
        <f>IFERROR($I213*0.22,"")</f>
        <v/>
      </c>
      <c r="K213" s="61">
        <f>IFERROR($I213+$J213,"")</f>
        <v/>
      </c>
      <c r="L213" s="59">
        <f>IFERROR(INDEX('Прайс-лист'!$Q$11:$Q$310,MATCH(ROWS($A$16:A213),'Прайс-лист'!$U$11:$U$310,0)),"")</f>
        <v/>
      </c>
    </row>
    <row r="214" ht="13.5" customHeight="1" s="49">
      <c r="A214" s="64">
        <f>IFERROR(IF(INDEX('Прайс-лист'!$U$11:$U$310,MATCH(ROWS($A$16:A214),'Прайс-лист'!$U$11:$U$310,0))="","",ROWS($A$16:A214)),"")</f>
        <v/>
      </c>
      <c r="B214" s="58">
        <f>IFERROR(INDEX('Прайс-лист'!$A$11:$A$310,MATCH(ROWS($A$16:A214),'Прайс-лист'!$U$11:$U$310,0)),"")</f>
        <v/>
      </c>
      <c r="C214" s="58">
        <f>IFERROR(INDEX('Прайс-лист'!$B$11:$B$310,MATCH(ROWS($A$16:A214),'Прайс-лист'!$U$11:$U$310,0)),"")</f>
        <v/>
      </c>
      <c r="D214" s="59">
        <f>IFERROR(INDEX('Прайс-лист'!$C$11:$C$310,MATCH(ROWS($A$16:A214),'Прайс-лист'!$U$11:$U$310,0)),"")</f>
        <v/>
      </c>
      <c r="E214" s="59">
        <f>IFERROR(INDEX('Прайс-лист'!$E$11:$E$310,MATCH(ROWS($A$16:A214),'Прайс-лист'!$U$11:$U$310,0)),"")</f>
        <v/>
      </c>
      <c r="F214" s="58">
        <f>IFERROR(INDEX('Прайс-лист'!$F$11:$F$310,MATCH(ROWS($A$16:A214),'Прайс-лист'!$U$11:$U$310,0)),"")</f>
        <v/>
      </c>
      <c r="G214" s="61">
        <f>IFERROR(INDEX('Прайс-лист'!$R$11:$R$310,MATCH(ROWS($A$16:A214),'Прайс-лист'!$U$11:$U$310,0)),"")</f>
        <v/>
      </c>
      <c r="H214" s="60">
        <f>IFERROR(INDEX('Прайс-лист'!$P$11:$P$310,MATCH(ROWS($A$16:A214),'Прайс-лист'!$U$11:$U$310,0)),"")</f>
        <v/>
      </c>
      <c r="I214" s="61">
        <f>IFERROR(INDEX('Прайс-лист'!$S$11:$S$310,MATCH(ROWS($A$16:A214),'Прайс-лист'!$U$11:$U$310,0)),"")</f>
        <v/>
      </c>
      <c r="J214" s="61">
        <f>IFERROR($I214*0.22,"")</f>
        <v/>
      </c>
      <c r="K214" s="61">
        <f>IFERROR($I214+$J214,"")</f>
        <v/>
      </c>
      <c r="L214" s="59">
        <f>IFERROR(INDEX('Прайс-лист'!$Q$11:$Q$310,MATCH(ROWS($A$16:A214),'Прайс-лист'!$U$11:$U$310,0)),"")</f>
        <v/>
      </c>
    </row>
    <row r="215" ht="13.5" customHeight="1" s="49">
      <c r="A215" s="64">
        <f>IFERROR(IF(INDEX('Прайс-лист'!$U$11:$U$310,MATCH(ROWS($A$16:A215),'Прайс-лист'!$U$11:$U$310,0))="","",ROWS($A$16:A215)),"")</f>
        <v/>
      </c>
      <c r="B215" s="58">
        <f>IFERROR(INDEX('Прайс-лист'!$A$11:$A$310,MATCH(ROWS($A$16:A215),'Прайс-лист'!$U$11:$U$310,0)),"")</f>
        <v/>
      </c>
      <c r="C215" s="58">
        <f>IFERROR(INDEX('Прайс-лист'!$B$11:$B$310,MATCH(ROWS($A$16:A215),'Прайс-лист'!$U$11:$U$310,0)),"")</f>
        <v/>
      </c>
      <c r="D215" s="59">
        <f>IFERROR(INDEX('Прайс-лист'!$C$11:$C$310,MATCH(ROWS($A$16:A215),'Прайс-лист'!$U$11:$U$310,0)),"")</f>
        <v/>
      </c>
      <c r="E215" s="59">
        <f>IFERROR(INDEX('Прайс-лист'!$E$11:$E$310,MATCH(ROWS($A$16:A215),'Прайс-лист'!$U$11:$U$310,0)),"")</f>
        <v/>
      </c>
      <c r="F215" s="58">
        <f>IFERROR(INDEX('Прайс-лист'!$F$11:$F$310,MATCH(ROWS($A$16:A215),'Прайс-лист'!$U$11:$U$310,0)),"")</f>
        <v/>
      </c>
      <c r="G215" s="61">
        <f>IFERROR(INDEX('Прайс-лист'!$R$11:$R$310,MATCH(ROWS($A$16:A215),'Прайс-лист'!$U$11:$U$310,0)),"")</f>
        <v/>
      </c>
      <c r="H215" s="60">
        <f>IFERROR(INDEX('Прайс-лист'!$P$11:$P$310,MATCH(ROWS($A$16:A215),'Прайс-лист'!$U$11:$U$310,0)),"")</f>
        <v/>
      </c>
      <c r="I215" s="61">
        <f>IFERROR(INDEX('Прайс-лист'!$S$11:$S$310,MATCH(ROWS($A$16:A215),'Прайс-лист'!$U$11:$U$310,0)),"")</f>
        <v/>
      </c>
      <c r="J215" s="61">
        <f>IFERROR($I215*0.22,"")</f>
        <v/>
      </c>
      <c r="K215" s="61">
        <f>IFERROR($I215+$J215,"")</f>
        <v/>
      </c>
      <c r="L215" s="59">
        <f>IFERROR(INDEX('Прайс-лист'!$Q$11:$Q$310,MATCH(ROWS($A$16:A215),'Прайс-лист'!$U$11:$U$310,0)),"")</f>
        <v/>
      </c>
    </row>
    <row r="216" ht="13.5" customHeight="1" s="49">
      <c r="A216" s="64">
        <f>IFERROR(IF(INDEX('Прайс-лист'!$U$11:$U$310,MATCH(ROWS($A$16:A216),'Прайс-лист'!$U$11:$U$310,0))="","",ROWS($A$16:A216)),"")</f>
        <v/>
      </c>
      <c r="B216" s="58">
        <f>IFERROR(INDEX('Прайс-лист'!$A$11:$A$310,MATCH(ROWS($A$16:A216),'Прайс-лист'!$U$11:$U$310,0)),"")</f>
        <v/>
      </c>
      <c r="C216" s="58">
        <f>IFERROR(INDEX('Прайс-лист'!$B$11:$B$310,MATCH(ROWS($A$16:A216),'Прайс-лист'!$U$11:$U$310,0)),"")</f>
        <v/>
      </c>
      <c r="D216" s="59">
        <f>IFERROR(INDEX('Прайс-лист'!$C$11:$C$310,MATCH(ROWS($A$16:A216),'Прайс-лист'!$U$11:$U$310,0)),"")</f>
        <v/>
      </c>
      <c r="E216" s="59">
        <f>IFERROR(INDEX('Прайс-лист'!$E$11:$E$310,MATCH(ROWS($A$16:A216),'Прайс-лист'!$U$11:$U$310,0)),"")</f>
        <v/>
      </c>
      <c r="F216" s="58">
        <f>IFERROR(INDEX('Прайс-лист'!$F$11:$F$310,MATCH(ROWS($A$16:A216),'Прайс-лист'!$U$11:$U$310,0)),"")</f>
        <v/>
      </c>
      <c r="G216" s="61">
        <f>IFERROR(INDEX('Прайс-лист'!$R$11:$R$310,MATCH(ROWS($A$16:A216),'Прайс-лист'!$U$11:$U$310,0)),"")</f>
        <v/>
      </c>
      <c r="H216" s="60">
        <f>IFERROR(INDEX('Прайс-лист'!$P$11:$P$310,MATCH(ROWS($A$16:A216),'Прайс-лист'!$U$11:$U$310,0)),"")</f>
        <v/>
      </c>
      <c r="I216" s="61">
        <f>IFERROR(INDEX('Прайс-лист'!$S$11:$S$310,MATCH(ROWS($A$16:A216),'Прайс-лист'!$U$11:$U$310,0)),"")</f>
        <v/>
      </c>
      <c r="J216" s="61">
        <f>IFERROR($I216*0.22,"")</f>
        <v/>
      </c>
      <c r="K216" s="61">
        <f>IFERROR($I216+$J216,"")</f>
        <v/>
      </c>
      <c r="L216" s="59">
        <f>IFERROR(INDEX('Прайс-лист'!$Q$11:$Q$310,MATCH(ROWS($A$16:A216),'Прайс-лист'!$U$11:$U$310,0)),"")</f>
        <v/>
      </c>
    </row>
    <row r="217" ht="13.5" customHeight="1" s="49">
      <c r="A217" s="64">
        <f>IFERROR(IF(INDEX('Прайс-лист'!$U$11:$U$310,MATCH(ROWS($A$16:A217),'Прайс-лист'!$U$11:$U$310,0))="","",ROWS($A$16:A217)),"")</f>
        <v/>
      </c>
      <c r="B217" s="58">
        <f>IFERROR(INDEX('Прайс-лист'!$A$11:$A$310,MATCH(ROWS($A$16:A217),'Прайс-лист'!$U$11:$U$310,0)),"")</f>
        <v/>
      </c>
      <c r="C217" s="58">
        <f>IFERROR(INDEX('Прайс-лист'!$B$11:$B$310,MATCH(ROWS($A$16:A217),'Прайс-лист'!$U$11:$U$310,0)),"")</f>
        <v/>
      </c>
      <c r="D217" s="59">
        <f>IFERROR(INDEX('Прайс-лист'!$C$11:$C$310,MATCH(ROWS($A$16:A217),'Прайс-лист'!$U$11:$U$310,0)),"")</f>
        <v/>
      </c>
      <c r="E217" s="59">
        <f>IFERROR(INDEX('Прайс-лист'!$E$11:$E$310,MATCH(ROWS($A$16:A217),'Прайс-лист'!$U$11:$U$310,0)),"")</f>
        <v/>
      </c>
      <c r="F217" s="58">
        <f>IFERROR(INDEX('Прайс-лист'!$F$11:$F$310,MATCH(ROWS($A$16:A217),'Прайс-лист'!$U$11:$U$310,0)),"")</f>
        <v/>
      </c>
      <c r="G217" s="61">
        <f>IFERROR(INDEX('Прайс-лист'!$R$11:$R$310,MATCH(ROWS($A$16:A217),'Прайс-лист'!$U$11:$U$310,0)),"")</f>
        <v/>
      </c>
      <c r="H217" s="60">
        <f>IFERROR(INDEX('Прайс-лист'!$P$11:$P$310,MATCH(ROWS($A$16:A217),'Прайс-лист'!$U$11:$U$310,0)),"")</f>
        <v/>
      </c>
      <c r="I217" s="61">
        <f>IFERROR(INDEX('Прайс-лист'!$S$11:$S$310,MATCH(ROWS($A$16:A217),'Прайс-лист'!$U$11:$U$310,0)),"")</f>
        <v/>
      </c>
      <c r="J217" s="61">
        <f>IFERROR($I217*0.22,"")</f>
        <v/>
      </c>
      <c r="K217" s="61">
        <f>IFERROR($I217+$J217,"")</f>
        <v/>
      </c>
      <c r="L217" s="59">
        <f>IFERROR(INDEX('Прайс-лист'!$Q$11:$Q$310,MATCH(ROWS($A$16:A217),'Прайс-лист'!$U$11:$U$310,0)),"")</f>
        <v/>
      </c>
    </row>
    <row r="218" ht="13.5" customHeight="1" s="49">
      <c r="A218" s="64">
        <f>IFERROR(IF(INDEX('Прайс-лист'!$U$11:$U$310,MATCH(ROWS($A$16:A218),'Прайс-лист'!$U$11:$U$310,0))="","",ROWS($A$16:A218)),"")</f>
        <v/>
      </c>
      <c r="B218" s="58">
        <f>IFERROR(INDEX('Прайс-лист'!$A$11:$A$310,MATCH(ROWS($A$16:A218),'Прайс-лист'!$U$11:$U$310,0)),"")</f>
        <v/>
      </c>
      <c r="C218" s="58">
        <f>IFERROR(INDEX('Прайс-лист'!$B$11:$B$310,MATCH(ROWS($A$16:A218),'Прайс-лист'!$U$11:$U$310,0)),"")</f>
        <v/>
      </c>
      <c r="D218" s="59">
        <f>IFERROR(INDEX('Прайс-лист'!$C$11:$C$310,MATCH(ROWS($A$16:A218),'Прайс-лист'!$U$11:$U$310,0)),"")</f>
        <v/>
      </c>
      <c r="E218" s="59">
        <f>IFERROR(INDEX('Прайс-лист'!$E$11:$E$310,MATCH(ROWS($A$16:A218),'Прайс-лист'!$U$11:$U$310,0)),"")</f>
        <v/>
      </c>
      <c r="F218" s="58">
        <f>IFERROR(INDEX('Прайс-лист'!$F$11:$F$310,MATCH(ROWS($A$16:A218),'Прайс-лист'!$U$11:$U$310,0)),"")</f>
        <v/>
      </c>
      <c r="G218" s="61">
        <f>IFERROR(INDEX('Прайс-лист'!$R$11:$R$310,MATCH(ROWS($A$16:A218),'Прайс-лист'!$U$11:$U$310,0)),"")</f>
        <v/>
      </c>
      <c r="H218" s="60">
        <f>IFERROR(INDEX('Прайс-лист'!$P$11:$P$310,MATCH(ROWS($A$16:A218),'Прайс-лист'!$U$11:$U$310,0)),"")</f>
        <v/>
      </c>
      <c r="I218" s="61">
        <f>IFERROR(INDEX('Прайс-лист'!$S$11:$S$310,MATCH(ROWS($A$16:A218),'Прайс-лист'!$U$11:$U$310,0)),"")</f>
        <v/>
      </c>
      <c r="J218" s="61">
        <f>IFERROR($I218*0.22,"")</f>
        <v/>
      </c>
      <c r="K218" s="61">
        <f>IFERROR($I218+$J218,"")</f>
        <v/>
      </c>
      <c r="L218" s="59">
        <f>IFERROR(INDEX('Прайс-лист'!$Q$11:$Q$310,MATCH(ROWS($A$16:A218),'Прайс-лист'!$U$11:$U$310,0)),"")</f>
        <v/>
      </c>
    </row>
    <row r="219" ht="13.5" customHeight="1" s="49">
      <c r="A219" s="64">
        <f>IFERROR(IF(INDEX('Прайс-лист'!$U$11:$U$310,MATCH(ROWS($A$16:A219),'Прайс-лист'!$U$11:$U$310,0))="","",ROWS($A$16:A219)),"")</f>
        <v/>
      </c>
      <c r="B219" s="58">
        <f>IFERROR(INDEX('Прайс-лист'!$A$11:$A$310,MATCH(ROWS($A$16:A219),'Прайс-лист'!$U$11:$U$310,0)),"")</f>
        <v/>
      </c>
      <c r="C219" s="58">
        <f>IFERROR(INDEX('Прайс-лист'!$B$11:$B$310,MATCH(ROWS($A$16:A219),'Прайс-лист'!$U$11:$U$310,0)),"")</f>
        <v/>
      </c>
      <c r="D219" s="59">
        <f>IFERROR(INDEX('Прайс-лист'!$C$11:$C$310,MATCH(ROWS($A$16:A219),'Прайс-лист'!$U$11:$U$310,0)),"")</f>
        <v/>
      </c>
      <c r="E219" s="59">
        <f>IFERROR(INDEX('Прайс-лист'!$E$11:$E$310,MATCH(ROWS($A$16:A219),'Прайс-лист'!$U$11:$U$310,0)),"")</f>
        <v/>
      </c>
      <c r="F219" s="58">
        <f>IFERROR(INDEX('Прайс-лист'!$F$11:$F$310,MATCH(ROWS($A$16:A219),'Прайс-лист'!$U$11:$U$310,0)),"")</f>
        <v/>
      </c>
      <c r="G219" s="61">
        <f>IFERROR(INDEX('Прайс-лист'!$R$11:$R$310,MATCH(ROWS($A$16:A219),'Прайс-лист'!$U$11:$U$310,0)),"")</f>
        <v/>
      </c>
      <c r="H219" s="60">
        <f>IFERROR(INDEX('Прайс-лист'!$P$11:$P$310,MATCH(ROWS($A$16:A219),'Прайс-лист'!$U$11:$U$310,0)),"")</f>
        <v/>
      </c>
      <c r="I219" s="61">
        <f>IFERROR(INDEX('Прайс-лист'!$S$11:$S$310,MATCH(ROWS($A$16:A219),'Прайс-лист'!$U$11:$U$310,0)),"")</f>
        <v/>
      </c>
      <c r="J219" s="61">
        <f>IFERROR($I219*0.22,"")</f>
        <v/>
      </c>
      <c r="K219" s="61">
        <f>IFERROR($I219+$J219,"")</f>
        <v/>
      </c>
      <c r="L219" s="59">
        <f>IFERROR(INDEX('Прайс-лист'!$Q$11:$Q$310,MATCH(ROWS($A$16:A219),'Прайс-лист'!$U$11:$U$310,0)),"")</f>
        <v/>
      </c>
    </row>
    <row r="220" ht="13.5" customHeight="1" s="49">
      <c r="A220" s="64">
        <f>IFERROR(IF(INDEX('Прайс-лист'!$U$11:$U$310,MATCH(ROWS($A$16:A220),'Прайс-лист'!$U$11:$U$310,0))="","",ROWS($A$16:A220)),"")</f>
        <v/>
      </c>
      <c r="B220" s="58">
        <f>IFERROR(INDEX('Прайс-лист'!$A$11:$A$310,MATCH(ROWS($A$16:A220),'Прайс-лист'!$U$11:$U$310,0)),"")</f>
        <v/>
      </c>
      <c r="C220" s="58">
        <f>IFERROR(INDEX('Прайс-лист'!$B$11:$B$310,MATCH(ROWS($A$16:A220),'Прайс-лист'!$U$11:$U$310,0)),"")</f>
        <v/>
      </c>
      <c r="D220" s="59">
        <f>IFERROR(INDEX('Прайс-лист'!$C$11:$C$310,MATCH(ROWS($A$16:A220),'Прайс-лист'!$U$11:$U$310,0)),"")</f>
        <v/>
      </c>
      <c r="E220" s="59">
        <f>IFERROR(INDEX('Прайс-лист'!$E$11:$E$310,MATCH(ROWS($A$16:A220),'Прайс-лист'!$U$11:$U$310,0)),"")</f>
        <v/>
      </c>
      <c r="F220" s="58">
        <f>IFERROR(INDEX('Прайс-лист'!$F$11:$F$310,MATCH(ROWS($A$16:A220),'Прайс-лист'!$U$11:$U$310,0)),"")</f>
        <v/>
      </c>
      <c r="G220" s="61">
        <f>IFERROR(INDEX('Прайс-лист'!$R$11:$R$310,MATCH(ROWS($A$16:A220),'Прайс-лист'!$U$11:$U$310,0)),"")</f>
        <v/>
      </c>
      <c r="H220" s="60">
        <f>IFERROR(INDEX('Прайс-лист'!$P$11:$P$310,MATCH(ROWS($A$16:A220),'Прайс-лист'!$U$11:$U$310,0)),"")</f>
        <v/>
      </c>
      <c r="I220" s="61">
        <f>IFERROR(INDEX('Прайс-лист'!$S$11:$S$310,MATCH(ROWS($A$16:A220),'Прайс-лист'!$U$11:$U$310,0)),"")</f>
        <v/>
      </c>
      <c r="J220" s="61">
        <f>IFERROR($I220*0.22,"")</f>
        <v/>
      </c>
      <c r="K220" s="61">
        <f>IFERROR($I220+$J220,"")</f>
        <v/>
      </c>
      <c r="L220" s="59">
        <f>IFERROR(INDEX('Прайс-лист'!$Q$11:$Q$310,MATCH(ROWS($A$16:A220),'Прайс-лист'!$U$11:$U$310,0)),"")</f>
        <v/>
      </c>
    </row>
    <row r="221" ht="13.5" customHeight="1" s="49">
      <c r="A221" s="64">
        <f>IFERROR(IF(INDEX('Прайс-лист'!$U$11:$U$310,MATCH(ROWS($A$16:A221),'Прайс-лист'!$U$11:$U$310,0))="","",ROWS($A$16:A221)),"")</f>
        <v/>
      </c>
      <c r="B221" s="58">
        <f>IFERROR(INDEX('Прайс-лист'!$A$11:$A$310,MATCH(ROWS($A$16:A221),'Прайс-лист'!$U$11:$U$310,0)),"")</f>
        <v/>
      </c>
      <c r="C221" s="58">
        <f>IFERROR(INDEX('Прайс-лист'!$B$11:$B$310,MATCH(ROWS($A$16:A221),'Прайс-лист'!$U$11:$U$310,0)),"")</f>
        <v/>
      </c>
      <c r="D221" s="59">
        <f>IFERROR(INDEX('Прайс-лист'!$C$11:$C$310,MATCH(ROWS($A$16:A221),'Прайс-лист'!$U$11:$U$310,0)),"")</f>
        <v/>
      </c>
      <c r="E221" s="59">
        <f>IFERROR(INDEX('Прайс-лист'!$E$11:$E$310,MATCH(ROWS($A$16:A221),'Прайс-лист'!$U$11:$U$310,0)),"")</f>
        <v/>
      </c>
      <c r="F221" s="58">
        <f>IFERROR(INDEX('Прайс-лист'!$F$11:$F$310,MATCH(ROWS($A$16:A221),'Прайс-лист'!$U$11:$U$310,0)),"")</f>
        <v/>
      </c>
      <c r="G221" s="61">
        <f>IFERROR(INDEX('Прайс-лист'!$R$11:$R$310,MATCH(ROWS($A$16:A221),'Прайс-лист'!$U$11:$U$310,0)),"")</f>
        <v/>
      </c>
      <c r="H221" s="60">
        <f>IFERROR(INDEX('Прайс-лист'!$P$11:$P$310,MATCH(ROWS($A$16:A221),'Прайс-лист'!$U$11:$U$310,0)),"")</f>
        <v/>
      </c>
      <c r="I221" s="61">
        <f>IFERROR(INDEX('Прайс-лист'!$S$11:$S$310,MATCH(ROWS($A$16:A221),'Прайс-лист'!$U$11:$U$310,0)),"")</f>
        <v/>
      </c>
      <c r="J221" s="61">
        <f>IFERROR($I221*0.22,"")</f>
        <v/>
      </c>
      <c r="K221" s="61">
        <f>IFERROR($I221+$J221,"")</f>
        <v/>
      </c>
      <c r="L221" s="59">
        <f>IFERROR(INDEX('Прайс-лист'!$Q$11:$Q$310,MATCH(ROWS($A$16:A221),'Прайс-лист'!$U$11:$U$310,0)),"")</f>
        <v/>
      </c>
    </row>
    <row r="222" ht="13.5" customHeight="1" s="49">
      <c r="A222" s="64">
        <f>IFERROR(IF(INDEX('Прайс-лист'!$U$11:$U$310,MATCH(ROWS($A$16:A222),'Прайс-лист'!$U$11:$U$310,0))="","",ROWS($A$16:A222)),"")</f>
        <v/>
      </c>
      <c r="B222" s="58">
        <f>IFERROR(INDEX('Прайс-лист'!$A$11:$A$310,MATCH(ROWS($A$16:A222),'Прайс-лист'!$U$11:$U$310,0)),"")</f>
        <v/>
      </c>
      <c r="C222" s="58">
        <f>IFERROR(INDEX('Прайс-лист'!$B$11:$B$310,MATCH(ROWS($A$16:A222),'Прайс-лист'!$U$11:$U$310,0)),"")</f>
        <v/>
      </c>
      <c r="D222" s="59">
        <f>IFERROR(INDEX('Прайс-лист'!$C$11:$C$310,MATCH(ROWS($A$16:A222),'Прайс-лист'!$U$11:$U$310,0)),"")</f>
        <v/>
      </c>
      <c r="E222" s="59">
        <f>IFERROR(INDEX('Прайс-лист'!$E$11:$E$310,MATCH(ROWS($A$16:A222),'Прайс-лист'!$U$11:$U$310,0)),"")</f>
        <v/>
      </c>
      <c r="F222" s="58">
        <f>IFERROR(INDEX('Прайс-лист'!$F$11:$F$310,MATCH(ROWS($A$16:A222),'Прайс-лист'!$U$11:$U$310,0)),"")</f>
        <v/>
      </c>
      <c r="G222" s="61">
        <f>IFERROR(INDEX('Прайс-лист'!$R$11:$R$310,MATCH(ROWS($A$16:A222),'Прайс-лист'!$U$11:$U$310,0)),"")</f>
        <v/>
      </c>
      <c r="H222" s="60">
        <f>IFERROR(INDEX('Прайс-лист'!$P$11:$P$310,MATCH(ROWS($A$16:A222),'Прайс-лист'!$U$11:$U$310,0)),"")</f>
        <v/>
      </c>
      <c r="I222" s="61">
        <f>IFERROR(INDEX('Прайс-лист'!$S$11:$S$310,MATCH(ROWS($A$16:A222),'Прайс-лист'!$U$11:$U$310,0)),"")</f>
        <v/>
      </c>
      <c r="J222" s="61">
        <f>IFERROR($I222*0.22,"")</f>
        <v/>
      </c>
      <c r="K222" s="61">
        <f>IFERROR($I222+$J222,"")</f>
        <v/>
      </c>
      <c r="L222" s="59">
        <f>IFERROR(INDEX('Прайс-лист'!$Q$11:$Q$310,MATCH(ROWS($A$16:A222),'Прайс-лист'!$U$11:$U$310,0)),"")</f>
        <v/>
      </c>
    </row>
    <row r="223" ht="13.5" customHeight="1" s="49">
      <c r="A223" s="64">
        <f>IFERROR(IF(INDEX('Прайс-лист'!$U$11:$U$310,MATCH(ROWS($A$16:A223),'Прайс-лист'!$U$11:$U$310,0))="","",ROWS($A$16:A223)),"")</f>
        <v/>
      </c>
      <c r="B223" s="58">
        <f>IFERROR(INDEX('Прайс-лист'!$A$11:$A$310,MATCH(ROWS($A$16:A223),'Прайс-лист'!$U$11:$U$310,0)),"")</f>
        <v/>
      </c>
      <c r="C223" s="58">
        <f>IFERROR(INDEX('Прайс-лист'!$B$11:$B$310,MATCH(ROWS($A$16:A223),'Прайс-лист'!$U$11:$U$310,0)),"")</f>
        <v/>
      </c>
      <c r="D223" s="59">
        <f>IFERROR(INDEX('Прайс-лист'!$C$11:$C$310,MATCH(ROWS($A$16:A223),'Прайс-лист'!$U$11:$U$310,0)),"")</f>
        <v/>
      </c>
      <c r="E223" s="59">
        <f>IFERROR(INDEX('Прайс-лист'!$E$11:$E$310,MATCH(ROWS($A$16:A223),'Прайс-лист'!$U$11:$U$310,0)),"")</f>
        <v/>
      </c>
      <c r="F223" s="58">
        <f>IFERROR(INDEX('Прайс-лист'!$F$11:$F$310,MATCH(ROWS($A$16:A223),'Прайс-лист'!$U$11:$U$310,0)),"")</f>
        <v/>
      </c>
      <c r="G223" s="61">
        <f>IFERROR(INDEX('Прайс-лист'!$R$11:$R$310,MATCH(ROWS($A$16:A223),'Прайс-лист'!$U$11:$U$310,0)),"")</f>
        <v/>
      </c>
      <c r="H223" s="60">
        <f>IFERROR(INDEX('Прайс-лист'!$P$11:$P$310,MATCH(ROWS($A$16:A223),'Прайс-лист'!$U$11:$U$310,0)),"")</f>
        <v/>
      </c>
      <c r="I223" s="61">
        <f>IFERROR(INDEX('Прайс-лист'!$S$11:$S$310,MATCH(ROWS($A$16:A223),'Прайс-лист'!$U$11:$U$310,0)),"")</f>
        <v/>
      </c>
      <c r="J223" s="61">
        <f>IFERROR($I223*0.22,"")</f>
        <v/>
      </c>
      <c r="K223" s="61">
        <f>IFERROR($I223+$J223,"")</f>
        <v/>
      </c>
      <c r="L223" s="59">
        <f>IFERROR(INDEX('Прайс-лист'!$Q$11:$Q$310,MATCH(ROWS($A$16:A223),'Прайс-лист'!$U$11:$U$310,0)),"")</f>
        <v/>
      </c>
    </row>
    <row r="224" ht="13.5" customHeight="1" s="49">
      <c r="A224" s="64">
        <f>IFERROR(IF(INDEX('Прайс-лист'!$U$11:$U$310,MATCH(ROWS($A$16:A224),'Прайс-лист'!$U$11:$U$310,0))="","",ROWS($A$16:A224)),"")</f>
        <v/>
      </c>
      <c r="B224" s="58">
        <f>IFERROR(INDEX('Прайс-лист'!$A$11:$A$310,MATCH(ROWS($A$16:A224),'Прайс-лист'!$U$11:$U$310,0)),"")</f>
        <v/>
      </c>
      <c r="C224" s="58">
        <f>IFERROR(INDEX('Прайс-лист'!$B$11:$B$310,MATCH(ROWS($A$16:A224),'Прайс-лист'!$U$11:$U$310,0)),"")</f>
        <v/>
      </c>
      <c r="D224" s="59">
        <f>IFERROR(INDEX('Прайс-лист'!$C$11:$C$310,MATCH(ROWS($A$16:A224),'Прайс-лист'!$U$11:$U$310,0)),"")</f>
        <v/>
      </c>
      <c r="E224" s="59">
        <f>IFERROR(INDEX('Прайс-лист'!$E$11:$E$310,MATCH(ROWS($A$16:A224),'Прайс-лист'!$U$11:$U$310,0)),"")</f>
        <v/>
      </c>
      <c r="F224" s="58">
        <f>IFERROR(INDEX('Прайс-лист'!$F$11:$F$310,MATCH(ROWS($A$16:A224),'Прайс-лист'!$U$11:$U$310,0)),"")</f>
        <v/>
      </c>
      <c r="G224" s="61">
        <f>IFERROR(INDEX('Прайс-лист'!$R$11:$R$310,MATCH(ROWS($A$16:A224),'Прайс-лист'!$U$11:$U$310,0)),"")</f>
        <v/>
      </c>
      <c r="H224" s="60">
        <f>IFERROR(INDEX('Прайс-лист'!$P$11:$P$310,MATCH(ROWS($A$16:A224),'Прайс-лист'!$U$11:$U$310,0)),"")</f>
        <v/>
      </c>
      <c r="I224" s="61">
        <f>IFERROR(INDEX('Прайс-лист'!$S$11:$S$310,MATCH(ROWS($A$16:A224),'Прайс-лист'!$U$11:$U$310,0)),"")</f>
        <v/>
      </c>
      <c r="J224" s="61">
        <f>IFERROR($I224*0.22,"")</f>
        <v/>
      </c>
      <c r="K224" s="61">
        <f>IFERROR($I224+$J224,"")</f>
        <v/>
      </c>
      <c r="L224" s="59">
        <f>IFERROR(INDEX('Прайс-лист'!$Q$11:$Q$310,MATCH(ROWS($A$16:A224),'Прайс-лист'!$U$11:$U$310,0)),"")</f>
        <v/>
      </c>
    </row>
    <row r="225" ht="13.5" customHeight="1" s="49">
      <c r="A225" s="64">
        <f>IFERROR(IF(INDEX('Прайс-лист'!$U$11:$U$310,MATCH(ROWS($A$16:A225),'Прайс-лист'!$U$11:$U$310,0))="","",ROWS($A$16:A225)),"")</f>
        <v/>
      </c>
      <c r="B225" s="58">
        <f>IFERROR(INDEX('Прайс-лист'!$A$11:$A$310,MATCH(ROWS($A$16:A225),'Прайс-лист'!$U$11:$U$310,0)),"")</f>
        <v/>
      </c>
      <c r="C225" s="58">
        <f>IFERROR(INDEX('Прайс-лист'!$B$11:$B$310,MATCH(ROWS($A$16:A225),'Прайс-лист'!$U$11:$U$310,0)),"")</f>
        <v/>
      </c>
      <c r="D225" s="59">
        <f>IFERROR(INDEX('Прайс-лист'!$C$11:$C$310,MATCH(ROWS($A$16:A225),'Прайс-лист'!$U$11:$U$310,0)),"")</f>
        <v/>
      </c>
      <c r="E225" s="59">
        <f>IFERROR(INDEX('Прайс-лист'!$E$11:$E$310,MATCH(ROWS($A$16:A225),'Прайс-лист'!$U$11:$U$310,0)),"")</f>
        <v/>
      </c>
      <c r="F225" s="58">
        <f>IFERROR(INDEX('Прайс-лист'!$F$11:$F$310,MATCH(ROWS($A$16:A225),'Прайс-лист'!$U$11:$U$310,0)),"")</f>
        <v/>
      </c>
      <c r="G225" s="61">
        <f>IFERROR(INDEX('Прайс-лист'!$R$11:$R$310,MATCH(ROWS($A$16:A225),'Прайс-лист'!$U$11:$U$310,0)),"")</f>
        <v/>
      </c>
      <c r="H225" s="60">
        <f>IFERROR(INDEX('Прайс-лист'!$P$11:$P$310,MATCH(ROWS($A$16:A225),'Прайс-лист'!$U$11:$U$310,0)),"")</f>
        <v/>
      </c>
      <c r="I225" s="61">
        <f>IFERROR(INDEX('Прайс-лист'!$S$11:$S$310,MATCH(ROWS($A$16:A225),'Прайс-лист'!$U$11:$U$310,0)),"")</f>
        <v/>
      </c>
      <c r="J225" s="61">
        <f>IFERROR($I225*0.22,"")</f>
        <v/>
      </c>
      <c r="K225" s="61">
        <f>IFERROR($I225+$J225,"")</f>
        <v/>
      </c>
      <c r="L225" s="59">
        <f>IFERROR(INDEX('Прайс-лист'!$Q$11:$Q$310,MATCH(ROWS($A$16:A225),'Прайс-лист'!$U$11:$U$310,0)),"")</f>
        <v/>
      </c>
    </row>
    <row r="226" ht="13.5" customHeight="1" s="49">
      <c r="A226" s="64">
        <f>IFERROR(IF(INDEX('Прайс-лист'!$U$11:$U$310,MATCH(ROWS($A$16:A226),'Прайс-лист'!$U$11:$U$310,0))="","",ROWS($A$16:A226)),"")</f>
        <v/>
      </c>
      <c r="B226" s="58">
        <f>IFERROR(INDEX('Прайс-лист'!$A$11:$A$310,MATCH(ROWS($A$16:A226),'Прайс-лист'!$U$11:$U$310,0)),"")</f>
        <v/>
      </c>
      <c r="C226" s="58">
        <f>IFERROR(INDEX('Прайс-лист'!$B$11:$B$310,MATCH(ROWS($A$16:A226),'Прайс-лист'!$U$11:$U$310,0)),"")</f>
        <v/>
      </c>
      <c r="D226" s="59">
        <f>IFERROR(INDEX('Прайс-лист'!$C$11:$C$310,MATCH(ROWS($A$16:A226),'Прайс-лист'!$U$11:$U$310,0)),"")</f>
        <v/>
      </c>
      <c r="E226" s="59">
        <f>IFERROR(INDEX('Прайс-лист'!$E$11:$E$310,MATCH(ROWS($A$16:A226),'Прайс-лист'!$U$11:$U$310,0)),"")</f>
        <v/>
      </c>
      <c r="F226" s="58">
        <f>IFERROR(INDEX('Прайс-лист'!$F$11:$F$310,MATCH(ROWS($A$16:A226),'Прайс-лист'!$U$11:$U$310,0)),"")</f>
        <v/>
      </c>
      <c r="G226" s="61">
        <f>IFERROR(INDEX('Прайс-лист'!$R$11:$R$310,MATCH(ROWS($A$16:A226),'Прайс-лист'!$U$11:$U$310,0)),"")</f>
        <v/>
      </c>
      <c r="H226" s="60">
        <f>IFERROR(INDEX('Прайс-лист'!$P$11:$P$310,MATCH(ROWS($A$16:A226),'Прайс-лист'!$U$11:$U$310,0)),"")</f>
        <v/>
      </c>
      <c r="I226" s="61">
        <f>IFERROR(INDEX('Прайс-лист'!$S$11:$S$310,MATCH(ROWS($A$16:A226),'Прайс-лист'!$U$11:$U$310,0)),"")</f>
        <v/>
      </c>
      <c r="J226" s="61">
        <f>IFERROR($I226*0.22,"")</f>
        <v/>
      </c>
      <c r="K226" s="61">
        <f>IFERROR($I226+$J226,"")</f>
        <v/>
      </c>
      <c r="L226" s="59">
        <f>IFERROR(INDEX('Прайс-лист'!$Q$11:$Q$310,MATCH(ROWS($A$16:A226),'Прайс-лист'!$U$11:$U$310,0)),"")</f>
        <v/>
      </c>
    </row>
    <row r="227" ht="13.5" customHeight="1" s="49">
      <c r="A227" s="64">
        <f>IFERROR(IF(INDEX('Прайс-лист'!$U$11:$U$310,MATCH(ROWS($A$16:A227),'Прайс-лист'!$U$11:$U$310,0))="","",ROWS($A$16:A227)),"")</f>
        <v/>
      </c>
      <c r="B227" s="58">
        <f>IFERROR(INDEX('Прайс-лист'!$A$11:$A$310,MATCH(ROWS($A$16:A227),'Прайс-лист'!$U$11:$U$310,0)),"")</f>
        <v/>
      </c>
      <c r="C227" s="58">
        <f>IFERROR(INDEX('Прайс-лист'!$B$11:$B$310,MATCH(ROWS($A$16:A227),'Прайс-лист'!$U$11:$U$310,0)),"")</f>
        <v/>
      </c>
      <c r="D227" s="59">
        <f>IFERROR(INDEX('Прайс-лист'!$C$11:$C$310,MATCH(ROWS($A$16:A227),'Прайс-лист'!$U$11:$U$310,0)),"")</f>
        <v/>
      </c>
      <c r="E227" s="59">
        <f>IFERROR(INDEX('Прайс-лист'!$E$11:$E$310,MATCH(ROWS($A$16:A227),'Прайс-лист'!$U$11:$U$310,0)),"")</f>
        <v/>
      </c>
      <c r="F227" s="58">
        <f>IFERROR(INDEX('Прайс-лист'!$F$11:$F$310,MATCH(ROWS($A$16:A227),'Прайс-лист'!$U$11:$U$310,0)),"")</f>
        <v/>
      </c>
      <c r="G227" s="61">
        <f>IFERROR(INDEX('Прайс-лист'!$R$11:$R$310,MATCH(ROWS($A$16:A227),'Прайс-лист'!$U$11:$U$310,0)),"")</f>
        <v/>
      </c>
      <c r="H227" s="60">
        <f>IFERROR(INDEX('Прайс-лист'!$P$11:$P$310,MATCH(ROWS($A$16:A227),'Прайс-лист'!$U$11:$U$310,0)),"")</f>
        <v/>
      </c>
      <c r="I227" s="61">
        <f>IFERROR(INDEX('Прайс-лист'!$S$11:$S$310,MATCH(ROWS($A$16:A227),'Прайс-лист'!$U$11:$U$310,0)),"")</f>
        <v/>
      </c>
      <c r="J227" s="61">
        <f>IFERROR($I227*0.22,"")</f>
        <v/>
      </c>
      <c r="K227" s="61">
        <f>IFERROR($I227+$J227,"")</f>
        <v/>
      </c>
      <c r="L227" s="59">
        <f>IFERROR(INDEX('Прайс-лист'!$Q$11:$Q$310,MATCH(ROWS($A$16:A227),'Прайс-лист'!$U$11:$U$310,0)),"")</f>
        <v/>
      </c>
    </row>
    <row r="228" ht="13.5" customHeight="1" s="49">
      <c r="A228" s="64">
        <f>IFERROR(IF(INDEX('Прайс-лист'!$U$11:$U$310,MATCH(ROWS($A$16:A228),'Прайс-лист'!$U$11:$U$310,0))="","",ROWS($A$16:A228)),"")</f>
        <v/>
      </c>
      <c r="B228" s="58">
        <f>IFERROR(INDEX('Прайс-лист'!$A$11:$A$310,MATCH(ROWS($A$16:A228),'Прайс-лист'!$U$11:$U$310,0)),"")</f>
        <v/>
      </c>
      <c r="C228" s="58">
        <f>IFERROR(INDEX('Прайс-лист'!$B$11:$B$310,MATCH(ROWS($A$16:A228),'Прайс-лист'!$U$11:$U$310,0)),"")</f>
        <v/>
      </c>
      <c r="D228" s="59">
        <f>IFERROR(INDEX('Прайс-лист'!$C$11:$C$310,MATCH(ROWS($A$16:A228),'Прайс-лист'!$U$11:$U$310,0)),"")</f>
        <v/>
      </c>
      <c r="E228" s="59">
        <f>IFERROR(INDEX('Прайс-лист'!$E$11:$E$310,MATCH(ROWS($A$16:A228),'Прайс-лист'!$U$11:$U$310,0)),"")</f>
        <v/>
      </c>
      <c r="F228" s="58">
        <f>IFERROR(INDEX('Прайс-лист'!$F$11:$F$310,MATCH(ROWS($A$16:A228),'Прайс-лист'!$U$11:$U$310,0)),"")</f>
        <v/>
      </c>
      <c r="G228" s="61">
        <f>IFERROR(INDEX('Прайс-лист'!$R$11:$R$310,MATCH(ROWS($A$16:A228),'Прайс-лист'!$U$11:$U$310,0)),"")</f>
        <v/>
      </c>
      <c r="H228" s="60">
        <f>IFERROR(INDEX('Прайс-лист'!$P$11:$P$310,MATCH(ROWS($A$16:A228),'Прайс-лист'!$U$11:$U$310,0)),"")</f>
        <v/>
      </c>
      <c r="I228" s="61">
        <f>IFERROR(INDEX('Прайс-лист'!$S$11:$S$310,MATCH(ROWS($A$16:A228),'Прайс-лист'!$U$11:$U$310,0)),"")</f>
        <v/>
      </c>
      <c r="J228" s="61">
        <f>IFERROR($I228*0.22,"")</f>
        <v/>
      </c>
      <c r="K228" s="61">
        <f>IFERROR($I228+$J228,"")</f>
        <v/>
      </c>
      <c r="L228" s="59">
        <f>IFERROR(INDEX('Прайс-лист'!$Q$11:$Q$310,MATCH(ROWS($A$16:A228),'Прайс-лист'!$U$11:$U$310,0)),"")</f>
        <v/>
      </c>
    </row>
    <row r="229" ht="13.5" customHeight="1" s="49">
      <c r="A229" s="64">
        <f>IFERROR(IF(INDEX('Прайс-лист'!$U$11:$U$310,MATCH(ROWS($A$16:A229),'Прайс-лист'!$U$11:$U$310,0))="","",ROWS($A$16:A229)),"")</f>
        <v/>
      </c>
      <c r="B229" s="58">
        <f>IFERROR(INDEX('Прайс-лист'!$A$11:$A$310,MATCH(ROWS($A$16:A229),'Прайс-лист'!$U$11:$U$310,0)),"")</f>
        <v/>
      </c>
      <c r="C229" s="58">
        <f>IFERROR(INDEX('Прайс-лист'!$B$11:$B$310,MATCH(ROWS($A$16:A229),'Прайс-лист'!$U$11:$U$310,0)),"")</f>
        <v/>
      </c>
      <c r="D229" s="59">
        <f>IFERROR(INDEX('Прайс-лист'!$C$11:$C$310,MATCH(ROWS($A$16:A229),'Прайс-лист'!$U$11:$U$310,0)),"")</f>
        <v/>
      </c>
      <c r="E229" s="59">
        <f>IFERROR(INDEX('Прайс-лист'!$E$11:$E$310,MATCH(ROWS($A$16:A229),'Прайс-лист'!$U$11:$U$310,0)),"")</f>
        <v/>
      </c>
      <c r="F229" s="58">
        <f>IFERROR(INDEX('Прайс-лист'!$F$11:$F$310,MATCH(ROWS($A$16:A229),'Прайс-лист'!$U$11:$U$310,0)),"")</f>
        <v/>
      </c>
      <c r="G229" s="61">
        <f>IFERROR(INDEX('Прайс-лист'!$R$11:$R$310,MATCH(ROWS($A$16:A229),'Прайс-лист'!$U$11:$U$310,0)),"")</f>
        <v/>
      </c>
      <c r="H229" s="60">
        <f>IFERROR(INDEX('Прайс-лист'!$P$11:$P$310,MATCH(ROWS($A$16:A229),'Прайс-лист'!$U$11:$U$310,0)),"")</f>
        <v/>
      </c>
      <c r="I229" s="61">
        <f>IFERROR(INDEX('Прайс-лист'!$S$11:$S$310,MATCH(ROWS($A$16:A229),'Прайс-лист'!$U$11:$U$310,0)),"")</f>
        <v/>
      </c>
      <c r="J229" s="61">
        <f>IFERROR($I229*0.22,"")</f>
        <v/>
      </c>
      <c r="K229" s="61">
        <f>IFERROR($I229+$J229,"")</f>
        <v/>
      </c>
      <c r="L229" s="59">
        <f>IFERROR(INDEX('Прайс-лист'!$Q$11:$Q$310,MATCH(ROWS($A$16:A229),'Прайс-лист'!$U$11:$U$310,0)),"")</f>
        <v/>
      </c>
    </row>
    <row r="230" ht="13.5" customHeight="1" s="49">
      <c r="A230" s="64">
        <f>IFERROR(IF(INDEX('Прайс-лист'!$U$11:$U$310,MATCH(ROWS($A$16:A230),'Прайс-лист'!$U$11:$U$310,0))="","",ROWS($A$16:A230)),"")</f>
        <v/>
      </c>
      <c r="B230" s="58">
        <f>IFERROR(INDEX('Прайс-лист'!$A$11:$A$310,MATCH(ROWS($A$16:A230),'Прайс-лист'!$U$11:$U$310,0)),"")</f>
        <v/>
      </c>
      <c r="C230" s="58">
        <f>IFERROR(INDEX('Прайс-лист'!$B$11:$B$310,MATCH(ROWS($A$16:A230),'Прайс-лист'!$U$11:$U$310,0)),"")</f>
        <v/>
      </c>
      <c r="D230" s="59">
        <f>IFERROR(INDEX('Прайс-лист'!$C$11:$C$310,MATCH(ROWS($A$16:A230),'Прайс-лист'!$U$11:$U$310,0)),"")</f>
        <v/>
      </c>
      <c r="E230" s="59">
        <f>IFERROR(INDEX('Прайс-лист'!$E$11:$E$310,MATCH(ROWS($A$16:A230),'Прайс-лист'!$U$11:$U$310,0)),"")</f>
        <v/>
      </c>
      <c r="F230" s="58">
        <f>IFERROR(INDEX('Прайс-лист'!$F$11:$F$310,MATCH(ROWS($A$16:A230),'Прайс-лист'!$U$11:$U$310,0)),"")</f>
        <v/>
      </c>
      <c r="G230" s="61">
        <f>IFERROR(INDEX('Прайс-лист'!$R$11:$R$310,MATCH(ROWS($A$16:A230),'Прайс-лист'!$U$11:$U$310,0)),"")</f>
        <v/>
      </c>
      <c r="H230" s="60">
        <f>IFERROR(INDEX('Прайс-лист'!$P$11:$P$310,MATCH(ROWS($A$16:A230),'Прайс-лист'!$U$11:$U$310,0)),"")</f>
        <v/>
      </c>
      <c r="I230" s="61">
        <f>IFERROR(INDEX('Прайс-лист'!$S$11:$S$310,MATCH(ROWS($A$16:A230),'Прайс-лист'!$U$11:$U$310,0)),"")</f>
        <v/>
      </c>
      <c r="J230" s="61">
        <f>IFERROR($I230*0.22,"")</f>
        <v/>
      </c>
      <c r="K230" s="61">
        <f>IFERROR($I230+$J230,"")</f>
        <v/>
      </c>
      <c r="L230" s="59">
        <f>IFERROR(INDEX('Прайс-лист'!$Q$11:$Q$310,MATCH(ROWS($A$16:A230),'Прайс-лист'!$U$11:$U$310,0)),"")</f>
        <v/>
      </c>
    </row>
    <row r="231" ht="13.5" customHeight="1" s="49">
      <c r="A231" s="64">
        <f>IFERROR(IF(INDEX('Прайс-лист'!$U$11:$U$310,MATCH(ROWS($A$16:A231),'Прайс-лист'!$U$11:$U$310,0))="","",ROWS($A$16:A231)),"")</f>
        <v/>
      </c>
      <c r="B231" s="58">
        <f>IFERROR(INDEX('Прайс-лист'!$A$11:$A$310,MATCH(ROWS($A$16:A231),'Прайс-лист'!$U$11:$U$310,0)),"")</f>
        <v/>
      </c>
      <c r="C231" s="58">
        <f>IFERROR(INDEX('Прайс-лист'!$B$11:$B$310,MATCH(ROWS($A$16:A231),'Прайс-лист'!$U$11:$U$310,0)),"")</f>
        <v/>
      </c>
      <c r="D231" s="59">
        <f>IFERROR(INDEX('Прайс-лист'!$C$11:$C$310,MATCH(ROWS($A$16:A231),'Прайс-лист'!$U$11:$U$310,0)),"")</f>
        <v/>
      </c>
      <c r="E231" s="59">
        <f>IFERROR(INDEX('Прайс-лист'!$E$11:$E$310,MATCH(ROWS($A$16:A231),'Прайс-лист'!$U$11:$U$310,0)),"")</f>
        <v/>
      </c>
      <c r="F231" s="58">
        <f>IFERROR(INDEX('Прайс-лист'!$F$11:$F$310,MATCH(ROWS($A$16:A231),'Прайс-лист'!$U$11:$U$310,0)),"")</f>
        <v/>
      </c>
      <c r="G231" s="61">
        <f>IFERROR(INDEX('Прайс-лист'!$R$11:$R$310,MATCH(ROWS($A$16:A231),'Прайс-лист'!$U$11:$U$310,0)),"")</f>
        <v/>
      </c>
      <c r="H231" s="60">
        <f>IFERROR(INDEX('Прайс-лист'!$P$11:$P$310,MATCH(ROWS($A$16:A231),'Прайс-лист'!$U$11:$U$310,0)),"")</f>
        <v/>
      </c>
      <c r="I231" s="61">
        <f>IFERROR(INDEX('Прайс-лист'!$S$11:$S$310,MATCH(ROWS($A$16:A231),'Прайс-лист'!$U$11:$U$310,0)),"")</f>
        <v/>
      </c>
      <c r="J231" s="61">
        <f>IFERROR($I231*0.22,"")</f>
        <v/>
      </c>
      <c r="K231" s="61">
        <f>IFERROR($I231+$J231,"")</f>
        <v/>
      </c>
      <c r="L231" s="59">
        <f>IFERROR(INDEX('Прайс-лист'!$Q$11:$Q$310,MATCH(ROWS($A$16:A231),'Прайс-лист'!$U$11:$U$310,0)),"")</f>
        <v/>
      </c>
    </row>
    <row r="232" ht="13.5" customHeight="1" s="49">
      <c r="A232" s="64">
        <f>IFERROR(IF(INDEX('Прайс-лист'!$U$11:$U$310,MATCH(ROWS($A$16:A232),'Прайс-лист'!$U$11:$U$310,0))="","",ROWS($A$16:A232)),"")</f>
        <v/>
      </c>
      <c r="B232" s="58">
        <f>IFERROR(INDEX('Прайс-лист'!$A$11:$A$310,MATCH(ROWS($A$16:A232),'Прайс-лист'!$U$11:$U$310,0)),"")</f>
        <v/>
      </c>
      <c r="C232" s="58">
        <f>IFERROR(INDEX('Прайс-лист'!$B$11:$B$310,MATCH(ROWS($A$16:A232),'Прайс-лист'!$U$11:$U$310,0)),"")</f>
        <v/>
      </c>
      <c r="D232" s="59">
        <f>IFERROR(INDEX('Прайс-лист'!$C$11:$C$310,MATCH(ROWS($A$16:A232),'Прайс-лист'!$U$11:$U$310,0)),"")</f>
        <v/>
      </c>
      <c r="E232" s="59">
        <f>IFERROR(INDEX('Прайс-лист'!$E$11:$E$310,MATCH(ROWS($A$16:A232),'Прайс-лист'!$U$11:$U$310,0)),"")</f>
        <v/>
      </c>
      <c r="F232" s="58">
        <f>IFERROR(INDEX('Прайс-лист'!$F$11:$F$310,MATCH(ROWS($A$16:A232),'Прайс-лист'!$U$11:$U$310,0)),"")</f>
        <v/>
      </c>
      <c r="G232" s="61">
        <f>IFERROR(INDEX('Прайс-лист'!$R$11:$R$310,MATCH(ROWS($A$16:A232),'Прайс-лист'!$U$11:$U$310,0)),"")</f>
        <v/>
      </c>
      <c r="H232" s="60">
        <f>IFERROR(INDEX('Прайс-лист'!$P$11:$P$310,MATCH(ROWS($A$16:A232),'Прайс-лист'!$U$11:$U$310,0)),"")</f>
        <v/>
      </c>
      <c r="I232" s="61">
        <f>IFERROR(INDEX('Прайс-лист'!$S$11:$S$310,MATCH(ROWS($A$16:A232),'Прайс-лист'!$U$11:$U$310,0)),"")</f>
        <v/>
      </c>
      <c r="J232" s="61">
        <f>IFERROR($I232*0.22,"")</f>
        <v/>
      </c>
      <c r="K232" s="61">
        <f>IFERROR($I232+$J232,"")</f>
        <v/>
      </c>
      <c r="L232" s="59">
        <f>IFERROR(INDEX('Прайс-лист'!$Q$11:$Q$310,MATCH(ROWS($A$16:A232),'Прайс-лист'!$U$11:$U$310,0)),"")</f>
        <v/>
      </c>
    </row>
    <row r="233" ht="13.5" customHeight="1" s="49">
      <c r="A233" s="64">
        <f>IFERROR(IF(INDEX('Прайс-лист'!$U$11:$U$310,MATCH(ROWS($A$16:A233),'Прайс-лист'!$U$11:$U$310,0))="","",ROWS($A$16:A233)),"")</f>
        <v/>
      </c>
      <c r="B233" s="58">
        <f>IFERROR(INDEX('Прайс-лист'!$A$11:$A$310,MATCH(ROWS($A$16:A233),'Прайс-лист'!$U$11:$U$310,0)),"")</f>
        <v/>
      </c>
      <c r="C233" s="58">
        <f>IFERROR(INDEX('Прайс-лист'!$B$11:$B$310,MATCH(ROWS($A$16:A233),'Прайс-лист'!$U$11:$U$310,0)),"")</f>
        <v/>
      </c>
      <c r="D233" s="59">
        <f>IFERROR(INDEX('Прайс-лист'!$C$11:$C$310,MATCH(ROWS($A$16:A233),'Прайс-лист'!$U$11:$U$310,0)),"")</f>
        <v/>
      </c>
      <c r="E233" s="59">
        <f>IFERROR(INDEX('Прайс-лист'!$E$11:$E$310,MATCH(ROWS($A$16:A233),'Прайс-лист'!$U$11:$U$310,0)),"")</f>
        <v/>
      </c>
      <c r="F233" s="58">
        <f>IFERROR(INDEX('Прайс-лист'!$F$11:$F$310,MATCH(ROWS($A$16:A233),'Прайс-лист'!$U$11:$U$310,0)),"")</f>
        <v/>
      </c>
      <c r="G233" s="61">
        <f>IFERROR(INDEX('Прайс-лист'!$R$11:$R$310,MATCH(ROWS($A$16:A233),'Прайс-лист'!$U$11:$U$310,0)),"")</f>
        <v/>
      </c>
      <c r="H233" s="60">
        <f>IFERROR(INDEX('Прайс-лист'!$P$11:$P$310,MATCH(ROWS($A$16:A233),'Прайс-лист'!$U$11:$U$310,0)),"")</f>
        <v/>
      </c>
      <c r="I233" s="61">
        <f>IFERROR(INDEX('Прайс-лист'!$S$11:$S$310,MATCH(ROWS($A$16:A233),'Прайс-лист'!$U$11:$U$310,0)),"")</f>
        <v/>
      </c>
      <c r="J233" s="61">
        <f>IFERROR($I233*0.22,"")</f>
        <v/>
      </c>
      <c r="K233" s="61">
        <f>IFERROR($I233+$J233,"")</f>
        <v/>
      </c>
      <c r="L233" s="59">
        <f>IFERROR(INDEX('Прайс-лист'!$Q$11:$Q$310,MATCH(ROWS($A$16:A233),'Прайс-лист'!$U$11:$U$310,0)),"")</f>
        <v/>
      </c>
    </row>
    <row r="234" ht="13.5" customHeight="1" s="49">
      <c r="A234" s="64">
        <f>IFERROR(IF(INDEX('Прайс-лист'!$U$11:$U$310,MATCH(ROWS($A$16:A234),'Прайс-лист'!$U$11:$U$310,0))="","",ROWS($A$16:A234)),"")</f>
        <v/>
      </c>
      <c r="B234" s="58">
        <f>IFERROR(INDEX('Прайс-лист'!$A$11:$A$310,MATCH(ROWS($A$16:A234),'Прайс-лист'!$U$11:$U$310,0)),"")</f>
        <v/>
      </c>
      <c r="C234" s="58">
        <f>IFERROR(INDEX('Прайс-лист'!$B$11:$B$310,MATCH(ROWS($A$16:A234),'Прайс-лист'!$U$11:$U$310,0)),"")</f>
        <v/>
      </c>
      <c r="D234" s="59">
        <f>IFERROR(INDEX('Прайс-лист'!$C$11:$C$310,MATCH(ROWS($A$16:A234),'Прайс-лист'!$U$11:$U$310,0)),"")</f>
        <v/>
      </c>
      <c r="E234" s="59">
        <f>IFERROR(INDEX('Прайс-лист'!$E$11:$E$310,MATCH(ROWS($A$16:A234),'Прайс-лист'!$U$11:$U$310,0)),"")</f>
        <v/>
      </c>
      <c r="F234" s="58">
        <f>IFERROR(INDEX('Прайс-лист'!$F$11:$F$310,MATCH(ROWS($A$16:A234),'Прайс-лист'!$U$11:$U$310,0)),"")</f>
        <v/>
      </c>
      <c r="G234" s="61">
        <f>IFERROR(INDEX('Прайс-лист'!$R$11:$R$310,MATCH(ROWS($A$16:A234),'Прайс-лист'!$U$11:$U$310,0)),"")</f>
        <v/>
      </c>
      <c r="H234" s="60">
        <f>IFERROR(INDEX('Прайс-лист'!$P$11:$P$310,MATCH(ROWS($A$16:A234),'Прайс-лист'!$U$11:$U$310,0)),"")</f>
        <v/>
      </c>
      <c r="I234" s="61">
        <f>IFERROR(INDEX('Прайс-лист'!$S$11:$S$310,MATCH(ROWS($A$16:A234),'Прайс-лист'!$U$11:$U$310,0)),"")</f>
        <v/>
      </c>
      <c r="J234" s="61">
        <f>IFERROR($I234*0.22,"")</f>
        <v/>
      </c>
      <c r="K234" s="61">
        <f>IFERROR($I234+$J234,"")</f>
        <v/>
      </c>
      <c r="L234" s="59">
        <f>IFERROR(INDEX('Прайс-лист'!$Q$11:$Q$310,MATCH(ROWS($A$16:A234),'Прайс-лист'!$U$11:$U$310,0)),"")</f>
        <v/>
      </c>
    </row>
    <row r="235" ht="13.5" customHeight="1" s="49">
      <c r="A235" s="64">
        <f>IFERROR(IF(INDEX('Прайс-лист'!$U$11:$U$310,MATCH(ROWS($A$16:A235),'Прайс-лист'!$U$11:$U$310,0))="","",ROWS($A$16:A235)),"")</f>
        <v/>
      </c>
      <c r="B235" s="58">
        <f>IFERROR(INDEX('Прайс-лист'!$A$11:$A$310,MATCH(ROWS($A$16:A235),'Прайс-лист'!$U$11:$U$310,0)),"")</f>
        <v/>
      </c>
      <c r="C235" s="58">
        <f>IFERROR(INDEX('Прайс-лист'!$B$11:$B$310,MATCH(ROWS($A$16:A235),'Прайс-лист'!$U$11:$U$310,0)),"")</f>
        <v/>
      </c>
      <c r="D235" s="59">
        <f>IFERROR(INDEX('Прайс-лист'!$C$11:$C$310,MATCH(ROWS($A$16:A235),'Прайс-лист'!$U$11:$U$310,0)),"")</f>
        <v/>
      </c>
      <c r="E235" s="59">
        <f>IFERROR(INDEX('Прайс-лист'!$E$11:$E$310,MATCH(ROWS($A$16:A235),'Прайс-лист'!$U$11:$U$310,0)),"")</f>
        <v/>
      </c>
      <c r="F235" s="58">
        <f>IFERROR(INDEX('Прайс-лист'!$F$11:$F$310,MATCH(ROWS($A$16:A235),'Прайс-лист'!$U$11:$U$310,0)),"")</f>
        <v/>
      </c>
      <c r="G235" s="61">
        <f>IFERROR(INDEX('Прайс-лист'!$R$11:$R$310,MATCH(ROWS($A$16:A235),'Прайс-лист'!$U$11:$U$310,0)),"")</f>
        <v/>
      </c>
      <c r="H235" s="60">
        <f>IFERROR(INDEX('Прайс-лист'!$P$11:$P$310,MATCH(ROWS($A$16:A235),'Прайс-лист'!$U$11:$U$310,0)),"")</f>
        <v/>
      </c>
      <c r="I235" s="61">
        <f>IFERROR(INDEX('Прайс-лист'!$S$11:$S$310,MATCH(ROWS($A$16:A235),'Прайс-лист'!$U$11:$U$310,0)),"")</f>
        <v/>
      </c>
      <c r="J235" s="61">
        <f>IFERROR($I235*0.22,"")</f>
        <v/>
      </c>
      <c r="K235" s="61">
        <f>IFERROR($I235+$J235,"")</f>
        <v/>
      </c>
      <c r="L235" s="59">
        <f>IFERROR(INDEX('Прайс-лист'!$Q$11:$Q$310,MATCH(ROWS($A$16:A235),'Прайс-лист'!$U$11:$U$310,0)),"")</f>
        <v/>
      </c>
    </row>
    <row r="236" ht="13.5" customHeight="1" s="49">
      <c r="A236" s="64">
        <f>IFERROR(IF(INDEX('Прайс-лист'!$U$11:$U$310,MATCH(ROWS($A$16:A236),'Прайс-лист'!$U$11:$U$310,0))="","",ROWS($A$16:A236)),"")</f>
        <v/>
      </c>
      <c r="B236" s="58">
        <f>IFERROR(INDEX('Прайс-лист'!$A$11:$A$310,MATCH(ROWS($A$16:A236),'Прайс-лист'!$U$11:$U$310,0)),"")</f>
        <v/>
      </c>
      <c r="C236" s="58">
        <f>IFERROR(INDEX('Прайс-лист'!$B$11:$B$310,MATCH(ROWS($A$16:A236),'Прайс-лист'!$U$11:$U$310,0)),"")</f>
        <v/>
      </c>
      <c r="D236" s="59">
        <f>IFERROR(INDEX('Прайс-лист'!$C$11:$C$310,MATCH(ROWS($A$16:A236),'Прайс-лист'!$U$11:$U$310,0)),"")</f>
        <v/>
      </c>
      <c r="E236" s="59">
        <f>IFERROR(INDEX('Прайс-лист'!$E$11:$E$310,MATCH(ROWS($A$16:A236),'Прайс-лист'!$U$11:$U$310,0)),"")</f>
        <v/>
      </c>
      <c r="F236" s="58">
        <f>IFERROR(INDEX('Прайс-лист'!$F$11:$F$310,MATCH(ROWS($A$16:A236),'Прайс-лист'!$U$11:$U$310,0)),"")</f>
        <v/>
      </c>
      <c r="G236" s="61">
        <f>IFERROR(INDEX('Прайс-лист'!$R$11:$R$310,MATCH(ROWS($A$16:A236),'Прайс-лист'!$U$11:$U$310,0)),"")</f>
        <v/>
      </c>
      <c r="H236" s="60">
        <f>IFERROR(INDEX('Прайс-лист'!$P$11:$P$310,MATCH(ROWS($A$16:A236),'Прайс-лист'!$U$11:$U$310,0)),"")</f>
        <v/>
      </c>
      <c r="I236" s="61">
        <f>IFERROR(INDEX('Прайс-лист'!$S$11:$S$310,MATCH(ROWS($A$16:A236),'Прайс-лист'!$U$11:$U$310,0)),"")</f>
        <v/>
      </c>
      <c r="J236" s="61">
        <f>IFERROR($I236*0.22,"")</f>
        <v/>
      </c>
      <c r="K236" s="61">
        <f>IFERROR($I236+$J236,"")</f>
        <v/>
      </c>
      <c r="L236" s="59">
        <f>IFERROR(INDEX('Прайс-лист'!$Q$11:$Q$310,MATCH(ROWS($A$16:A236),'Прайс-лист'!$U$11:$U$310,0)),"")</f>
        <v/>
      </c>
    </row>
    <row r="237" ht="13.5" customHeight="1" s="49">
      <c r="A237" s="64">
        <f>IFERROR(IF(INDEX('Прайс-лист'!$U$11:$U$310,MATCH(ROWS($A$16:A237),'Прайс-лист'!$U$11:$U$310,0))="","",ROWS($A$16:A237)),"")</f>
        <v/>
      </c>
      <c r="B237" s="58">
        <f>IFERROR(INDEX('Прайс-лист'!$A$11:$A$310,MATCH(ROWS($A$16:A237),'Прайс-лист'!$U$11:$U$310,0)),"")</f>
        <v/>
      </c>
      <c r="C237" s="58">
        <f>IFERROR(INDEX('Прайс-лист'!$B$11:$B$310,MATCH(ROWS($A$16:A237),'Прайс-лист'!$U$11:$U$310,0)),"")</f>
        <v/>
      </c>
      <c r="D237" s="59">
        <f>IFERROR(INDEX('Прайс-лист'!$C$11:$C$310,MATCH(ROWS($A$16:A237),'Прайс-лист'!$U$11:$U$310,0)),"")</f>
        <v/>
      </c>
      <c r="E237" s="59">
        <f>IFERROR(INDEX('Прайс-лист'!$E$11:$E$310,MATCH(ROWS($A$16:A237),'Прайс-лист'!$U$11:$U$310,0)),"")</f>
        <v/>
      </c>
      <c r="F237" s="58">
        <f>IFERROR(INDEX('Прайс-лист'!$F$11:$F$310,MATCH(ROWS($A$16:A237),'Прайс-лист'!$U$11:$U$310,0)),"")</f>
        <v/>
      </c>
      <c r="G237" s="61">
        <f>IFERROR(INDEX('Прайс-лист'!$R$11:$R$310,MATCH(ROWS($A$16:A237),'Прайс-лист'!$U$11:$U$310,0)),"")</f>
        <v/>
      </c>
      <c r="H237" s="60">
        <f>IFERROR(INDEX('Прайс-лист'!$P$11:$P$310,MATCH(ROWS($A$16:A237),'Прайс-лист'!$U$11:$U$310,0)),"")</f>
        <v/>
      </c>
      <c r="I237" s="61">
        <f>IFERROR(INDEX('Прайс-лист'!$S$11:$S$310,MATCH(ROWS($A$16:A237),'Прайс-лист'!$U$11:$U$310,0)),"")</f>
        <v/>
      </c>
      <c r="J237" s="61">
        <f>IFERROR($I237*0.22,"")</f>
        <v/>
      </c>
      <c r="K237" s="61">
        <f>IFERROR($I237+$J237,"")</f>
        <v/>
      </c>
      <c r="L237" s="59">
        <f>IFERROR(INDEX('Прайс-лист'!$Q$11:$Q$310,MATCH(ROWS($A$16:A237),'Прайс-лист'!$U$11:$U$310,0)),"")</f>
        <v/>
      </c>
    </row>
    <row r="238" ht="13.5" customHeight="1" s="49">
      <c r="A238" s="64">
        <f>IFERROR(IF(INDEX('Прайс-лист'!$U$11:$U$310,MATCH(ROWS($A$16:A238),'Прайс-лист'!$U$11:$U$310,0))="","",ROWS($A$16:A238)),"")</f>
        <v/>
      </c>
      <c r="B238" s="58">
        <f>IFERROR(INDEX('Прайс-лист'!$A$11:$A$310,MATCH(ROWS($A$16:A238),'Прайс-лист'!$U$11:$U$310,0)),"")</f>
        <v/>
      </c>
      <c r="C238" s="58">
        <f>IFERROR(INDEX('Прайс-лист'!$B$11:$B$310,MATCH(ROWS($A$16:A238),'Прайс-лист'!$U$11:$U$310,0)),"")</f>
        <v/>
      </c>
      <c r="D238" s="59">
        <f>IFERROR(INDEX('Прайс-лист'!$C$11:$C$310,MATCH(ROWS($A$16:A238),'Прайс-лист'!$U$11:$U$310,0)),"")</f>
        <v/>
      </c>
      <c r="E238" s="59">
        <f>IFERROR(INDEX('Прайс-лист'!$E$11:$E$310,MATCH(ROWS($A$16:A238),'Прайс-лист'!$U$11:$U$310,0)),"")</f>
        <v/>
      </c>
      <c r="F238" s="58">
        <f>IFERROR(INDEX('Прайс-лист'!$F$11:$F$310,MATCH(ROWS($A$16:A238),'Прайс-лист'!$U$11:$U$310,0)),"")</f>
        <v/>
      </c>
      <c r="G238" s="61">
        <f>IFERROR(INDEX('Прайс-лист'!$R$11:$R$310,MATCH(ROWS($A$16:A238),'Прайс-лист'!$U$11:$U$310,0)),"")</f>
        <v/>
      </c>
      <c r="H238" s="60">
        <f>IFERROR(INDEX('Прайс-лист'!$P$11:$P$310,MATCH(ROWS($A$16:A238),'Прайс-лист'!$U$11:$U$310,0)),"")</f>
        <v/>
      </c>
      <c r="I238" s="61">
        <f>IFERROR(INDEX('Прайс-лист'!$S$11:$S$310,MATCH(ROWS($A$16:A238),'Прайс-лист'!$U$11:$U$310,0)),"")</f>
        <v/>
      </c>
      <c r="J238" s="61">
        <f>IFERROR($I238*0.22,"")</f>
        <v/>
      </c>
      <c r="K238" s="61">
        <f>IFERROR($I238+$J238,"")</f>
        <v/>
      </c>
      <c r="L238" s="59">
        <f>IFERROR(INDEX('Прайс-лист'!$Q$11:$Q$310,MATCH(ROWS($A$16:A238),'Прайс-лист'!$U$11:$U$310,0)),"")</f>
        <v/>
      </c>
    </row>
    <row r="239" ht="13.5" customHeight="1" s="49">
      <c r="A239" s="64">
        <f>IFERROR(IF(INDEX('Прайс-лист'!$U$11:$U$310,MATCH(ROWS($A$16:A239),'Прайс-лист'!$U$11:$U$310,0))="","",ROWS($A$16:A239)),"")</f>
        <v/>
      </c>
      <c r="B239" s="58">
        <f>IFERROR(INDEX('Прайс-лист'!$A$11:$A$310,MATCH(ROWS($A$16:A239),'Прайс-лист'!$U$11:$U$310,0)),"")</f>
        <v/>
      </c>
      <c r="C239" s="58">
        <f>IFERROR(INDEX('Прайс-лист'!$B$11:$B$310,MATCH(ROWS($A$16:A239),'Прайс-лист'!$U$11:$U$310,0)),"")</f>
        <v/>
      </c>
      <c r="D239" s="59">
        <f>IFERROR(INDEX('Прайс-лист'!$C$11:$C$310,MATCH(ROWS($A$16:A239),'Прайс-лист'!$U$11:$U$310,0)),"")</f>
        <v/>
      </c>
      <c r="E239" s="59">
        <f>IFERROR(INDEX('Прайс-лист'!$E$11:$E$310,MATCH(ROWS($A$16:A239),'Прайс-лист'!$U$11:$U$310,0)),"")</f>
        <v/>
      </c>
      <c r="F239" s="58">
        <f>IFERROR(INDEX('Прайс-лист'!$F$11:$F$310,MATCH(ROWS($A$16:A239),'Прайс-лист'!$U$11:$U$310,0)),"")</f>
        <v/>
      </c>
      <c r="G239" s="61">
        <f>IFERROR(INDEX('Прайс-лист'!$R$11:$R$310,MATCH(ROWS($A$16:A239),'Прайс-лист'!$U$11:$U$310,0)),"")</f>
        <v/>
      </c>
      <c r="H239" s="60">
        <f>IFERROR(INDEX('Прайс-лист'!$P$11:$P$310,MATCH(ROWS($A$16:A239),'Прайс-лист'!$U$11:$U$310,0)),"")</f>
        <v/>
      </c>
      <c r="I239" s="61">
        <f>IFERROR(INDEX('Прайс-лист'!$S$11:$S$310,MATCH(ROWS($A$16:A239),'Прайс-лист'!$U$11:$U$310,0)),"")</f>
        <v/>
      </c>
      <c r="J239" s="61">
        <f>IFERROR($I239*0.22,"")</f>
        <v/>
      </c>
      <c r="K239" s="61">
        <f>IFERROR($I239+$J239,"")</f>
        <v/>
      </c>
      <c r="L239" s="59">
        <f>IFERROR(INDEX('Прайс-лист'!$Q$11:$Q$310,MATCH(ROWS($A$16:A239),'Прайс-лист'!$U$11:$U$310,0)),"")</f>
        <v/>
      </c>
    </row>
    <row r="240" ht="13.5" customHeight="1" s="49">
      <c r="A240" s="64">
        <f>IFERROR(IF(INDEX('Прайс-лист'!$U$11:$U$310,MATCH(ROWS($A$16:A240),'Прайс-лист'!$U$11:$U$310,0))="","",ROWS($A$16:A240)),"")</f>
        <v/>
      </c>
      <c r="B240" s="58">
        <f>IFERROR(INDEX('Прайс-лист'!$A$11:$A$310,MATCH(ROWS($A$16:A240),'Прайс-лист'!$U$11:$U$310,0)),"")</f>
        <v/>
      </c>
      <c r="C240" s="58">
        <f>IFERROR(INDEX('Прайс-лист'!$B$11:$B$310,MATCH(ROWS($A$16:A240),'Прайс-лист'!$U$11:$U$310,0)),"")</f>
        <v/>
      </c>
      <c r="D240" s="59">
        <f>IFERROR(INDEX('Прайс-лист'!$C$11:$C$310,MATCH(ROWS($A$16:A240),'Прайс-лист'!$U$11:$U$310,0)),"")</f>
        <v/>
      </c>
      <c r="E240" s="59">
        <f>IFERROR(INDEX('Прайс-лист'!$E$11:$E$310,MATCH(ROWS($A$16:A240),'Прайс-лист'!$U$11:$U$310,0)),"")</f>
        <v/>
      </c>
      <c r="F240" s="58">
        <f>IFERROR(INDEX('Прайс-лист'!$F$11:$F$310,MATCH(ROWS($A$16:A240),'Прайс-лист'!$U$11:$U$310,0)),"")</f>
        <v/>
      </c>
      <c r="G240" s="61">
        <f>IFERROR(INDEX('Прайс-лист'!$R$11:$R$310,MATCH(ROWS($A$16:A240),'Прайс-лист'!$U$11:$U$310,0)),"")</f>
        <v/>
      </c>
      <c r="H240" s="60">
        <f>IFERROR(INDEX('Прайс-лист'!$P$11:$P$310,MATCH(ROWS($A$16:A240),'Прайс-лист'!$U$11:$U$310,0)),"")</f>
        <v/>
      </c>
      <c r="I240" s="61">
        <f>IFERROR(INDEX('Прайс-лист'!$S$11:$S$310,MATCH(ROWS($A$16:A240),'Прайс-лист'!$U$11:$U$310,0)),"")</f>
        <v/>
      </c>
      <c r="J240" s="61">
        <f>IFERROR($I240*0.22,"")</f>
        <v/>
      </c>
      <c r="K240" s="61">
        <f>IFERROR($I240+$J240,"")</f>
        <v/>
      </c>
      <c r="L240" s="59">
        <f>IFERROR(INDEX('Прайс-лист'!$Q$11:$Q$310,MATCH(ROWS($A$16:A240),'Прайс-лист'!$U$11:$U$310,0)),"")</f>
        <v/>
      </c>
    </row>
    <row r="241" ht="13.5" customHeight="1" s="49">
      <c r="A241" s="64">
        <f>IFERROR(IF(INDEX('Прайс-лист'!$U$11:$U$310,MATCH(ROWS($A$16:A241),'Прайс-лист'!$U$11:$U$310,0))="","",ROWS($A$16:A241)),"")</f>
        <v/>
      </c>
      <c r="B241" s="58">
        <f>IFERROR(INDEX('Прайс-лист'!$A$11:$A$310,MATCH(ROWS($A$16:A241),'Прайс-лист'!$U$11:$U$310,0)),"")</f>
        <v/>
      </c>
      <c r="C241" s="58">
        <f>IFERROR(INDEX('Прайс-лист'!$B$11:$B$310,MATCH(ROWS($A$16:A241),'Прайс-лист'!$U$11:$U$310,0)),"")</f>
        <v/>
      </c>
      <c r="D241" s="59">
        <f>IFERROR(INDEX('Прайс-лист'!$C$11:$C$310,MATCH(ROWS($A$16:A241),'Прайс-лист'!$U$11:$U$310,0)),"")</f>
        <v/>
      </c>
      <c r="E241" s="59">
        <f>IFERROR(INDEX('Прайс-лист'!$E$11:$E$310,MATCH(ROWS($A$16:A241),'Прайс-лист'!$U$11:$U$310,0)),"")</f>
        <v/>
      </c>
      <c r="F241" s="58">
        <f>IFERROR(INDEX('Прайс-лист'!$F$11:$F$310,MATCH(ROWS($A$16:A241),'Прайс-лист'!$U$11:$U$310,0)),"")</f>
        <v/>
      </c>
      <c r="G241" s="61">
        <f>IFERROR(INDEX('Прайс-лист'!$R$11:$R$310,MATCH(ROWS($A$16:A241),'Прайс-лист'!$U$11:$U$310,0)),"")</f>
        <v/>
      </c>
      <c r="H241" s="60">
        <f>IFERROR(INDEX('Прайс-лист'!$P$11:$P$310,MATCH(ROWS($A$16:A241),'Прайс-лист'!$U$11:$U$310,0)),"")</f>
        <v/>
      </c>
      <c r="I241" s="61">
        <f>IFERROR(INDEX('Прайс-лист'!$S$11:$S$310,MATCH(ROWS($A$16:A241),'Прайс-лист'!$U$11:$U$310,0)),"")</f>
        <v/>
      </c>
      <c r="J241" s="61">
        <f>IFERROR($I241*0.22,"")</f>
        <v/>
      </c>
      <c r="K241" s="61">
        <f>IFERROR($I241+$J241,"")</f>
        <v/>
      </c>
      <c r="L241" s="59">
        <f>IFERROR(INDEX('Прайс-лист'!$Q$11:$Q$310,MATCH(ROWS($A$16:A241),'Прайс-лист'!$U$11:$U$310,0)),"")</f>
        <v/>
      </c>
    </row>
    <row r="242" ht="13.5" customHeight="1" s="49">
      <c r="A242" s="64">
        <f>IFERROR(IF(INDEX('Прайс-лист'!$U$11:$U$310,MATCH(ROWS($A$16:A242),'Прайс-лист'!$U$11:$U$310,0))="","",ROWS($A$16:A242)),"")</f>
        <v/>
      </c>
      <c r="B242" s="58">
        <f>IFERROR(INDEX('Прайс-лист'!$A$11:$A$310,MATCH(ROWS($A$16:A242),'Прайс-лист'!$U$11:$U$310,0)),"")</f>
        <v/>
      </c>
      <c r="C242" s="58">
        <f>IFERROR(INDEX('Прайс-лист'!$B$11:$B$310,MATCH(ROWS($A$16:A242),'Прайс-лист'!$U$11:$U$310,0)),"")</f>
        <v/>
      </c>
      <c r="D242" s="59">
        <f>IFERROR(INDEX('Прайс-лист'!$C$11:$C$310,MATCH(ROWS($A$16:A242),'Прайс-лист'!$U$11:$U$310,0)),"")</f>
        <v/>
      </c>
      <c r="E242" s="59">
        <f>IFERROR(INDEX('Прайс-лист'!$E$11:$E$310,MATCH(ROWS($A$16:A242),'Прайс-лист'!$U$11:$U$310,0)),"")</f>
        <v/>
      </c>
      <c r="F242" s="58">
        <f>IFERROR(INDEX('Прайс-лист'!$F$11:$F$310,MATCH(ROWS($A$16:A242),'Прайс-лист'!$U$11:$U$310,0)),"")</f>
        <v/>
      </c>
      <c r="G242" s="61">
        <f>IFERROR(INDEX('Прайс-лист'!$R$11:$R$310,MATCH(ROWS($A$16:A242),'Прайс-лист'!$U$11:$U$310,0)),"")</f>
        <v/>
      </c>
      <c r="H242" s="60">
        <f>IFERROR(INDEX('Прайс-лист'!$P$11:$P$310,MATCH(ROWS($A$16:A242),'Прайс-лист'!$U$11:$U$310,0)),"")</f>
        <v/>
      </c>
      <c r="I242" s="61">
        <f>IFERROR(INDEX('Прайс-лист'!$S$11:$S$310,MATCH(ROWS($A$16:A242),'Прайс-лист'!$U$11:$U$310,0)),"")</f>
        <v/>
      </c>
      <c r="J242" s="61">
        <f>IFERROR($I242*0.22,"")</f>
        <v/>
      </c>
      <c r="K242" s="61">
        <f>IFERROR($I242+$J242,"")</f>
        <v/>
      </c>
      <c r="L242" s="59">
        <f>IFERROR(INDEX('Прайс-лист'!$Q$11:$Q$310,MATCH(ROWS($A$16:A242),'Прайс-лист'!$U$11:$U$310,0)),"")</f>
        <v/>
      </c>
    </row>
    <row r="243" ht="13.5" customHeight="1" s="49">
      <c r="A243" s="64">
        <f>IFERROR(IF(INDEX('Прайс-лист'!$U$11:$U$310,MATCH(ROWS($A$16:A243),'Прайс-лист'!$U$11:$U$310,0))="","",ROWS($A$16:A243)),"")</f>
        <v/>
      </c>
      <c r="B243" s="58">
        <f>IFERROR(INDEX('Прайс-лист'!$A$11:$A$310,MATCH(ROWS($A$16:A243),'Прайс-лист'!$U$11:$U$310,0)),"")</f>
        <v/>
      </c>
      <c r="C243" s="58">
        <f>IFERROR(INDEX('Прайс-лист'!$B$11:$B$310,MATCH(ROWS($A$16:A243),'Прайс-лист'!$U$11:$U$310,0)),"")</f>
        <v/>
      </c>
      <c r="D243" s="59">
        <f>IFERROR(INDEX('Прайс-лист'!$C$11:$C$310,MATCH(ROWS($A$16:A243),'Прайс-лист'!$U$11:$U$310,0)),"")</f>
        <v/>
      </c>
      <c r="E243" s="59">
        <f>IFERROR(INDEX('Прайс-лист'!$E$11:$E$310,MATCH(ROWS($A$16:A243),'Прайс-лист'!$U$11:$U$310,0)),"")</f>
        <v/>
      </c>
      <c r="F243" s="58">
        <f>IFERROR(INDEX('Прайс-лист'!$F$11:$F$310,MATCH(ROWS($A$16:A243),'Прайс-лист'!$U$11:$U$310,0)),"")</f>
        <v/>
      </c>
      <c r="G243" s="61">
        <f>IFERROR(INDEX('Прайс-лист'!$R$11:$R$310,MATCH(ROWS($A$16:A243),'Прайс-лист'!$U$11:$U$310,0)),"")</f>
        <v/>
      </c>
      <c r="H243" s="60">
        <f>IFERROR(INDEX('Прайс-лист'!$P$11:$P$310,MATCH(ROWS($A$16:A243),'Прайс-лист'!$U$11:$U$310,0)),"")</f>
        <v/>
      </c>
      <c r="I243" s="61">
        <f>IFERROR(INDEX('Прайс-лист'!$S$11:$S$310,MATCH(ROWS($A$16:A243),'Прайс-лист'!$U$11:$U$310,0)),"")</f>
        <v/>
      </c>
      <c r="J243" s="61">
        <f>IFERROR($I243*0.22,"")</f>
        <v/>
      </c>
      <c r="K243" s="61">
        <f>IFERROR($I243+$J243,"")</f>
        <v/>
      </c>
      <c r="L243" s="59">
        <f>IFERROR(INDEX('Прайс-лист'!$Q$11:$Q$310,MATCH(ROWS($A$16:A243),'Прайс-лист'!$U$11:$U$310,0)),"")</f>
        <v/>
      </c>
    </row>
    <row r="244" ht="13.5" customHeight="1" s="49">
      <c r="A244" s="64">
        <f>IFERROR(IF(INDEX('Прайс-лист'!$U$11:$U$310,MATCH(ROWS($A$16:A244),'Прайс-лист'!$U$11:$U$310,0))="","",ROWS($A$16:A244)),"")</f>
        <v/>
      </c>
      <c r="B244" s="58">
        <f>IFERROR(INDEX('Прайс-лист'!$A$11:$A$310,MATCH(ROWS($A$16:A244),'Прайс-лист'!$U$11:$U$310,0)),"")</f>
        <v/>
      </c>
      <c r="C244" s="58">
        <f>IFERROR(INDEX('Прайс-лист'!$B$11:$B$310,MATCH(ROWS($A$16:A244),'Прайс-лист'!$U$11:$U$310,0)),"")</f>
        <v/>
      </c>
      <c r="D244" s="59">
        <f>IFERROR(INDEX('Прайс-лист'!$C$11:$C$310,MATCH(ROWS($A$16:A244),'Прайс-лист'!$U$11:$U$310,0)),"")</f>
        <v/>
      </c>
      <c r="E244" s="59">
        <f>IFERROR(INDEX('Прайс-лист'!$E$11:$E$310,MATCH(ROWS($A$16:A244),'Прайс-лист'!$U$11:$U$310,0)),"")</f>
        <v/>
      </c>
      <c r="F244" s="58">
        <f>IFERROR(INDEX('Прайс-лист'!$F$11:$F$310,MATCH(ROWS($A$16:A244),'Прайс-лист'!$U$11:$U$310,0)),"")</f>
        <v/>
      </c>
      <c r="G244" s="61">
        <f>IFERROR(INDEX('Прайс-лист'!$R$11:$R$310,MATCH(ROWS($A$16:A244),'Прайс-лист'!$U$11:$U$310,0)),"")</f>
        <v/>
      </c>
      <c r="H244" s="60">
        <f>IFERROR(INDEX('Прайс-лист'!$P$11:$P$310,MATCH(ROWS($A$16:A244),'Прайс-лист'!$U$11:$U$310,0)),"")</f>
        <v/>
      </c>
      <c r="I244" s="61">
        <f>IFERROR(INDEX('Прайс-лист'!$S$11:$S$310,MATCH(ROWS($A$16:A244),'Прайс-лист'!$U$11:$U$310,0)),"")</f>
        <v/>
      </c>
      <c r="J244" s="61">
        <f>IFERROR($I244*0.22,"")</f>
        <v/>
      </c>
      <c r="K244" s="61">
        <f>IFERROR($I244+$J244,"")</f>
        <v/>
      </c>
      <c r="L244" s="59">
        <f>IFERROR(INDEX('Прайс-лист'!$Q$11:$Q$310,MATCH(ROWS($A$16:A244),'Прайс-лист'!$U$11:$U$310,0)),"")</f>
        <v/>
      </c>
    </row>
    <row r="245" ht="13.5" customHeight="1" s="49">
      <c r="A245" s="64">
        <f>IFERROR(IF(INDEX('Прайс-лист'!$U$11:$U$310,MATCH(ROWS($A$16:A245),'Прайс-лист'!$U$11:$U$310,0))="","",ROWS($A$16:A245)),"")</f>
        <v/>
      </c>
      <c r="B245" s="58">
        <f>IFERROR(INDEX('Прайс-лист'!$A$11:$A$310,MATCH(ROWS($A$16:A245),'Прайс-лист'!$U$11:$U$310,0)),"")</f>
        <v/>
      </c>
      <c r="C245" s="58">
        <f>IFERROR(INDEX('Прайс-лист'!$B$11:$B$310,MATCH(ROWS($A$16:A245),'Прайс-лист'!$U$11:$U$310,0)),"")</f>
        <v/>
      </c>
      <c r="D245" s="59">
        <f>IFERROR(INDEX('Прайс-лист'!$C$11:$C$310,MATCH(ROWS($A$16:A245),'Прайс-лист'!$U$11:$U$310,0)),"")</f>
        <v/>
      </c>
      <c r="E245" s="59">
        <f>IFERROR(INDEX('Прайс-лист'!$E$11:$E$310,MATCH(ROWS($A$16:A245),'Прайс-лист'!$U$11:$U$310,0)),"")</f>
        <v/>
      </c>
      <c r="F245" s="58">
        <f>IFERROR(INDEX('Прайс-лист'!$F$11:$F$310,MATCH(ROWS($A$16:A245),'Прайс-лист'!$U$11:$U$310,0)),"")</f>
        <v/>
      </c>
      <c r="G245" s="61">
        <f>IFERROR(INDEX('Прайс-лист'!$R$11:$R$310,MATCH(ROWS($A$16:A245),'Прайс-лист'!$U$11:$U$310,0)),"")</f>
        <v/>
      </c>
      <c r="H245" s="60">
        <f>IFERROR(INDEX('Прайс-лист'!$P$11:$P$310,MATCH(ROWS($A$16:A245),'Прайс-лист'!$U$11:$U$310,0)),"")</f>
        <v/>
      </c>
      <c r="I245" s="61">
        <f>IFERROR(INDEX('Прайс-лист'!$S$11:$S$310,MATCH(ROWS($A$16:A245),'Прайс-лист'!$U$11:$U$310,0)),"")</f>
        <v/>
      </c>
      <c r="J245" s="61">
        <f>IFERROR($I245*0.22,"")</f>
        <v/>
      </c>
      <c r="K245" s="61">
        <f>IFERROR($I245+$J245,"")</f>
        <v/>
      </c>
      <c r="L245" s="59">
        <f>IFERROR(INDEX('Прайс-лист'!$Q$11:$Q$310,MATCH(ROWS($A$16:A245),'Прайс-лист'!$U$11:$U$310,0)),"")</f>
        <v/>
      </c>
    </row>
    <row r="246" ht="13.5" customHeight="1" s="49">
      <c r="A246" s="64">
        <f>IFERROR(IF(INDEX('Прайс-лист'!$U$11:$U$310,MATCH(ROWS($A$16:A246),'Прайс-лист'!$U$11:$U$310,0))="","",ROWS($A$16:A246)),"")</f>
        <v/>
      </c>
      <c r="B246" s="58">
        <f>IFERROR(INDEX('Прайс-лист'!$A$11:$A$310,MATCH(ROWS($A$16:A246),'Прайс-лист'!$U$11:$U$310,0)),"")</f>
        <v/>
      </c>
      <c r="C246" s="58">
        <f>IFERROR(INDEX('Прайс-лист'!$B$11:$B$310,MATCH(ROWS($A$16:A246),'Прайс-лист'!$U$11:$U$310,0)),"")</f>
        <v/>
      </c>
      <c r="D246" s="59">
        <f>IFERROR(INDEX('Прайс-лист'!$C$11:$C$310,MATCH(ROWS($A$16:A246),'Прайс-лист'!$U$11:$U$310,0)),"")</f>
        <v/>
      </c>
      <c r="E246" s="59">
        <f>IFERROR(INDEX('Прайс-лист'!$E$11:$E$310,MATCH(ROWS($A$16:A246),'Прайс-лист'!$U$11:$U$310,0)),"")</f>
        <v/>
      </c>
      <c r="F246" s="58">
        <f>IFERROR(INDEX('Прайс-лист'!$F$11:$F$310,MATCH(ROWS($A$16:A246),'Прайс-лист'!$U$11:$U$310,0)),"")</f>
        <v/>
      </c>
      <c r="G246" s="61">
        <f>IFERROR(INDEX('Прайс-лист'!$R$11:$R$310,MATCH(ROWS($A$16:A246),'Прайс-лист'!$U$11:$U$310,0)),"")</f>
        <v/>
      </c>
      <c r="H246" s="60">
        <f>IFERROR(INDEX('Прайс-лист'!$P$11:$P$310,MATCH(ROWS($A$16:A246),'Прайс-лист'!$U$11:$U$310,0)),"")</f>
        <v/>
      </c>
      <c r="I246" s="61">
        <f>IFERROR(INDEX('Прайс-лист'!$S$11:$S$310,MATCH(ROWS($A$16:A246),'Прайс-лист'!$U$11:$U$310,0)),"")</f>
        <v/>
      </c>
      <c r="J246" s="61">
        <f>IFERROR($I246*0.22,"")</f>
        <v/>
      </c>
      <c r="K246" s="61">
        <f>IFERROR($I246+$J246,"")</f>
        <v/>
      </c>
      <c r="L246" s="59">
        <f>IFERROR(INDEX('Прайс-лист'!$Q$11:$Q$310,MATCH(ROWS($A$16:A246),'Прайс-лист'!$U$11:$U$310,0)),"")</f>
        <v/>
      </c>
    </row>
    <row r="247" ht="13.5" customHeight="1" s="49">
      <c r="A247" s="64">
        <f>IFERROR(IF(INDEX('Прайс-лист'!$U$11:$U$310,MATCH(ROWS($A$16:A247),'Прайс-лист'!$U$11:$U$310,0))="","",ROWS($A$16:A247)),"")</f>
        <v/>
      </c>
      <c r="B247" s="58">
        <f>IFERROR(INDEX('Прайс-лист'!$A$11:$A$310,MATCH(ROWS($A$16:A247),'Прайс-лист'!$U$11:$U$310,0)),"")</f>
        <v/>
      </c>
      <c r="C247" s="58">
        <f>IFERROR(INDEX('Прайс-лист'!$B$11:$B$310,MATCH(ROWS($A$16:A247),'Прайс-лист'!$U$11:$U$310,0)),"")</f>
        <v/>
      </c>
      <c r="D247" s="59">
        <f>IFERROR(INDEX('Прайс-лист'!$C$11:$C$310,MATCH(ROWS($A$16:A247),'Прайс-лист'!$U$11:$U$310,0)),"")</f>
        <v/>
      </c>
      <c r="E247" s="59">
        <f>IFERROR(INDEX('Прайс-лист'!$E$11:$E$310,MATCH(ROWS($A$16:A247),'Прайс-лист'!$U$11:$U$310,0)),"")</f>
        <v/>
      </c>
      <c r="F247" s="58">
        <f>IFERROR(INDEX('Прайс-лист'!$F$11:$F$310,MATCH(ROWS($A$16:A247),'Прайс-лист'!$U$11:$U$310,0)),"")</f>
        <v/>
      </c>
      <c r="G247" s="61">
        <f>IFERROR(INDEX('Прайс-лист'!$R$11:$R$310,MATCH(ROWS($A$16:A247),'Прайс-лист'!$U$11:$U$310,0)),"")</f>
        <v/>
      </c>
      <c r="H247" s="60">
        <f>IFERROR(INDEX('Прайс-лист'!$P$11:$P$310,MATCH(ROWS($A$16:A247),'Прайс-лист'!$U$11:$U$310,0)),"")</f>
        <v/>
      </c>
      <c r="I247" s="61">
        <f>IFERROR(INDEX('Прайс-лист'!$S$11:$S$310,MATCH(ROWS($A$16:A247),'Прайс-лист'!$U$11:$U$310,0)),"")</f>
        <v/>
      </c>
      <c r="J247" s="61">
        <f>IFERROR($I247*0.22,"")</f>
        <v/>
      </c>
      <c r="K247" s="61">
        <f>IFERROR($I247+$J247,"")</f>
        <v/>
      </c>
      <c r="L247" s="59">
        <f>IFERROR(INDEX('Прайс-лист'!$Q$11:$Q$310,MATCH(ROWS($A$16:A247),'Прайс-лист'!$U$11:$U$310,0)),"")</f>
        <v/>
      </c>
    </row>
    <row r="248" ht="13.5" customHeight="1" s="49">
      <c r="A248" s="64">
        <f>IFERROR(IF(INDEX('Прайс-лист'!$U$11:$U$310,MATCH(ROWS($A$16:A248),'Прайс-лист'!$U$11:$U$310,0))="","",ROWS($A$16:A248)),"")</f>
        <v/>
      </c>
      <c r="B248" s="58">
        <f>IFERROR(INDEX('Прайс-лист'!$A$11:$A$310,MATCH(ROWS($A$16:A248),'Прайс-лист'!$U$11:$U$310,0)),"")</f>
        <v/>
      </c>
      <c r="C248" s="58">
        <f>IFERROR(INDEX('Прайс-лист'!$B$11:$B$310,MATCH(ROWS($A$16:A248),'Прайс-лист'!$U$11:$U$310,0)),"")</f>
        <v/>
      </c>
      <c r="D248" s="59">
        <f>IFERROR(INDEX('Прайс-лист'!$C$11:$C$310,MATCH(ROWS($A$16:A248),'Прайс-лист'!$U$11:$U$310,0)),"")</f>
        <v/>
      </c>
      <c r="E248" s="59">
        <f>IFERROR(INDEX('Прайс-лист'!$E$11:$E$310,MATCH(ROWS($A$16:A248),'Прайс-лист'!$U$11:$U$310,0)),"")</f>
        <v/>
      </c>
      <c r="F248" s="58">
        <f>IFERROR(INDEX('Прайс-лист'!$F$11:$F$310,MATCH(ROWS($A$16:A248),'Прайс-лист'!$U$11:$U$310,0)),"")</f>
        <v/>
      </c>
      <c r="G248" s="61">
        <f>IFERROR(INDEX('Прайс-лист'!$R$11:$R$310,MATCH(ROWS($A$16:A248),'Прайс-лист'!$U$11:$U$310,0)),"")</f>
        <v/>
      </c>
      <c r="H248" s="60">
        <f>IFERROR(INDEX('Прайс-лист'!$P$11:$P$310,MATCH(ROWS($A$16:A248),'Прайс-лист'!$U$11:$U$310,0)),"")</f>
        <v/>
      </c>
      <c r="I248" s="61">
        <f>IFERROR(INDEX('Прайс-лист'!$S$11:$S$310,MATCH(ROWS($A$16:A248),'Прайс-лист'!$U$11:$U$310,0)),"")</f>
        <v/>
      </c>
      <c r="J248" s="61">
        <f>IFERROR($I248*0.22,"")</f>
        <v/>
      </c>
      <c r="K248" s="61">
        <f>IFERROR($I248+$J248,"")</f>
        <v/>
      </c>
      <c r="L248" s="59">
        <f>IFERROR(INDEX('Прайс-лист'!$Q$11:$Q$310,MATCH(ROWS($A$16:A248),'Прайс-лист'!$U$11:$U$310,0)),"")</f>
        <v/>
      </c>
    </row>
    <row r="249" ht="13.5" customHeight="1" s="49">
      <c r="A249" s="64">
        <f>IFERROR(IF(INDEX('Прайс-лист'!$U$11:$U$310,MATCH(ROWS($A$16:A249),'Прайс-лист'!$U$11:$U$310,0))="","",ROWS($A$16:A249)),"")</f>
        <v/>
      </c>
      <c r="B249" s="58">
        <f>IFERROR(INDEX('Прайс-лист'!$A$11:$A$310,MATCH(ROWS($A$16:A249),'Прайс-лист'!$U$11:$U$310,0)),"")</f>
        <v/>
      </c>
      <c r="C249" s="58">
        <f>IFERROR(INDEX('Прайс-лист'!$B$11:$B$310,MATCH(ROWS($A$16:A249),'Прайс-лист'!$U$11:$U$310,0)),"")</f>
        <v/>
      </c>
      <c r="D249" s="59">
        <f>IFERROR(INDEX('Прайс-лист'!$C$11:$C$310,MATCH(ROWS($A$16:A249),'Прайс-лист'!$U$11:$U$310,0)),"")</f>
        <v/>
      </c>
      <c r="E249" s="59">
        <f>IFERROR(INDEX('Прайс-лист'!$E$11:$E$310,MATCH(ROWS($A$16:A249),'Прайс-лист'!$U$11:$U$310,0)),"")</f>
        <v/>
      </c>
      <c r="F249" s="58">
        <f>IFERROR(INDEX('Прайс-лист'!$F$11:$F$310,MATCH(ROWS($A$16:A249),'Прайс-лист'!$U$11:$U$310,0)),"")</f>
        <v/>
      </c>
      <c r="G249" s="61">
        <f>IFERROR(INDEX('Прайс-лист'!$R$11:$R$310,MATCH(ROWS($A$16:A249),'Прайс-лист'!$U$11:$U$310,0)),"")</f>
        <v/>
      </c>
      <c r="H249" s="60">
        <f>IFERROR(INDEX('Прайс-лист'!$P$11:$P$310,MATCH(ROWS($A$16:A249),'Прайс-лист'!$U$11:$U$310,0)),"")</f>
        <v/>
      </c>
      <c r="I249" s="61">
        <f>IFERROR(INDEX('Прайс-лист'!$S$11:$S$310,MATCH(ROWS($A$16:A249),'Прайс-лист'!$U$11:$U$310,0)),"")</f>
        <v/>
      </c>
      <c r="J249" s="61">
        <f>IFERROR($I249*0.22,"")</f>
        <v/>
      </c>
      <c r="K249" s="61">
        <f>IFERROR($I249+$J249,"")</f>
        <v/>
      </c>
      <c r="L249" s="59">
        <f>IFERROR(INDEX('Прайс-лист'!$Q$11:$Q$310,MATCH(ROWS($A$16:A249),'Прайс-лист'!$U$11:$U$310,0)),"")</f>
        <v/>
      </c>
    </row>
    <row r="250" ht="13.5" customHeight="1" s="49">
      <c r="A250" s="64">
        <f>IFERROR(IF(INDEX('Прайс-лист'!$U$11:$U$310,MATCH(ROWS($A$16:A250),'Прайс-лист'!$U$11:$U$310,0))="","",ROWS($A$16:A250)),"")</f>
        <v/>
      </c>
      <c r="B250" s="58">
        <f>IFERROR(INDEX('Прайс-лист'!$A$11:$A$310,MATCH(ROWS($A$16:A250),'Прайс-лист'!$U$11:$U$310,0)),"")</f>
        <v/>
      </c>
      <c r="C250" s="58">
        <f>IFERROR(INDEX('Прайс-лист'!$B$11:$B$310,MATCH(ROWS($A$16:A250),'Прайс-лист'!$U$11:$U$310,0)),"")</f>
        <v/>
      </c>
      <c r="D250" s="59">
        <f>IFERROR(INDEX('Прайс-лист'!$C$11:$C$310,MATCH(ROWS($A$16:A250),'Прайс-лист'!$U$11:$U$310,0)),"")</f>
        <v/>
      </c>
      <c r="E250" s="59">
        <f>IFERROR(INDEX('Прайс-лист'!$E$11:$E$310,MATCH(ROWS($A$16:A250),'Прайс-лист'!$U$11:$U$310,0)),"")</f>
        <v/>
      </c>
      <c r="F250" s="58">
        <f>IFERROR(INDEX('Прайс-лист'!$F$11:$F$310,MATCH(ROWS($A$16:A250),'Прайс-лист'!$U$11:$U$310,0)),"")</f>
        <v/>
      </c>
      <c r="G250" s="61">
        <f>IFERROR(INDEX('Прайс-лист'!$R$11:$R$310,MATCH(ROWS($A$16:A250),'Прайс-лист'!$U$11:$U$310,0)),"")</f>
        <v/>
      </c>
      <c r="H250" s="60">
        <f>IFERROR(INDEX('Прайс-лист'!$P$11:$P$310,MATCH(ROWS($A$16:A250),'Прайс-лист'!$U$11:$U$310,0)),"")</f>
        <v/>
      </c>
      <c r="I250" s="61">
        <f>IFERROR(INDEX('Прайс-лист'!$S$11:$S$310,MATCH(ROWS($A$16:A250),'Прайс-лист'!$U$11:$U$310,0)),"")</f>
        <v/>
      </c>
      <c r="J250" s="61">
        <f>IFERROR($I250*0.22,"")</f>
        <v/>
      </c>
      <c r="K250" s="61">
        <f>IFERROR($I250+$J250,"")</f>
        <v/>
      </c>
      <c r="L250" s="59">
        <f>IFERROR(INDEX('Прайс-лист'!$Q$11:$Q$310,MATCH(ROWS($A$16:A250),'Прайс-лист'!$U$11:$U$310,0)),"")</f>
        <v/>
      </c>
    </row>
    <row r="251" ht="13.5" customHeight="1" s="49">
      <c r="A251" s="64">
        <f>IFERROR(IF(INDEX('Прайс-лист'!$U$11:$U$310,MATCH(ROWS($A$16:A251),'Прайс-лист'!$U$11:$U$310,0))="","",ROWS($A$16:A251)),"")</f>
        <v/>
      </c>
      <c r="B251" s="58">
        <f>IFERROR(INDEX('Прайс-лист'!$A$11:$A$310,MATCH(ROWS($A$16:A251),'Прайс-лист'!$U$11:$U$310,0)),"")</f>
        <v/>
      </c>
      <c r="C251" s="58">
        <f>IFERROR(INDEX('Прайс-лист'!$B$11:$B$310,MATCH(ROWS($A$16:A251),'Прайс-лист'!$U$11:$U$310,0)),"")</f>
        <v/>
      </c>
      <c r="D251" s="59">
        <f>IFERROR(INDEX('Прайс-лист'!$C$11:$C$310,MATCH(ROWS($A$16:A251),'Прайс-лист'!$U$11:$U$310,0)),"")</f>
        <v/>
      </c>
      <c r="E251" s="59">
        <f>IFERROR(INDEX('Прайс-лист'!$E$11:$E$310,MATCH(ROWS($A$16:A251),'Прайс-лист'!$U$11:$U$310,0)),"")</f>
        <v/>
      </c>
      <c r="F251" s="58">
        <f>IFERROR(INDEX('Прайс-лист'!$F$11:$F$310,MATCH(ROWS($A$16:A251),'Прайс-лист'!$U$11:$U$310,0)),"")</f>
        <v/>
      </c>
      <c r="G251" s="61">
        <f>IFERROR(INDEX('Прайс-лист'!$R$11:$R$310,MATCH(ROWS($A$16:A251),'Прайс-лист'!$U$11:$U$310,0)),"")</f>
        <v/>
      </c>
      <c r="H251" s="60">
        <f>IFERROR(INDEX('Прайс-лист'!$P$11:$P$310,MATCH(ROWS($A$16:A251),'Прайс-лист'!$U$11:$U$310,0)),"")</f>
        <v/>
      </c>
      <c r="I251" s="61">
        <f>IFERROR(INDEX('Прайс-лист'!$S$11:$S$310,MATCH(ROWS($A$16:A251),'Прайс-лист'!$U$11:$U$310,0)),"")</f>
        <v/>
      </c>
      <c r="J251" s="61">
        <f>IFERROR($I251*0.22,"")</f>
        <v/>
      </c>
      <c r="K251" s="61">
        <f>IFERROR($I251+$J251,"")</f>
        <v/>
      </c>
      <c r="L251" s="59">
        <f>IFERROR(INDEX('Прайс-лист'!$Q$11:$Q$310,MATCH(ROWS($A$16:A251),'Прайс-лист'!$U$11:$U$310,0)),"")</f>
        <v/>
      </c>
    </row>
    <row r="252" ht="13.5" customHeight="1" s="49">
      <c r="A252" s="64">
        <f>IFERROR(IF(INDEX('Прайс-лист'!$U$11:$U$310,MATCH(ROWS($A$16:A252),'Прайс-лист'!$U$11:$U$310,0))="","",ROWS($A$16:A252)),"")</f>
        <v/>
      </c>
      <c r="B252" s="58">
        <f>IFERROR(INDEX('Прайс-лист'!$A$11:$A$310,MATCH(ROWS($A$16:A252),'Прайс-лист'!$U$11:$U$310,0)),"")</f>
        <v/>
      </c>
      <c r="C252" s="58">
        <f>IFERROR(INDEX('Прайс-лист'!$B$11:$B$310,MATCH(ROWS($A$16:A252),'Прайс-лист'!$U$11:$U$310,0)),"")</f>
        <v/>
      </c>
      <c r="D252" s="59">
        <f>IFERROR(INDEX('Прайс-лист'!$C$11:$C$310,MATCH(ROWS($A$16:A252),'Прайс-лист'!$U$11:$U$310,0)),"")</f>
        <v/>
      </c>
      <c r="E252" s="59">
        <f>IFERROR(INDEX('Прайс-лист'!$E$11:$E$310,MATCH(ROWS($A$16:A252),'Прайс-лист'!$U$11:$U$310,0)),"")</f>
        <v/>
      </c>
      <c r="F252" s="58">
        <f>IFERROR(INDEX('Прайс-лист'!$F$11:$F$310,MATCH(ROWS($A$16:A252),'Прайс-лист'!$U$11:$U$310,0)),"")</f>
        <v/>
      </c>
      <c r="G252" s="61">
        <f>IFERROR(INDEX('Прайс-лист'!$R$11:$R$310,MATCH(ROWS($A$16:A252),'Прайс-лист'!$U$11:$U$310,0)),"")</f>
        <v/>
      </c>
      <c r="H252" s="60">
        <f>IFERROR(INDEX('Прайс-лист'!$P$11:$P$310,MATCH(ROWS($A$16:A252),'Прайс-лист'!$U$11:$U$310,0)),"")</f>
        <v/>
      </c>
      <c r="I252" s="61">
        <f>IFERROR(INDEX('Прайс-лист'!$S$11:$S$310,MATCH(ROWS($A$16:A252),'Прайс-лист'!$U$11:$U$310,0)),"")</f>
        <v/>
      </c>
      <c r="J252" s="61">
        <f>IFERROR($I252*0.22,"")</f>
        <v/>
      </c>
      <c r="K252" s="61">
        <f>IFERROR($I252+$J252,"")</f>
        <v/>
      </c>
      <c r="L252" s="59">
        <f>IFERROR(INDEX('Прайс-лист'!$Q$11:$Q$310,MATCH(ROWS($A$16:A252),'Прайс-лист'!$U$11:$U$310,0)),"")</f>
        <v/>
      </c>
    </row>
    <row r="253" ht="13.5" customHeight="1" s="49">
      <c r="A253" s="64">
        <f>IFERROR(IF(INDEX('Прайс-лист'!$U$11:$U$310,MATCH(ROWS($A$16:A253),'Прайс-лист'!$U$11:$U$310,0))="","",ROWS($A$16:A253)),"")</f>
        <v/>
      </c>
      <c r="B253" s="58">
        <f>IFERROR(INDEX('Прайс-лист'!$A$11:$A$310,MATCH(ROWS($A$16:A253),'Прайс-лист'!$U$11:$U$310,0)),"")</f>
        <v/>
      </c>
      <c r="C253" s="58">
        <f>IFERROR(INDEX('Прайс-лист'!$B$11:$B$310,MATCH(ROWS($A$16:A253),'Прайс-лист'!$U$11:$U$310,0)),"")</f>
        <v/>
      </c>
      <c r="D253" s="59">
        <f>IFERROR(INDEX('Прайс-лист'!$C$11:$C$310,MATCH(ROWS($A$16:A253),'Прайс-лист'!$U$11:$U$310,0)),"")</f>
        <v/>
      </c>
      <c r="E253" s="59">
        <f>IFERROR(INDEX('Прайс-лист'!$E$11:$E$310,MATCH(ROWS($A$16:A253),'Прайс-лист'!$U$11:$U$310,0)),"")</f>
        <v/>
      </c>
      <c r="F253" s="58">
        <f>IFERROR(INDEX('Прайс-лист'!$F$11:$F$310,MATCH(ROWS($A$16:A253),'Прайс-лист'!$U$11:$U$310,0)),"")</f>
        <v/>
      </c>
      <c r="G253" s="61">
        <f>IFERROR(INDEX('Прайс-лист'!$R$11:$R$310,MATCH(ROWS($A$16:A253),'Прайс-лист'!$U$11:$U$310,0)),"")</f>
        <v/>
      </c>
      <c r="H253" s="60">
        <f>IFERROR(INDEX('Прайс-лист'!$P$11:$P$310,MATCH(ROWS($A$16:A253),'Прайс-лист'!$U$11:$U$310,0)),"")</f>
        <v/>
      </c>
      <c r="I253" s="61">
        <f>IFERROR(INDEX('Прайс-лист'!$S$11:$S$310,MATCH(ROWS($A$16:A253),'Прайс-лист'!$U$11:$U$310,0)),"")</f>
        <v/>
      </c>
      <c r="J253" s="61">
        <f>IFERROR($I253*0.22,"")</f>
        <v/>
      </c>
      <c r="K253" s="61">
        <f>IFERROR($I253+$J253,"")</f>
        <v/>
      </c>
      <c r="L253" s="59">
        <f>IFERROR(INDEX('Прайс-лист'!$Q$11:$Q$310,MATCH(ROWS($A$16:A253),'Прайс-лист'!$U$11:$U$310,0)),"")</f>
        <v/>
      </c>
    </row>
    <row r="254" ht="13.5" customHeight="1" s="49">
      <c r="A254" s="64">
        <f>IFERROR(IF(INDEX('Прайс-лист'!$U$11:$U$310,MATCH(ROWS($A$16:A254),'Прайс-лист'!$U$11:$U$310,0))="","",ROWS($A$16:A254)),"")</f>
        <v/>
      </c>
      <c r="B254" s="58">
        <f>IFERROR(INDEX('Прайс-лист'!$A$11:$A$310,MATCH(ROWS($A$16:A254),'Прайс-лист'!$U$11:$U$310,0)),"")</f>
        <v/>
      </c>
      <c r="C254" s="58">
        <f>IFERROR(INDEX('Прайс-лист'!$B$11:$B$310,MATCH(ROWS($A$16:A254),'Прайс-лист'!$U$11:$U$310,0)),"")</f>
        <v/>
      </c>
      <c r="D254" s="59">
        <f>IFERROR(INDEX('Прайс-лист'!$C$11:$C$310,MATCH(ROWS($A$16:A254),'Прайс-лист'!$U$11:$U$310,0)),"")</f>
        <v/>
      </c>
      <c r="E254" s="59">
        <f>IFERROR(INDEX('Прайс-лист'!$E$11:$E$310,MATCH(ROWS($A$16:A254),'Прайс-лист'!$U$11:$U$310,0)),"")</f>
        <v/>
      </c>
      <c r="F254" s="58">
        <f>IFERROR(INDEX('Прайс-лист'!$F$11:$F$310,MATCH(ROWS($A$16:A254),'Прайс-лист'!$U$11:$U$310,0)),"")</f>
        <v/>
      </c>
      <c r="G254" s="61">
        <f>IFERROR(INDEX('Прайс-лист'!$R$11:$R$310,MATCH(ROWS($A$16:A254),'Прайс-лист'!$U$11:$U$310,0)),"")</f>
        <v/>
      </c>
      <c r="H254" s="60">
        <f>IFERROR(INDEX('Прайс-лист'!$P$11:$P$310,MATCH(ROWS($A$16:A254),'Прайс-лист'!$U$11:$U$310,0)),"")</f>
        <v/>
      </c>
      <c r="I254" s="61">
        <f>IFERROR(INDEX('Прайс-лист'!$S$11:$S$310,MATCH(ROWS($A$16:A254),'Прайс-лист'!$U$11:$U$310,0)),"")</f>
        <v/>
      </c>
      <c r="J254" s="61">
        <f>IFERROR($I254*0.22,"")</f>
        <v/>
      </c>
      <c r="K254" s="61">
        <f>IFERROR($I254+$J254,"")</f>
        <v/>
      </c>
      <c r="L254" s="59">
        <f>IFERROR(INDEX('Прайс-лист'!$Q$11:$Q$310,MATCH(ROWS($A$16:A254),'Прайс-лист'!$U$11:$U$310,0)),"")</f>
        <v/>
      </c>
    </row>
    <row r="255" ht="13.5" customHeight="1" s="49">
      <c r="A255" s="64">
        <f>IFERROR(IF(INDEX('Прайс-лист'!$U$11:$U$310,MATCH(ROWS($A$16:A255),'Прайс-лист'!$U$11:$U$310,0))="","",ROWS($A$16:A255)),"")</f>
        <v/>
      </c>
      <c r="B255" s="58">
        <f>IFERROR(INDEX('Прайс-лист'!$A$11:$A$310,MATCH(ROWS($A$16:A255),'Прайс-лист'!$U$11:$U$310,0)),"")</f>
        <v/>
      </c>
      <c r="C255" s="58">
        <f>IFERROR(INDEX('Прайс-лист'!$B$11:$B$310,MATCH(ROWS($A$16:A255),'Прайс-лист'!$U$11:$U$310,0)),"")</f>
        <v/>
      </c>
      <c r="D255" s="59">
        <f>IFERROR(INDEX('Прайс-лист'!$C$11:$C$310,MATCH(ROWS($A$16:A255),'Прайс-лист'!$U$11:$U$310,0)),"")</f>
        <v/>
      </c>
      <c r="E255" s="59">
        <f>IFERROR(INDEX('Прайс-лист'!$E$11:$E$310,MATCH(ROWS($A$16:A255),'Прайс-лист'!$U$11:$U$310,0)),"")</f>
        <v/>
      </c>
      <c r="F255" s="58">
        <f>IFERROR(INDEX('Прайс-лист'!$F$11:$F$310,MATCH(ROWS($A$16:A255),'Прайс-лист'!$U$11:$U$310,0)),"")</f>
        <v/>
      </c>
      <c r="G255" s="61">
        <f>IFERROR(INDEX('Прайс-лист'!$R$11:$R$310,MATCH(ROWS($A$16:A255),'Прайс-лист'!$U$11:$U$310,0)),"")</f>
        <v/>
      </c>
      <c r="H255" s="60">
        <f>IFERROR(INDEX('Прайс-лист'!$P$11:$P$310,MATCH(ROWS($A$16:A255),'Прайс-лист'!$U$11:$U$310,0)),"")</f>
        <v/>
      </c>
      <c r="I255" s="61">
        <f>IFERROR(INDEX('Прайс-лист'!$S$11:$S$310,MATCH(ROWS($A$16:A255),'Прайс-лист'!$U$11:$U$310,0)),"")</f>
        <v/>
      </c>
      <c r="J255" s="61">
        <f>IFERROR($I255*0.22,"")</f>
        <v/>
      </c>
      <c r="K255" s="61">
        <f>IFERROR($I255+$J255,"")</f>
        <v/>
      </c>
      <c r="L255" s="59">
        <f>IFERROR(INDEX('Прайс-лист'!$Q$11:$Q$310,MATCH(ROWS($A$16:A255),'Прайс-лист'!$U$11:$U$310,0)),"")</f>
        <v/>
      </c>
    </row>
    <row r="256" ht="13.5" customHeight="1" s="49">
      <c r="A256" s="64">
        <f>IFERROR(IF(INDEX('Прайс-лист'!$U$11:$U$310,MATCH(ROWS($A$16:A256),'Прайс-лист'!$U$11:$U$310,0))="","",ROWS($A$16:A256)),"")</f>
        <v/>
      </c>
      <c r="B256" s="58">
        <f>IFERROR(INDEX('Прайс-лист'!$A$11:$A$310,MATCH(ROWS($A$16:A256),'Прайс-лист'!$U$11:$U$310,0)),"")</f>
        <v/>
      </c>
      <c r="C256" s="58">
        <f>IFERROR(INDEX('Прайс-лист'!$B$11:$B$310,MATCH(ROWS($A$16:A256),'Прайс-лист'!$U$11:$U$310,0)),"")</f>
        <v/>
      </c>
      <c r="D256" s="59">
        <f>IFERROR(INDEX('Прайс-лист'!$C$11:$C$310,MATCH(ROWS($A$16:A256),'Прайс-лист'!$U$11:$U$310,0)),"")</f>
        <v/>
      </c>
      <c r="E256" s="59">
        <f>IFERROR(INDEX('Прайс-лист'!$E$11:$E$310,MATCH(ROWS($A$16:A256),'Прайс-лист'!$U$11:$U$310,0)),"")</f>
        <v/>
      </c>
      <c r="F256" s="58">
        <f>IFERROR(INDEX('Прайс-лист'!$F$11:$F$310,MATCH(ROWS($A$16:A256),'Прайс-лист'!$U$11:$U$310,0)),"")</f>
        <v/>
      </c>
      <c r="G256" s="61">
        <f>IFERROR(INDEX('Прайс-лист'!$R$11:$R$310,MATCH(ROWS($A$16:A256),'Прайс-лист'!$U$11:$U$310,0)),"")</f>
        <v/>
      </c>
      <c r="H256" s="60">
        <f>IFERROR(INDEX('Прайс-лист'!$P$11:$P$310,MATCH(ROWS($A$16:A256),'Прайс-лист'!$U$11:$U$310,0)),"")</f>
        <v/>
      </c>
      <c r="I256" s="61">
        <f>IFERROR(INDEX('Прайс-лист'!$S$11:$S$310,MATCH(ROWS($A$16:A256),'Прайс-лист'!$U$11:$U$310,0)),"")</f>
        <v/>
      </c>
      <c r="J256" s="61">
        <f>IFERROR($I256*0.22,"")</f>
        <v/>
      </c>
      <c r="K256" s="61">
        <f>IFERROR($I256+$J256,"")</f>
        <v/>
      </c>
      <c r="L256" s="59">
        <f>IFERROR(INDEX('Прайс-лист'!$Q$11:$Q$310,MATCH(ROWS($A$16:A256),'Прайс-лист'!$U$11:$U$310,0)),"")</f>
        <v/>
      </c>
    </row>
    <row r="257" ht="13.5" customHeight="1" s="49">
      <c r="A257" s="64">
        <f>IFERROR(IF(INDEX('Прайс-лист'!$U$11:$U$310,MATCH(ROWS($A$16:A257),'Прайс-лист'!$U$11:$U$310,0))="","",ROWS($A$16:A257)),"")</f>
        <v/>
      </c>
      <c r="B257" s="58">
        <f>IFERROR(INDEX('Прайс-лист'!$A$11:$A$310,MATCH(ROWS($A$16:A257),'Прайс-лист'!$U$11:$U$310,0)),"")</f>
        <v/>
      </c>
      <c r="C257" s="58">
        <f>IFERROR(INDEX('Прайс-лист'!$B$11:$B$310,MATCH(ROWS($A$16:A257),'Прайс-лист'!$U$11:$U$310,0)),"")</f>
        <v/>
      </c>
      <c r="D257" s="59">
        <f>IFERROR(INDEX('Прайс-лист'!$C$11:$C$310,MATCH(ROWS($A$16:A257),'Прайс-лист'!$U$11:$U$310,0)),"")</f>
        <v/>
      </c>
      <c r="E257" s="59">
        <f>IFERROR(INDEX('Прайс-лист'!$E$11:$E$310,MATCH(ROWS($A$16:A257),'Прайс-лист'!$U$11:$U$310,0)),"")</f>
        <v/>
      </c>
      <c r="F257" s="58">
        <f>IFERROR(INDEX('Прайс-лист'!$F$11:$F$310,MATCH(ROWS($A$16:A257),'Прайс-лист'!$U$11:$U$310,0)),"")</f>
        <v/>
      </c>
      <c r="G257" s="61">
        <f>IFERROR(INDEX('Прайс-лист'!$R$11:$R$310,MATCH(ROWS($A$16:A257),'Прайс-лист'!$U$11:$U$310,0)),"")</f>
        <v/>
      </c>
      <c r="H257" s="60">
        <f>IFERROR(INDEX('Прайс-лист'!$P$11:$P$310,MATCH(ROWS($A$16:A257),'Прайс-лист'!$U$11:$U$310,0)),"")</f>
        <v/>
      </c>
      <c r="I257" s="61">
        <f>IFERROR(INDEX('Прайс-лист'!$S$11:$S$310,MATCH(ROWS($A$16:A257),'Прайс-лист'!$U$11:$U$310,0)),"")</f>
        <v/>
      </c>
      <c r="J257" s="61">
        <f>IFERROR($I257*0.22,"")</f>
        <v/>
      </c>
      <c r="K257" s="61">
        <f>IFERROR($I257+$J257,"")</f>
        <v/>
      </c>
      <c r="L257" s="59">
        <f>IFERROR(INDEX('Прайс-лист'!$Q$11:$Q$310,MATCH(ROWS($A$16:A257),'Прайс-лист'!$U$11:$U$310,0)),"")</f>
        <v/>
      </c>
    </row>
    <row r="258" ht="13.5" customHeight="1" s="49">
      <c r="A258" s="64">
        <f>IFERROR(IF(INDEX('Прайс-лист'!$U$11:$U$310,MATCH(ROWS($A$16:A258),'Прайс-лист'!$U$11:$U$310,0))="","",ROWS($A$16:A258)),"")</f>
        <v/>
      </c>
      <c r="B258" s="58">
        <f>IFERROR(INDEX('Прайс-лист'!$A$11:$A$310,MATCH(ROWS($A$16:A258),'Прайс-лист'!$U$11:$U$310,0)),"")</f>
        <v/>
      </c>
      <c r="C258" s="58">
        <f>IFERROR(INDEX('Прайс-лист'!$B$11:$B$310,MATCH(ROWS($A$16:A258),'Прайс-лист'!$U$11:$U$310,0)),"")</f>
        <v/>
      </c>
      <c r="D258" s="59">
        <f>IFERROR(INDEX('Прайс-лист'!$C$11:$C$310,MATCH(ROWS($A$16:A258),'Прайс-лист'!$U$11:$U$310,0)),"")</f>
        <v/>
      </c>
      <c r="E258" s="59">
        <f>IFERROR(INDEX('Прайс-лист'!$E$11:$E$310,MATCH(ROWS($A$16:A258),'Прайс-лист'!$U$11:$U$310,0)),"")</f>
        <v/>
      </c>
      <c r="F258" s="58">
        <f>IFERROR(INDEX('Прайс-лист'!$F$11:$F$310,MATCH(ROWS($A$16:A258),'Прайс-лист'!$U$11:$U$310,0)),"")</f>
        <v/>
      </c>
      <c r="G258" s="61">
        <f>IFERROR(INDEX('Прайс-лист'!$R$11:$R$310,MATCH(ROWS($A$16:A258),'Прайс-лист'!$U$11:$U$310,0)),"")</f>
        <v/>
      </c>
      <c r="H258" s="60">
        <f>IFERROR(INDEX('Прайс-лист'!$P$11:$P$310,MATCH(ROWS($A$16:A258),'Прайс-лист'!$U$11:$U$310,0)),"")</f>
        <v/>
      </c>
      <c r="I258" s="61">
        <f>IFERROR(INDEX('Прайс-лист'!$S$11:$S$310,MATCH(ROWS($A$16:A258),'Прайс-лист'!$U$11:$U$310,0)),"")</f>
        <v/>
      </c>
      <c r="J258" s="61">
        <f>IFERROR($I258*0.22,"")</f>
        <v/>
      </c>
      <c r="K258" s="61">
        <f>IFERROR($I258+$J258,"")</f>
        <v/>
      </c>
      <c r="L258" s="59">
        <f>IFERROR(INDEX('Прайс-лист'!$Q$11:$Q$310,MATCH(ROWS($A$16:A258),'Прайс-лист'!$U$11:$U$310,0)),"")</f>
        <v/>
      </c>
    </row>
    <row r="259" ht="13.5" customHeight="1" s="49">
      <c r="A259" s="64">
        <f>IFERROR(IF(INDEX('Прайс-лист'!$U$11:$U$310,MATCH(ROWS($A$16:A259),'Прайс-лист'!$U$11:$U$310,0))="","",ROWS($A$16:A259)),"")</f>
        <v/>
      </c>
      <c r="B259" s="58">
        <f>IFERROR(INDEX('Прайс-лист'!$A$11:$A$310,MATCH(ROWS($A$16:A259),'Прайс-лист'!$U$11:$U$310,0)),"")</f>
        <v/>
      </c>
      <c r="C259" s="58">
        <f>IFERROR(INDEX('Прайс-лист'!$B$11:$B$310,MATCH(ROWS($A$16:A259),'Прайс-лист'!$U$11:$U$310,0)),"")</f>
        <v/>
      </c>
      <c r="D259" s="59">
        <f>IFERROR(INDEX('Прайс-лист'!$C$11:$C$310,MATCH(ROWS($A$16:A259),'Прайс-лист'!$U$11:$U$310,0)),"")</f>
        <v/>
      </c>
      <c r="E259" s="59">
        <f>IFERROR(INDEX('Прайс-лист'!$E$11:$E$310,MATCH(ROWS($A$16:A259),'Прайс-лист'!$U$11:$U$310,0)),"")</f>
        <v/>
      </c>
      <c r="F259" s="58">
        <f>IFERROR(INDEX('Прайс-лист'!$F$11:$F$310,MATCH(ROWS($A$16:A259),'Прайс-лист'!$U$11:$U$310,0)),"")</f>
        <v/>
      </c>
      <c r="G259" s="61">
        <f>IFERROR(INDEX('Прайс-лист'!$R$11:$R$310,MATCH(ROWS($A$16:A259),'Прайс-лист'!$U$11:$U$310,0)),"")</f>
        <v/>
      </c>
      <c r="H259" s="60">
        <f>IFERROR(INDEX('Прайс-лист'!$P$11:$P$310,MATCH(ROWS($A$16:A259),'Прайс-лист'!$U$11:$U$310,0)),"")</f>
        <v/>
      </c>
      <c r="I259" s="61">
        <f>IFERROR(INDEX('Прайс-лист'!$S$11:$S$310,MATCH(ROWS($A$16:A259),'Прайс-лист'!$U$11:$U$310,0)),"")</f>
        <v/>
      </c>
      <c r="J259" s="61">
        <f>IFERROR($I259*0.22,"")</f>
        <v/>
      </c>
      <c r="K259" s="61">
        <f>IFERROR($I259+$J259,"")</f>
        <v/>
      </c>
      <c r="L259" s="59">
        <f>IFERROR(INDEX('Прайс-лист'!$Q$11:$Q$310,MATCH(ROWS($A$16:A259),'Прайс-лист'!$U$11:$U$310,0)),"")</f>
        <v/>
      </c>
    </row>
    <row r="260" ht="13.5" customHeight="1" s="49">
      <c r="A260" s="64">
        <f>IFERROR(IF(INDEX('Прайс-лист'!$U$11:$U$310,MATCH(ROWS($A$16:A260),'Прайс-лист'!$U$11:$U$310,0))="","",ROWS($A$16:A260)),"")</f>
        <v/>
      </c>
      <c r="B260" s="58">
        <f>IFERROR(INDEX('Прайс-лист'!$A$11:$A$310,MATCH(ROWS($A$16:A260),'Прайс-лист'!$U$11:$U$310,0)),"")</f>
        <v/>
      </c>
      <c r="C260" s="58">
        <f>IFERROR(INDEX('Прайс-лист'!$B$11:$B$310,MATCH(ROWS($A$16:A260),'Прайс-лист'!$U$11:$U$310,0)),"")</f>
        <v/>
      </c>
      <c r="D260" s="59">
        <f>IFERROR(INDEX('Прайс-лист'!$C$11:$C$310,MATCH(ROWS($A$16:A260),'Прайс-лист'!$U$11:$U$310,0)),"")</f>
        <v/>
      </c>
      <c r="E260" s="59">
        <f>IFERROR(INDEX('Прайс-лист'!$E$11:$E$310,MATCH(ROWS($A$16:A260),'Прайс-лист'!$U$11:$U$310,0)),"")</f>
        <v/>
      </c>
      <c r="F260" s="58">
        <f>IFERROR(INDEX('Прайс-лист'!$F$11:$F$310,MATCH(ROWS($A$16:A260),'Прайс-лист'!$U$11:$U$310,0)),"")</f>
        <v/>
      </c>
      <c r="G260" s="61">
        <f>IFERROR(INDEX('Прайс-лист'!$R$11:$R$310,MATCH(ROWS($A$16:A260),'Прайс-лист'!$U$11:$U$310,0)),"")</f>
        <v/>
      </c>
      <c r="H260" s="60">
        <f>IFERROR(INDEX('Прайс-лист'!$P$11:$P$310,MATCH(ROWS($A$16:A260),'Прайс-лист'!$U$11:$U$310,0)),"")</f>
        <v/>
      </c>
      <c r="I260" s="61">
        <f>IFERROR(INDEX('Прайс-лист'!$S$11:$S$310,MATCH(ROWS($A$16:A260),'Прайс-лист'!$U$11:$U$310,0)),"")</f>
        <v/>
      </c>
      <c r="J260" s="61">
        <f>IFERROR($I260*0.22,"")</f>
        <v/>
      </c>
      <c r="K260" s="61">
        <f>IFERROR($I260+$J260,"")</f>
        <v/>
      </c>
      <c r="L260" s="59">
        <f>IFERROR(INDEX('Прайс-лист'!$Q$11:$Q$310,MATCH(ROWS($A$16:A260),'Прайс-лист'!$U$11:$U$310,0)),"")</f>
        <v/>
      </c>
    </row>
    <row r="261" ht="13.5" customHeight="1" s="49">
      <c r="A261" s="64">
        <f>IFERROR(IF(INDEX('Прайс-лист'!$U$11:$U$310,MATCH(ROWS($A$16:A261),'Прайс-лист'!$U$11:$U$310,0))="","",ROWS($A$16:A261)),"")</f>
        <v/>
      </c>
      <c r="B261" s="58">
        <f>IFERROR(INDEX('Прайс-лист'!$A$11:$A$310,MATCH(ROWS($A$16:A261),'Прайс-лист'!$U$11:$U$310,0)),"")</f>
        <v/>
      </c>
      <c r="C261" s="58">
        <f>IFERROR(INDEX('Прайс-лист'!$B$11:$B$310,MATCH(ROWS($A$16:A261),'Прайс-лист'!$U$11:$U$310,0)),"")</f>
        <v/>
      </c>
      <c r="D261" s="59">
        <f>IFERROR(INDEX('Прайс-лист'!$C$11:$C$310,MATCH(ROWS($A$16:A261),'Прайс-лист'!$U$11:$U$310,0)),"")</f>
        <v/>
      </c>
      <c r="E261" s="59">
        <f>IFERROR(INDEX('Прайс-лист'!$E$11:$E$310,MATCH(ROWS($A$16:A261),'Прайс-лист'!$U$11:$U$310,0)),"")</f>
        <v/>
      </c>
      <c r="F261" s="58">
        <f>IFERROR(INDEX('Прайс-лист'!$F$11:$F$310,MATCH(ROWS($A$16:A261),'Прайс-лист'!$U$11:$U$310,0)),"")</f>
        <v/>
      </c>
      <c r="G261" s="61">
        <f>IFERROR(INDEX('Прайс-лист'!$R$11:$R$310,MATCH(ROWS($A$16:A261),'Прайс-лист'!$U$11:$U$310,0)),"")</f>
        <v/>
      </c>
      <c r="H261" s="60">
        <f>IFERROR(INDEX('Прайс-лист'!$P$11:$P$310,MATCH(ROWS($A$16:A261),'Прайс-лист'!$U$11:$U$310,0)),"")</f>
        <v/>
      </c>
      <c r="I261" s="61">
        <f>IFERROR(INDEX('Прайс-лист'!$S$11:$S$310,MATCH(ROWS($A$16:A261),'Прайс-лист'!$U$11:$U$310,0)),"")</f>
        <v/>
      </c>
      <c r="J261" s="61">
        <f>IFERROR($I261*0.22,"")</f>
        <v/>
      </c>
      <c r="K261" s="61">
        <f>IFERROR($I261+$J261,"")</f>
        <v/>
      </c>
      <c r="L261" s="59">
        <f>IFERROR(INDEX('Прайс-лист'!$Q$11:$Q$310,MATCH(ROWS($A$16:A261),'Прайс-лист'!$U$11:$U$310,0)),"")</f>
        <v/>
      </c>
    </row>
    <row r="262" ht="13.5" customHeight="1" s="49">
      <c r="A262" s="64">
        <f>IFERROR(IF(INDEX('Прайс-лист'!$U$11:$U$310,MATCH(ROWS($A$16:A262),'Прайс-лист'!$U$11:$U$310,0))="","",ROWS($A$16:A262)),"")</f>
        <v/>
      </c>
      <c r="B262" s="58">
        <f>IFERROR(INDEX('Прайс-лист'!$A$11:$A$310,MATCH(ROWS($A$16:A262),'Прайс-лист'!$U$11:$U$310,0)),"")</f>
        <v/>
      </c>
      <c r="C262" s="58">
        <f>IFERROR(INDEX('Прайс-лист'!$B$11:$B$310,MATCH(ROWS($A$16:A262),'Прайс-лист'!$U$11:$U$310,0)),"")</f>
        <v/>
      </c>
      <c r="D262" s="59">
        <f>IFERROR(INDEX('Прайс-лист'!$C$11:$C$310,MATCH(ROWS($A$16:A262),'Прайс-лист'!$U$11:$U$310,0)),"")</f>
        <v/>
      </c>
      <c r="E262" s="59">
        <f>IFERROR(INDEX('Прайс-лист'!$E$11:$E$310,MATCH(ROWS($A$16:A262),'Прайс-лист'!$U$11:$U$310,0)),"")</f>
        <v/>
      </c>
      <c r="F262" s="58">
        <f>IFERROR(INDEX('Прайс-лист'!$F$11:$F$310,MATCH(ROWS($A$16:A262),'Прайс-лист'!$U$11:$U$310,0)),"")</f>
        <v/>
      </c>
      <c r="G262" s="61">
        <f>IFERROR(INDEX('Прайс-лист'!$R$11:$R$310,MATCH(ROWS($A$16:A262),'Прайс-лист'!$U$11:$U$310,0)),"")</f>
        <v/>
      </c>
      <c r="H262" s="60">
        <f>IFERROR(INDEX('Прайс-лист'!$P$11:$P$310,MATCH(ROWS($A$16:A262),'Прайс-лист'!$U$11:$U$310,0)),"")</f>
        <v/>
      </c>
      <c r="I262" s="61">
        <f>IFERROR(INDEX('Прайс-лист'!$S$11:$S$310,MATCH(ROWS($A$16:A262),'Прайс-лист'!$U$11:$U$310,0)),"")</f>
        <v/>
      </c>
      <c r="J262" s="61">
        <f>IFERROR($I262*0.22,"")</f>
        <v/>
      </c>
      <c r="K262" s="61">
        <f>IFERROR($I262+$J262,"")</f>
        <v/>
      </c>
      <c r="L262" s="59">
        <f>IFERROR(INDEX('Прайс-лист'!$Q$11:$Q$310,MATCH(ROWS($A$16:A262),'Прайс-лист'!$U$11:$U$310,0)),"")</f>
        <v/>
      </c>
    </row>
    <row r="263" ht="13.5" customHeight="1" s="49">
      <c r="A263" s="64">
        <f>IFERROR(IF(INDEX('Прайс-лист'!$U$11:$U$310,MATCH(ROWS($A$16:A263),'Прайс-лист'!$U$11:$U$310,0))="","",ROWS($A$16:A263)),"")</f>
        <v/>
      </c>
      <c r="B263" s="58">
        <f>IFERROR(INDEX('Прайс-лист'!$A$11:$A$310,MATCH(ROWS($A$16:A263),'Прайс-лист'!$U$11:$U$310,0)),"")</f>
        <v/>
      </c>
      <c r="C263" s="58">
        <f>IFERROR(INDEX('Прайс-лист'!$B$11:$B$310,MATCH(ROWS($A$16:A263),'Прайс-лист'!$U$11:$U$310,0)),"")</f>
        <v/>
      </c>
      <c r="D263" s="59">
        <f>IFERROR(INDEX('Прайс-лист'!$C$11:$C$310,MATCH(ROWS($A$16:A263),'Прайс-лист'!$U$11:$U$310,0)),"")</f>
        <v/>
      </c>
      <c r="E263" s="59">
        <f>IFERROR(INDEX('Прайс-лист'!$E$11:$E$310,MATCH(ROWS($A$16:A263),'Прайс-лист'!$U$11:$U$310,0)),"")</f>
        <v/>
      </c>
      <c r="F263" s="58">
        <f>IFERROR(INDEX('Прайс-лист'!$F$11:$F$310,MATCH(ROWS($A$16:A263),'Прайс-лист'!$U$11:$U$310,0)),"")</f>
        <v/>
      </c>
      <c r="G263" s="61">
        <f>IFERROR(INDEX('Прайс-лист'!$R$11:$R$310,MATCH(ROWS($A$16:A263),'Прайс-лист'!$U$11:$U$310,0)),"")</f>
        <v/>
      </c>
      <c r="H263" s="60">
        <f>IFERROR(INDEX('Прайс-лист'!$P$11:$P$310,MATCH(ROWS($A$16:A263),'Прайс-лист'!$U$11:$U$310,0)),"")</f>
        <v/>
      </c>
      <c r="I263" s="61">
        <f>IFERROR(INDEX('Прайс-лист'!$S$11:$S$310,MATCH(ROWS($A$16:A263),'Прайс-лист'!$U$11:$U$310,0)),"")</f>
        <v/>
      </c>
      <c r="J263" s="61">
        <f>IFERROR($I263*0.22,"")</f>
        <v/>
      </c>
      <c r="K263" s="61">
        <f>IFERROR($I263+$J263,"")</f>
        <v/>
      </c>
      <c r="L263" s="59">
        <f>IFERROR(INDEX('Прайс-лист'!$Q$11:$Q$310,MATCH(ROWS($A$16:A263),'Прайс-лист'!$U$11:$U$310,0)),"")</f>
        <v/>
      </c>
    </row>
    <row r="264" ht="13.5" customHeight="1" s="49">
      <c r="A264" s="64">
        <f>IFERROR(IF(INDEX('Прайс-лист'!$U$11:$U$310,MATCH(ROWS($A$16:A264),'Прайс-лист'!$U$11:$U$310,0))="","",ROWS($A$16:A264)),"")</f>
        <v/>
      </c>
      <c r="B264" s="58">
        <f>IFERROR(INDEX('Прайс-лист'!$A$11:$A$310,MATCH(ROWS($A$16:A264),'Прайс-лист'!$U$11:$U$310,0)),"")</f>
        <v/>
      </c>
      <c r="C264" s="58">
        <f>IFERROR(INDEX('Прайс-лист'!$B$11:$B$310,MATCH(ROWS($A$16:A264),'Прайс-лист'!$U$11:$U$310,0)),"")</f>
        <v/>
      </c>
      <c r="D264" s="59">
        <f>IFERROR(INDEX('Прайс-лист'!$C$11:$C$310,MATCH(ROWS($A$16:A264),'Прайс-лист'!$U$11:$U$310,0)),"")</f>
        <v/>
      </c>
      <c r="E264" s="59">
        <f>IFERROR(INDEX('Прайс-лист'!$E$11:$E$310,MATCH(ROWS($A$16:A264),'Прайс-лист'!$U$11:$U$310,0)),"")</f>
        <v/>
      </c>
      <c r="F264" s="58">
        <f>IFERROR(INDEX('Прайс-лист'!$F$11:$F$310,MATCH(ROWS($A$16:A264),'Прайс-лист'!$U$11:$U$310,0)),"")</f>
        <v/>
      </c>
      <c r="G264" s="61">
        <f>IFERROR(INDEX('Прайс-лист'!$R$11:$R$310,MATCH(ROWS($A$16:A264),'Прайс-лист'!$U$11:$U$310,0)),"")</f>
        <v/>
      </c>
      <c r="H264" s="60">
        <f>IFERROR(INDEX('Прайс-лист'!$P$11:$P$310,MATCH(ROWS($A$16:A264),'Прайс-лист'!$U$11:$U$310,0)),"")</f>
        <v/>
      </c>
      <c r="I264" s="61">
        <f>IFERROR(INDEX('Прайс-лист'!$S$11:$S$310,MATCH(ROWS($A$16:A264),'Прайс-лист'!$U$11:$U$310,0)),"")</f>
        <v/>
      </c>
      <c r="J264" s="61">
        <f>IFERROR($I264*0.22,"")</f>
        <v/>
      </c>
      <c r="K264" s="61">
        <f>IFERROR($I264+$J264,"")</f>
        <v/>
      </c>
      <c r="L264" s="59">
        <f>IFERROR(INDEX('Прайс-лист'!$Q$11:$Q$310,MATCH(ROWS($A$16:A264),'Прайс-лист'!$U$11:$U$310,0)),"")</f>
        <v/>
      </c>
    </row>
    <row r="265" ht="13.5" customHeight="1" s="49">
      <c r="A265" s="64">
        <f>IFERROR(IF(INDEX('Прайс-лист'!$U$11:$U$310,MATCH(ROWS($A$16:A265),'Прайс-лист'!$U$11:$U$310,0))="","",ROWS($A$16:A265)),"")</f>
        <v/>
      </c>
      <c r="B265" s="58">
        <f>IFERROR(INDEX('Прайс-лист'!$A$11:$A$310,MATCH(ROWS($A$16:A265),'Прайс-лист'!$U$11:$U$310,0)),"")</f>
        <v/>
      </c>
      <c r="C265" s="58">
        <f>IFERROR(INDEX('Прайс-лист'!$B$11:$B$310,MATCH(ROWS($A$16:A265),'Прайс-лист'!$U$11:$U$310,0)),"")</f>
        <v/>
      </c>
      <c r="D265" s="59">
        <f>IFERROR(INDEX('Прайс-лист'!$C$11:$C$310,MATCH(ROWS($A$16:A265),'Прайс-лист'!$U$11:$U$310,0)),"")</f>
        <v/>
      </c>
      <c r="E265" s="59">
        <f>IFERROR(INDEX('Прайс-лист'!$E$11:$E$310,MATCH(ROWS($A$16:A265),'Прайс-лист'!$U$11:$U$310,0)),"")</f>
        <v/>
      </c>
      <c r="F265" s="58">
        <f>IFERROR(INDEX('Прайс-лист'!$F$11:$F$310,MATCH(ROWS($A$16:A265),'Прайс-лист'!$U$11:$U$310,0)),"")</f>
        <v/>
      </c>
      <c r="G265" s="61">
        <f>IFERROR(INDEX('Прайс-лист'!$R$11:$R$310,MATCH(ROWS($A$16:A265),'Прайс-лист'!$U$11:$U$310,0)),"")</f>
        <v/>
      </c>
      <c r="H265" s="60">
        <f>IFERROR(INDEX('Прайс-лист'!$P$11:$P$310,MATCH(ROWS($A$16:A265),'Прайс-лист'!$U$11:$U$310,0)),"")</f>
        <v/>
      </c>
      <c r="I265" s="61">
        <f>IFERROR(INDEX('Прайс-лист'!$S$11:$S$310,MATCH(ROWS($A$16:A265),'Прайс-лист'!$U$11:$U$310,0)),"")</f>
        <v/>
      </c>
      <c r="J265" s="61">
        <f>IFERROR($I265*0.22,"")</f>
        <v/>
      </c>
      <c r="K265" s="61">
        <f>IFERROR($I265+$J265,"")</f>
        <v/>
      </c>
      <c r="L265" s="59">
        <f>IFERROR(INDEX('Прайс-лист'!$Q$11:$Q$310,MATCH(ROWS($A$16:A265),'Прайс-лист'!$U$11:$U$310,0)),"")</f>
        <v/>
      </c>
    </row>
    <row r="266" ht="13.5" customHeight="1" s="49">
      <c r="A266" s="64">
        <f>IFERROR(IF(INDEX('Прайс-лист'!$U$11:$U$310,MATCH(ROWS($A$16:A266),'Прайс-лист'!$U$11:$U$310,0))="","",ROWS($A$16:A266)),"")</f>
        <v/>
      </c>
      <c r="B266" s="58">
        <f>IFERROR(INDEX('Прайс-лист'!$A$11:$A$310,MATCH(ROWS($A$16:A266),'Прайс-лист'!$U$11:$U$310,0)),"")</f>
        <v/>
      </c>
      <c r="C266" s="58">
        <f>IFERROR(INDEX('Прайс-лист'!$B$11:$B$310,MATCH(ROWS($A$16:A266),'Прайс-лист'!$U$11:$U$310,0)),"")</f>
        <v/>
      </c>
      <c r="D266" s="59">
        <f>IFERROR(INDEX('Прайс-лист'!$C$11:$C$310,MATCH(ROWS($A$16:A266),'Прайс-лист'!$U$11:$U$310,0)),"")</f>
        <v/>
      </c>
      <c r="E266" s="59">
        <f>IFERROR(INDEX('Прайс-лист'!$E$11:$E$310,MATCH(ROWS($A$16:A266),'Прайс-лист'!$U$11:$U$310,0)),"")</f>
        <v/>
      </c>
      <c r="F266" s="58">
        <f>IFERROR(INDEX('Прайс-лист'!$F$11:$F$310,MATCH(ROWS($A$16:A266),'Прайс-лист'!$U$11:$U$310,0)),"")</f>
        <v/>
      </c>
      <c r="G266" s="61">
        <f>IFERROR(INDEX('Прайс-лист'!$R$11:$R$310,MATCH(ROWS($A$16:A266),'Прайс-лист'!$U$11:$U$310,0)),"")</f>
        <v/>
      </c>
      <c r="H266" s="60">
        <f>IFERROR(INDEX('Прайс-лист'!$P$11:$P$310,MATCH(ROWS($A$16:A266),'Прайс-лист'!$U$11:$U$310,0)),"")</f>
        <v/>
      </c>
      <c r="I266" s="61">
        <f>IFERROR(INDEX('Прайс-лист'!$S$11:$S$310,MATCH(ROWS($A$16:A266),'Прайс-лист'!$U$11:$U$310,0)),"")</f>
        <v/>
      </c>
      <c r="J266" s="61">
        <f>IFERROR($I266*0.22,"")</f>
        <v/>
      </c>
      <c r="K266" s="61">
        <f>IFERROR($I266+$J266,"")</f>
        <v/>
      </c>
      <c r="L266" s="59">
        <f>IFERROR(INDEX('Прайс-лист'!$Q$11:$Q$310,MATCH(ROWS($A$16:A266),'Прайс-лист'!$U$11:$U$310,0)),"")</f>
        <v/>
      </c>
    </row>
    <row r="267" ht="13.5" customHeight="1" s="49">
      <c r="A267" s="64">
        <f>IFERROR(IF(INDEX('Прайс-лист'!$U$11:$U$310,MATCH(ROWS($A$16:A267),'Прайс-лист'!$U$11:$U$310,0))="","",ROWS($A$16:A267)),"")</f>
        <v/>
      </c>
      <c r="B267" s="58">
        <f>IFERROR(INDEX('Прайс-лист'!$A$11:$A$310,MATCH(ROWS($A$16:A267),'Прайс-лист'!$U$11:$U$310,0)),"")</f>
        <v/>
      </c>
      <c r="C267" s="58">
        <f>IFERROR(INDEX('Прайс-лист'!$B$11:$B$310,MATCH(ROWS($A$16:A267),'Прайс-лист'!$U$11:$U$310,0)),"")</f>
        <v/>
      </c>
      <c r="D267" s="59">
        <f>IFERROR(INDEX('Прайс-лист'!$C$11:$C$310,MATCH(ROWS($A$16:A267),'Прайс-лист'!$U$11:$U$310,0)),"")</f>
        <v/>
      </c>
      <c r="E267" s="59">
        <f>IFERROR(INDEX('Прайс-лист'!$E$11:$E$310,MATCH(ROWS($A$16:A267),'Прайс-лист'!$U$11:$U$310,0)),"")</f>
        <v/>
      </c>
      <c r="F267" s="58">
        <f>IFERROR(INDEX('Прайс-лист'!$F$11:$F$310,MATCH(ROWS($A$16:A267),'Прайс-лист'!$U$11:$U$310,0)),"")</f>
        <v/>
      </c>
      <c r="G267" s="61">
        <f>IFERROR(INDEX('Прайс-лист'!$R$11:$R$310,MATCH(ROWS($A$16:A267),'Прайс-лист'!$U$11:$U$310,0)),"")</f>
        <v/>
      </c>
      <c r="H267" s="60">
        <f>IFERROR(INDEX('Прайс-лист'!$P$11:$P$310,MATCH(ROWS($A$16:A267),'Прайс-лист'!$U$11:$U$310,0)),"")</f>
        <v/>
      </c>
      <c r="I267" s="61">
        <f>IFERROR(INDEX('Прайс-лист'!$S$11:$S$310,MATCH(ROWS($A$16:A267),'Прайс-лист'!$U$11:$U$310,0)),"")</f>
        <v/>
      </c>
      <c r="J267" s="61">
        <f>IFERROR($I267*0.22,"")</f>
        <v/>
      </c>
      <c r="K267" s="61">
        <f>IFERROR($I267+$J267,"")</f>
        <v/>
      </c>
      <c r="L267" s="59">
        <f>IFERROR(INDEX('Прайс-лист'!$Q$11:$Q$310,MATCH(ROWS($A$16:A267),'Прайс-лист'!$U$11:$U$310,0)),"")</f>
        <v/>
      </c>
    </row>
    <row r="268" ht="13.5" customHeight="1" s="49">
      <c r="A268" s="64">
        <f>IFERROR(IF(INDEX('Прайс-лист'!$U$11:$U$310,MATCH(ROWS($A$16:A268),'Прайс-лист'!$U$11:$U$310,0))="","",ROWS($A$16:A268)),"")</f>
        <v/>
      </c>
      <c r="B268" s="58">
        <f>IFERROR(INDEX('Прайс-лист'!$A$11:$A$310,MATCH(ROWS($A$16:A268),'Прайс-лист'!$U$11:$U$310,0)),"")</f>
        <v/>
      </c>
      <c r="C268" s="58">
        <f>IFERROR(INDEX('Прайс-лист'!$B$11:$B$310,MATCH(ROWS($A$16:A268),'Прайс-лист'!$U$11:$U$310,0)),"")</f>
        <v/>
      </c>
      <c r="D268" s="59">
        <f>IFERROR(INDEX('Прайс-лист'!$C$11:$C$310,MATCH(ROWS($A$16:A268),'Прайс-лист'!$U$11:$U$310,0)),"")</f>
        <v/>
      </c>
      <c r="E268" s="59">
        <f>IFERROR(INDEX('Прайс-лист'!$E$11:$E$310,MATCH(ROWS($A$16:A268),'Прайс-лист'!$U$11:$U$310,0)),"")</f>
        <v/>
      </c>
      <c r="F268" s="58">
        <f>IFERROR(INDEX('Прайс-лист'!$F$11:$F$310,MATCH(ROWS($A$16:A268),'Прайс-лист'!$U$11:$U$310,0)),"")</f>
        <v/>
      </c>
      <c r="G268" s="61">
        <f>IFERROR(INDEX('Прайс-лист'!$R$11:$R$310,MATCH(ROWS($A$16:A268),'Прайс-лист'!$U$11:$U$310,0)),"")</f>
        <v/>
      </c>
      <c r="H268" s="60">
        <f>IFERROR(INDEX('Прайс-лист'!$P$11:$P$310,MATCH(ROWS($A$16:A268),'Прайс-лист'!$U$11:$U$310,0)),"")</f>
        <v/>
      </c>
      <c r="I268" s="61">
        <f>IFERROR(INDEX('Прайс-лист'!$S$11:$S$310,MATCH(ROWS($A$16:A268),'Прайс-лист'!$U$11:$U$310,0)),"")</f>
        <v/>
      </c>
      <c r="J268" s="61">
        <f>IFERROR($I268*0.22,"")</f>
        <v/>
      </c>
      <c r="K268" s="61">
        <f>IFERROR($I268+$J268,"")</f>
        <v/>
      </c>
      <c r="L268" s="59">
        <f>IFERROR(INDEX('Прайс-лист'!$Q$11:$Q$310,MATCH(ROWS($A$16:A268),'Прайс-лист'!$U$11:$U$310,0)),"")</f>
        <v/>
      </c>
    </row>
    <row r="269" ht="13.5" customHeight="1" s="49">
      <c r="A269" s="64">
        <f>IFERROR(IF(INDEX('Прайс-лист'!$U$11:$U$310,MATCH(ROWS($A$16:A269),'Прайс-лист'!$U$11:$U$310,0))="","",ROWS($A$16:A269)),"")</f>
        <v/>
      </c>
      <c r="B269" s="58">
        <f>IFERROR(INDEX('Прайс-лист'!$A$11:$A$310,MATCH(ROWS($A$16:A269),'Прайс-лист'!$U$11:$U$310,0)),"")</f>
        <v/>
      </c>
      <c r="C269" s="58">
        <f>IFERROR(INDEX('Прайс-лист'!$B$11:$B$310,MATCH(ROWS($A$16:A269),'Прайс-лист'!$U$11:$U$310,0)),"")</f>
        <v/>
      </c>
      <c r="D269" s="59">
        <f>IFERROR(INDEX('Прайс-лист'!$C$11:$C$310,MATCH(ROWS($A$16:A269),'Прайс-лист'!$U$11:$U$310,0)),"")</f>
        <v/>
      </c>
      <c r="E269" s="59">
        <f>IFERROR(INDEX('Прайс-лист'!$E$11:$E$310,MATCH(ROWS($A$16:A269),'Прайс-лист'!$U$11:$U$310,0)),"")</f>
        <v/>
      </c>
      <c r="F269" s="58">
        <f>IFERROR(INDEX('Прайс-лист'!$F$11:$F$310,MATCH(ROWS($A$16:A269),'Прайс-лист'!$U$11:$U$310,0)),"")</f>
        <v/>
      </c>
      <c r="G269" s="61">
        <f>IFERROR(INDEX('Прайс-лист'!$R$11:$R$310,MATCH(ROWS($A$16:A269),'Прайс-лист'!$U$11:$U$310,0)),"")</f>
        <v/>
      </c>
      <c r="H269" s="60">
        <f>IFERROR(INDEX('Прайс-лист'!$P$11:$P$310,MATCH(ROWS($A$16:A269),'Прайс-лист'!$U$11:$U$310,0)),"")</f>
        <v/>
      </c>
      <c r="I269" s="61">
        <f>IFERROR(INDEX('Прайс-лист'!$S$11:$S$310,MATCH(ROWS($A$16:A269),'Прайс-лист'!$U$11:$U$310,0)),"")</f>
        <v/>
      </c>
      <c r="J269" s="61">
        <f>IFERROR($I269*0.22,"")</f>
        <v/>
      </c>
      <c r="K269" s="61">
        <f>IFERROR($I269+$J269,"")</f>
        <v/>
      </c>
      <c r="L269" s="59">
        <f>IFERROR(INDEX('Прайс-лист'!$Q$11:$Q$310,MATCH(ROWS($A$16:A269),'Прайс-лист'!$U$11:$U$310,0)),"")</f>
        <v/>
      </c>
    </row>
    <row r="270" ht="13.5" customHeight="1" s="49">
      <c r="A270" s="64">
        <f>IFERROR(IF(INDEX('Прайс-лист'!$U$11:$U$310,MATCH(ROWS($A$16:A270),'Прайс-лист'!$U$11:$U$310,0))="","",ROWS($A$16:A270)),"")</f>
        <v/>
      </c>
      <c r="B270" s="58">
        <f>IFERROR(INDEX('Прайс-лист'!$A$11:$A$310,MATCH(ROWS($A$16:A270),'Прайс-лист'!$U$11:$U$310,0)),"")</f>
        <v/>
      </c>
      <c r="C270" s="58">
        <f>IFERROR(INDEX('Прайс-лист'!$B$11:$B$310,MATCH(ROWS($A$16:A270),'Прайс-лист'!$U$11:$U$310,0)),"")</f>
        <v/>
      </c>
      <c r="D270" s="59">
        <f>IFERROR(INDEX('Прайс-лист'!$C$11:$C$310,MATCH(ROWS($A$16:A270),'Прайс-лист'!$U$11:$U$310,0)),"")</f>
        <v/>
      </c>
      <c r="E270" s="59">
        <f>IFERROR(INDEX('Прайс-лист'!$E$11:$E$310,MATCH(ROWS($A$16:A270),'Прайс-лист'!$U$11:$U$310,0)),"")</f>
        <v/>
      </c>
      <c r="F270" s="58">
        <f>IFERROR(INDEX('Прайс-лист'!$F$11:$F$310,MATCH(ROWS($A$16:A270),'Прайс-лист'!$U$11:$U$310,0)),"")</f>
        <v/>
      </c>
      <c r="G270" s="61">
        <f>IFERROR(INDEX('Прайс-лист'!$R$11:$R$310,MATCH(ROWS($A$16:A270),'Прайс-лист'!$U$11:$U$310,0)),"")</f>
        <v/>
      </c>
      <c r="H270" s="60">
        <f>IFERROR(INDEX('Прайс-лист'!$P$11:$P$310,MATCH(ROWS($A$16:A270),'Прайс-лист'!$U$11:$U$310,0)),"")</f>
        <v/>
      </c>
      <c r="I270" s="61">
        <f>IFERROR(INDEX('Прайс-лист'!$S$11:$S$310,MATCH(ROWS($A$16:A270),'Прайс-лист'!$U$11:$U$310,0)),"")</f>
        <v/>
      </c>
      <c r="J270" s="61">
        <f>IFERROR($I270*0.22,"")</f>
        <v/>
      </c>
      <c r="K270" s="61">
        <f>IFERROR($I270+$J270,"")</f>
        <v/>
      </c>
      <c r="L270" s="59">
        <f>IFERROR(INDEX('Прайс-лист'!$Q$11:$Q$310,MATCH(ROWS($A$16:A270),'Прайс-лист'!$U$11:$U$310,0)),"")</f>
        <v/>
      </c>
    </row>
    <row r="271" ht="13.5" customHeight="1" s="49">
      <c r="A271" s="64">
        <f>IFERROR(IF(INDEX('Прайс-лист'!$U$11:$U$310,MATCH(ROWS($A$16:A271),'Прайс-лист'!$U$11:$U$310,0))="","",ROWS($A$16:A271)),"")</f>
        <v/>
      </c>
      <c r="B271" s="58">
        <f>IFERROR(INDEX('Прайс-лист'!$A$11:$A$310,MATCH(ROWS($A$16:A271),'Прайс-лист'!$U$11:$U$310,0)),"")</f>
        <v/>
      </c>
      <c r="C271" s="58">
        <f>IFERROR(INDEX('Прайс-лист'!$B$11:$B$310,MATCH(ROWS($A$16:A271),'Прайс-лист'!$U$11:$U$310,0)),"")</f>
        <v/>
      </c>
      <c r="D271" s="59">
        <f>IFERROR(INDEX('Прайс-лист'!$C$11:$C$310,MATCH(ROWS($A$16:A271),'Прайс-лист'!$U$11:$U$310,0)),"")</f>
        <v/>
      </c>
      <c r="E271" s="59">
        <f>IFERROR(INDEX('Прайс-лист'!$E$11:$E$310,MATCH(ROWS($A$16:A271),'Прайс-лист'!$U$11:$U$310,0)),"")</f>
        <v/>
      </c>
      <c r="F271" s="58">
        <f>IFERROR(INDEX('Прайс-лист'!$F$11:$F$310,MATCH(ROWS($A$16:A271),'Прайс-лист'!$U$11:$U$310,0)),"")</f>
        <v/>
      </c>
      <c r="G271" s="61">
        <f>IFERROR(INDEX('Прайс-лист'!$R$11:$R$310,MATCH(ROWS($A$16:A271),'Прайс-лист'!$U$11:$U$310,0)),"")</f>
        <v/>
      </c>
      <c r="H271" s="60">
        <f>IFERROR(INDEX('Прайс-лист'!$P$11:$P$310,MATCH(ROWS($A$16:A271),'Прайс-лист'!$U$11:$U$310,0)),"")</f>
        <v/>
      </c>
      <c r="I271" s="61">
        <f>IFERROR(INDEX('Прайс-лист'!$S$11:$S$310,MATCH(ROWS($A$16:A271),'Прайс-лист'!$U$11:$U$310,0)),"")</f>
        <v/>
      </c>
      <c r="J271" s="61">
        <f>IFERROR($I271*0.22,"")</f>
        <v/>
      </c>
      <c r="K271" s="61">
        <f>IFERROR($I271+$J271,"")</f>
        <v/>
      </c>
      <c r="L271" s="59">
        <f>IFERROR(INDEX('Прайс-лист'!$Q$11:$Q$310,MATCH(ROWS($A$16:A271),'Прайс-лист'!$U$11:$U$310,0)),"")</f>
        <v/>
      </c>
    </row>
    <row r="272" ht="13.5" customHeight="1" s="49">
      <c r="A272" s="64">
        <f>IFERROR(IF(INDEX('Прайс-лист'!$U$11:$U$310,MATCH(ROWS($A$16:A272),'Прайс-лист'!$U$11:$U$310,0))="","",ROWS($A$16:A272)),"")</f>
        <v/>
      </c>
      <c r="B272" s="58">
        <f>IFERROR(INDEX('Прайс-лист'!$A$11:$A$310,MATCH(ROWS($A$16:A272),'Прайс-лист'!$U$11:$U$310,0)),"")</f>
        <v/>
      </c>
      <c r="C272" s="58">
        <f>IFERROR(INDEX('Прайс-лист'!$B$11:$B$310,MATCH(ROWS($A$16:A272),'Прайс-лист'!$U$11:$U$310,0)),"")</f>
        <v/>
      </c>
      <c r="D272" s="59">
        <f>IFERROR(INDEX('Прайс-лист'!$C$11:$C$310,MATCH(ROWS($A$16:A272),'Прайс-лист'!$U$11:$U$310,0)),"")</f>
        <v/>
      </c>
      <c r="E272" s="59">
        <f>IFERROR(INDEX('Прайс-лист'!$E$11:$E$310,MATCH(ROWS($A$16:A272),'Прайс-лист'!$U$11:$U$310,0)),"")</f>
        <v/>
      </c>
      <c r="F272" s="58">
        <f>IFERROR(INDEX('Прайс-лист'!$F$11:$F$310,MATCH(ROWS($A$16:A272),'Прайс-лист'!$U$11:$U$310,0)),"")</f>
        <v/>
      </c>
      <c r="G272" s="61">
        <f>IFERROR(INDEX('Прайс-лист'!$R$11:$R$310,MATCH(ROWS($A$16:A272),'Прайс-лист'!$U$11:$U$310,0)),"")</f>
        <v/>
      </c>
      <c r="H272" s="60">
        <f>IFERROR(INDEX('Прайс-лист'!$P$11:$P$310,MATCH(ROWS($A$16:A272),'Прайс-лист'!$U$11:$U$310,0)),"")</f>
        <v/>
      </c>
      <c r="I272" s="61">
        <f>IFERROR(INDEX('Прайс-лист'!$S$11:$S$310,MATCH(ROWS($A$16:A272),'Прайс-лист'!$U$11:$U$310,0)),"")</f>
        <v/>
      </c>
      <c r="J272" s="61">
        <f>IFERROR($I272*0.22,"")</f>
        <v/>
      </c>
      <c r="K272" s="61">
        <f>IFERROR($I272+$J272,"")</f>
        <v/>
      </c>
      <c r="L272" s="59">
        <f>IFERROR(INDEX('Прайс-лист'!$Q$11:$Q$310,MATCH(ROWS($A$16:A272),'Прайс-лист'!$U$11:$U$310,0)),"")</f>
        <v/>
      </c>
    </row>
    <row r="273" ht="13.5" customHeight="1" s="49">
      <c r="A273" s="64">
        <f>IFERROR(IF(INDEX('Прайс-лист'!$U$11:$U$310,MATCH(ROWS($A$16:A273),'Прайс-лист'!$U$11:$U$310,0))="","",ROWS($A$16:A273)),"")</f>
        <v/>
      </c>
      <c r="B273" s="58">
        <f>IFERROR(INDEX('Прайс-лист'!$A$11:$A$310,MATCH(ROWS($A$16:A273),'Прайс-лист'!$U$11:$U$310,0)),"")</f>
        <v/>
      </c>
      <c r="C273" s="58">
        <f>IFERROR(INDEX('Прайс-лист'!$B$11:$B$310,MATCH(ROWS($A$16:A273),'Прайс-лист'!$U$11:$U$310,0)),"")</f>
        <v/>
      </c>
      <c r="D273" s="59">
        <f>IFERROR(INDEX('Прайс-лист'!$C$11:$C$310,MATCH(ROWS($A$16:A273),'Прайс-лист'!$U$11:$U$310,0)),"")</f>
        <v/>
      </c>
      <c r="E273" s="59">
        <f>IFERROR(INDEX('Прайс-лист'!$E$11:$E$310,MATCH(ROWS($A$16:A273),'Прайс-лист'!$U$11:$U$310,0)),"")</f>
        <v/>
      </c>
      <c r="F273" s="58">
        <f>IFERROR(INDEX('Прайс-лист'!$F$11:$F$310,MATCH(ROWS($A$16:A273),'Прайс-лист'!$U$11:$U$310,0)),"")</f>
        <v/>
      </c>
      <c r="G273" s="61">
        <f>IFERROR(INDEX('Прайс-лист'!$R$11:$R$310,MATCH(ROWS($A$16:A273),'Прайс-лист'!$U$11:$U$310,0)),"")</f>
        <v/>
      </c>
      <c r="H273" s="60">
        <f>IFERROR(INDEX('Прайс-лист'!$P$11:$P$310,MATCH(ROWS($A$16:A273),'Прайс-лист'!$U$11:$U$310,0)),"")</f>
        <v/>
      </c>
      <c r="I273" s="61">
        <f>IFERROR(INDEX('Прайс-лист'!$S$11:$S$310,MATCH(ROWS($A$16:A273),'Прайс-лист'!$U$11:$U$310,0)),"")</f>
        <v/>
      </c>
      <c r="J273" s="61">
        <f>IFERROR($I273*0.22,"")</f>
        <v/>
      </c>
      <c r="K273" s="61">
        <f>IFERROR($I273+$J273,"")</f>
        <v/>
      </c>
      <c r="L273" s="59">
        <f>IFERROR(INDEX('Прайс-лист'!$Q$11:$Q$310,MATCH(ROWS($A$16:A273),'Прайс-лист'!$U$11:$U$310,0)),"")</f>
        <v/>
      </c>
    </row>
    <row r="274" ht="13.5" customHeight="1" s="49">
      <c r="A274" s="64">
        <f>IFERROR(IF(INDEX('Прайс-лист'!$U$11:$U$310,MATCH(ROWS($A$16:A274),'Прайс-лист'!$U$11:$U$310,0))="","",ROWS($A$16:A274)),"")</f>
        <v/>
      </c>
      <c r="B274" s="58">
        <f>IFERROR(INDEX('Прайс-лист'!$A$11:$A$310,MATCH(ROWS($A$16:A274),'Прайс-лист'!$U$11:$U$310,0)),"")</f>
        <v/>
      </c>
      <c r="C274" s="58">
        <f>IFERROR(INDEX('Прайс-лист'!$B$11:$B$310,MATCH(ROWS($A$16:A274),'Прайс-лист'!$U$11:$U$310,0)),"")</f>
        <v/>
      </c>
      <c r="D274" s="59">
        <f>IFERROR(INDEX('Прайс-лист'!$C$11:$C$310,MATCH(ROWS($A$16:A274),'Прайс-лист'!$U$11:$U$310,0)),"")</f>
        <v/>
      </c>
      <c r="E274" s="59">
        <f>IFERROR(INDEX('Прайс-лист'!$E$11:$E$310,MATCH(ROWS($A$16:A274),'Прайс-лист'!$U$11:$U$310,0)),"")</f>
        <v/>
      </c>
      <c r="F274" s="58">
        <f>IFERROR(INDEX('Прайс-лист'!$F$11:$F$310,MATCH(ROWS($A$16:A274),'Прайс-лист'!$U$11:$U$310,0)),"")</f>
        <v/>
      </c>
      <c r="G274" s="61">
        <f>IFERROR(INDEX('Прайс-лист'!$R$11:$R$310,MATCH(ROWS($A$16:A274),'Прайс-лист'!$U$11:$U$310,0)),"")</f>
        <v/>
      </c>
      <c r="H274" s="60">
        <f>IFERROR(INDEX('Прайс-лист'!$P$11:$P$310,MATCH(ROWS($A$16:A274),'Прайс-лист'!$U$11:$U$310,0)),"")</f>
        <v/>
      </c>
      <c r="I274" s="61">
        <f>IFERROR(INDEX('Прайс-лист'!$S$11:$S$310,MATCH(ROWS($A$16:A274),'Прайс-лист'!$U$11:$U$310,0)),"")</f>
        <v/>
      </c>
      <c r="J274" s="61">
        <f>IFERROR($I274*0.22,"")</f>
        <v/>
      </c>
      <c r="K274" s="61">
        <f>IFERROR($I274+$J274,"")</f>
        <v/>
      </c>
      <c r="L274" s="59">
        <f>IFERROR(INDEX('Прайс-лист'!$Q$11:$Q$310,MATCH(ROWS($A$16:A274),'Прайс-лист'!$U$11:$U$310,0)),"")</f>
        <v/>
      </c>
    </row>
    <row r="275" ht="13.5" customHeight="1" s="49">
      <c r="A275" s="64">
        <f>IFERROR(IF(INDEX('Прайс-лист'!$U$11:$U$310,MATCH(ROWS($A$16:A275),'Прайс-лист'!$U$11:$U$310,0))="","",ROWS($A$16:A275)),"")</f>
        <v/>
      </c>
      <c r="B275" s="58">
        <f>IFERROR(INDEX('Прайс-лист'!$A$11:$A$310,MATCH(ROWS($A$16:A275),'Прайс-лист'!$U$11:$U$310,0)),"")</f>
        <v/>
      </c>
      <c r="C275" s="58">
        <f>IFERROR(INDEX('Прайс-лист'!$B$11:$B$310,MATCH(ROWS($A$16:A275),'Прайс-лист'!$U$11:$U$310,0)),"")</f>
        <v/>
      </c>
      <c r="D275" s="59">
        <f>IFERROR(INDEX('Прайс-лист'!$C$11:$C$310,MATCH(ROWS($A$16:A275),'Прайс-лист'!$U$11:$U$310,0)),"")</f>
        <v/>
      </c>
      <c r="E275" s="59">
        <f>IFERROR(INDEX('Прайс-лист'!$E$11:$E$310,MATCH(ROWS($A$16:A275),'Прайс-лист'!$U$11:$U$310,0)),"")</f>
        <v/>
      </c>
      <c r="F275" s="58">
        <f>IFERROR(INDEX('Прайс-лист'!$F$11:$F$310,MATCH(ROWS($A$16:A275),'Прайс-лист'!$U$11:$U$310,0)),"")</f>
        <v/>
      </c>
      <c r="G275" s="61">
        <f>IFERROR(INDEX('Прайс-лист'!$R$11:$R$310,MATCH(ROWS($A$16:A275),'Прайс-лист'!$U$11:$U$310,0)),"")</f>
        <v/>
      </c>
      <c r="H275" s="60">
        <f>IFERROR(INDEX('Прайс-лист'!$P$11:$P$310,MATCH(ROWS($A$16:A275),'Прайс-лист'!$U$11:$U$310,0)),"")</f>
        <v/>
      </c>
      <c r="I275" s="61">
        <f>IFERROR(INDEX('Прайс-лист'!$S$11:$S$310,MATCH(ROWS($A$16:A275),'Прайс-лист'!$U$11:$U$310,0)),"")</f>
        <v/>
      </c>
      <c r="J275" s="61">
        <f>IFERROR($I275*0.22,"")</f>
        <v/>
      </c>
      <c r="K275" s="61">
        <f>IFERROR($I275+$J275,"")</f>
        <v/>
      </c>
      <c r="L275" s="59">
        <f>IFERROR(INDEX('Прайс-лист'!$Q$11:$Q$310,MATCH(ROWS($A$16:A275),'Прайс-лист'!$U$11:$U$310,0)),"")</f>
        <v/>
      </c>
    </row>
    <row r="276" ht="13.5" customHeight="1" s="49">
      <c r="A276" s="64">
        <f>IFERROR(IF(INDEX('Прайс-лист'!$U$11:$U$310,MATCH(ROWS($A$16:A276),'Прайс-лист'!$U$11:$U$310,0))="","",ROWS($A$16:A276)),"")</f>
        <v/>
      </c>
      <c r="B276" s="58">
        <f>IFERROR(INDEX('Прайс-лист'!$A$11:$A$310,MATCH(ROWS($A$16:A276),'Прайс-лист'!$U$11:$U$310,0)),"")</f>
        <v/>
      </c>
      <c r="C276" s="58">
        <f>IFERROR(INDEX('Прайс-лист'!$B$11:$B$310,MATCH(ROWS($A$16:A276),'Прайс-лист'!$U$11:$U$310,0)),"")</f>
        <v/>
      </c>
      <c r="D276" s="59">
        <f>IFERROR(INDEX('Прайс-лист'!$C$11:$C$310,MATCH(ROWS($A$16:A276),'Прайс-лист'!$U$11:$U$310,0)),"")</f>
        <v/>
      </c>
      <c r="E276" s="59">
        <f>IFERROR(INDEX('Прайс-лист'!$E$11:$E$310,MATCH(ROWS($A$16:A276),'Прайс-лист'!$U$11:$U$310,0)),"")</f>
        <v/>
      </c>
      <c r="F276" s="58">
        <f>IFERROR(INDEX('Прайс-лист'!$F$11:$F$310,MATCH(ROWS($A$16:A276),'Прайс-лист'!$U$11:$U$310,0)),"")</f>
        <v/>
      </c>
      <c r="G276" s="61">
        <f>IFERROR(INDEX('Прайс-лист'!$R$11:$R$310,MATCH(ROWS($A$16:A276),'Прайс-лист'!$U$11:$U$310,0)),"")</f>
        <v/>
      </c>
      <c r="H276" s="60">
        <f>IFERROR(INDEX('Прайс-лист'!$P$11:$P$310,MATCH(ROWS($A$16:A276),'Прайс-лист'!$U$11:$U$310,0)),"")</f>
        <v/>
      </c>
      <c r="I276" s="61">
        <f>IFERROR(INDEX('Прайс-лист'!$S$11:$S$310,MATCH(ROWS($A$16:A276),'Прайс-лист'!$U$11:$U$310,0)),"")</f>
        <v/>
      </c>
      <c r="J276" s="61">
        <f>IFERROR($I276*0.22,"")</f>
        <v/>
      </c>
      <c r="K276" s="61">
        <f>IFERROR($I276+$J276,"")</f>
        <v/>
      </c>
      <c r="L276" s="59">
        <f>IFERROR(INDEX('Прайс-лист'!$Q$11:$Q$310,MATCH(ROWS($A$16:A276),'Прайс-лист'!$U$11:$U$310,0)),"")</f>
        <v/>
      </c>
    </row>
    <row r="277" ht="13.5" customHeight="1" s="49">
      <c r="A277" s="64">
        <f>IFERROR(IF(INDEX('Прайс-лист'!$U$11:$U$310,MATCH(ROWS($A$16:A277),'Прайс-лист'!$U$11:$U$310,0))="","",ROWS($A$16:A277)),"")</f>
        <v/>
      </c>
      <c r="B277" s="58">
        <f>IFERROR(INDEX('Прайс-лист'!$A$11:$A$310,MATCH(ROWS($A$16:A277),'Прайс-лист'!$U$11:$U$310,0)),"")</f>
        <v/>
      </c>
      <c r="C277" s="58">
        <f>IFERROR(INDEX('Прайс-лист'!$B$11:$B$310,MATCH(ROWS($A$16:A277),'Прайс-лист'!$U$11:$U$310,0)),"")</f>
        <v/>
      </c>
      <c r="D277" s="59">
        <f>IFERROR(INDEX('Прайс-лист'!$C$11:$C$310,MATCH(ROWS($A$16:A277),'Прайс-лист'!$U$11:$U$310,0)),"")</f>
        <v/>
      </c>
      <c r="E277" s="59">
        <f>IFERROR(INDEX('Прайс-лист'!$E$11:$E$310,MATCH(ROWS($A$16:A277),'Прайс-лист'!$U$11:$U$310,0)),"")</f>
        <v/>
      </c>
      <c r="F277" s="58">
        <f>IFERROR(INDEX('Прайс-лист'!$F$11:$F$310,MATCH(ROWS($A$16:A277),'Прайс-лист'!$U$11:$U$310,0)),"")</f>
        <v/>
      </c>
      <c r="G277" s="61">
        <f>IFERROR(INDEX('Прайс-лист'!$R$11:$R$310,MATCH(ROWS($A$16:A277),'Прайс-лист'!$U$11:$U$310,0)),"")</f>
        <v/>
      </c>
      <c r="H277" s="60">
        <f>IFERROR(INDEX('Прайс-лист'!$P$11:$P$310,MATCH(ROWS($A$16:A277),'Прайс-лист'!$U$11:$U$310,0)),"")</f>
        <v/>
      </c>
      <c r="I277" s="61">
        <f>IFERROR(INDEX('Прайс-лист'!$S$11:$S$310,MATCH(ROWS($A$16:A277),'Прайс-лист'!$U$11:$U$310,0)),"")</f>
        <v/>
      </c>
      <c r="J277" s="61">
        <f>IFERROR($I277*0.22,"")</f>
        <v/>
      </c>
      <c r="K277" s="61">
        <f>IFERROR($I277+$J277,"")</f>
        <v/>
      </c>
      <c r="L277" s="59">
        <f>IFERROR(INDEX('Прайс-лист'!$Q$11:$Q$310,MATCH(ROWS($A$16:A277),'Прайс-лист'!$U$11:$U$310,0)),"")</f>
        <v/>
      </c>
    </row>
    <row r="278" ht="13.5" customHeight="1" s="49">
      <c r="A278" s="64">
        <f>IFERROR(IF(INDEX('Прайс-лист'!$U$11:$U$310,MATCH(ROWS($A$16:A278),'Прайс-лист'!$U$11:$U$310,0))="","",ROWS($A$16:A278)),"")</f>
        <v/>
      </c>
      <c r="B278" s="58">
        <f>IFERROR(INDEX('Прайс-лист'!$A$11:$A$310,MATCH(ROWS($A$16:A278),'Прайс-лист'!$U$11:$U$310,0)),"")</f>
        <v/>
      </c>
      <c r="C278" s="58">
        <f>IFERROR(INDEX('Прайс-лист'!$B$11:$B$310,MATCH(ROWS($A$16:A278),'Прайс-лист'!$U$11:$U$310,0)),"")</f>
        <v/>
      </c>
      <c r="D278" s="59">
        <f>IFERROR(INDEX('Прайс-лист'!$C$11:$C$310,MATCH(ROWS($A$16:A278),'Прайс-лист'!$U$11:$U$310,0)),"")</f>
        <v/>
      </c>
      <c r="E278" s="59">
        <f>IFERROR(INDEX('Прайс-лист'!$E$11:$E$310,MATCH(ROWS($A$16:A278),'Прайс-лист'!$U$11:$U$310,0)),"")</f>
        <v/>
      </c>
      <c r="F278" s="58">
        <f>IFERROR(INDEX('Прайс-лист'!$F$11:$F$310,MATCH(ROWS($A$16:A278),'Прайс-лист'!$U$11:$U$310,0)),"")</f>
        <v/>
      </c>
      <c r="G278" s="61">
        <f>IFERROR(INDEX('Прайс-лист'!$R$11:$R$310,MATCH(ROWS($A$16:A278),'Прайс-лист'!$U$11:$U$310,0)),"")</f>
        <v/>
      </c>
      <c r="H278" s="60">
        <f>IFERROR(INDEX('Прайс-лист'!$P$11:$P$310,MATCH(ROWS($A$16:A278),'Прайс-лист'!$U$11:$U$310,0)),"")</f>
        <v/>
      </c>
      <c r="I278" s="61">
        <f>IFERROR(INDEX('Прайс-лист'!$S$11:$S$310,MATCH(ROWS($A$16:A278),'Прайс-лист'!$U$11:$U$310,0)),"")</f>
        <v/>
      </c>
      <c r="J278" s="61">
        <f>IFERROR($I278*0.22,"")</f>
        <v/>
      </c>
      <c r="K278" s="61">
        <f>IFERROR($I278+$J278,"")</f>
        <v/>
      </c>
      <c r="L278" s="59">
        <f>IFERROR(INDEX('Прайс-лист'!$Q$11:$Q$310,MATCH(ROWS($A$16:A278),'Прайс-лист'!$U$11:$U$310,0)),"")</f>
        <v/>
      </c>
    </row>
    <row r="279" ht="13.5" customHeight="1" s="49">
      <c r="A279" s="64">
        <f>IFERROR(IF(INDEX('Прайс-лист'!$U$11:$U$310,MATCH(ROWS($A$16:A279),'Прайс-лист'!$U$11:$U$310,0))="","",ROWS($A$16:A279)),"")</f>
        <v/>
      </c>
      <c r="B279" s="58">
        <f>IFERROR(INDEX('Прайс-лист'!$A$11:$A$310,MATCH(ROWS($A$16:A279),'Прайс-лист'!$U$11:$U$310,0)),"")</f>
        <v/>
      </c>
      <c r="C279" s="58">
        <f>IFERROR(INDEX('Прайс-лист'!$B$11:$B$310,MATCH(ROWS($A$16:A279),'Прайс-лист'!$U$11:$U$310,0)),"")</f>
        <v/>
      </c>
      <c r="D279" s="59">
        <f>IFERROR(INDEX('Прайс-лист'!$C$11:$C$310,MATCH(ROWS($A$16:A279),'Прайс-лист'!$U$11:$U$310,0)),"")</f>
        <v/>
      </c>
      <c r="E279" s="59">
        <f>IFERROR(INDEX('Прайс-лист'!$E$11:$E$310,MATCH(ROWS($A$16:A279),'Прайс-лист'!$U$11:$U$310,0)),"")</f>
        <v/>
      </c>
      <c r="F279" s="58">
        <f>IFERROR(INDEX('Прайс-лист'!$F$11:$F$310,MATCH(ROWS($A$16:A279),'Прайс-лист'!$U$11:$U$310,0)),"")</f>
        <v/>
      </c>
      <c r="G279" s="61">
        <f>IFERROR(INDEX('Прайс-лист'!$R$11:$R$310,MATCH(ROWS($A$16:A279),'Прайс-лист'!$U$11:$U$310,0)),"")</f>
        <v/>
      </c>
      <c r="H279" s="60">
        <f>IFERROR(INDEX('Прайс-лист'!$P$11:$P$310,MATCH(ROWS($A$16:A279),'Прайс-лист'!$U$11:$U$310,0)),"")</f>
        <v/>
      </c>
      <c r="I279" s="61">
        <f>IFERROR(INDEX('Прайс-лист'!$S$11:$S$310,MATCH(ROWS($A$16:A279),'Прайс-лист'!$U$11:$U$310,0)),"")</f>
        <v/>
      </c>
      <c r="J279" s="61">
        <f>IFERROR($I279*0.22,"")</f>
        <v/>
      </c>
      <c r="K279" s="61">
        <f>IFERROR($I279+$J279,"")</f>
        <v/>
      </c>
      <c r="L279" s="59">
        <f>IFERROR(INDEX('Прайс-лист'!$Q$11:$Q$310,MATCH(ROWS($A$16:A279),'Прайс-лист'!$U$11:$U$310,0)),"")</f>
        <v/>
      </c>
    </row>
    <row r="280" ht="13.5" customHeight="1" s="49">
      <c r="A280" s="64">
        <f>IFERROR(IF(INDEX('Прайс-лист'!$U$11:$U$310,MATCH(ROWS($A$16:A280),'Прайс-лист'!$U$11:$U$310,0))="","",ROWS($A$16:A280)),"")</f>
        <v/>
      </c>
      <c r="B280" s="58">
        <f>IFERROR(INDEX('Прайс-лист'!$A$11:$A$310,MATCH(ROWS($A$16:A280),'Прайс-лист'!$U$11:$U$310,0)),"")</f>
        <v/>
      </c>
      <c r="C280" s="58">
        <f>IFERROR(INDEX('Прайс-лист'!$B$11:$B$310,MATCH(ROWS($A$16:A280),'Прайс-лист'!$U$11:$U$310,0)),"")</f>
        <v/>
      </c>
      <c r="D280" s="59">
        <f>IFERROR(INDEX('Прайс-лист'!$C$11:$C$310,MATCH(ROWS($A$16:A280),'Прайс-лист'!$U$11:$U$310,0)),"")</f>
        <v/>
      </c>
      <c r="E280" s="59">
        <f>IFERROR(INDEX('Прайс-лист'!$E$11:$E$310,MATCH(ROWS($A$16:A280),'Прайс-лист'!$U$11:$U$310,0)),"")</f>
        <v/>
      </c>
      <c r="F280" s="58">
        <f>IFERROR(INDEX('Прайс-лист'!$F$11:$F$310,MATCH(ROWS($A$16:A280),'Прайс-лист'!$U$11:$U$310,0)),"")</f>
        <v/>
      </c>
      <c r="G280" s="61">
        <f>IFERROR(INDEX('Прайс-лист'!$R$11:$R$310,MATCH(ROWS($A$16:A280),'Прайс-лист'!$U$11:$U$310,0)),"")</f>
        <v/>
      </c>
      <c r="H280" s="60">
        <f>IFERROR(INDEX('Прайс-лист'!$P$11:$P$310,MATCH(ROWS($A$16:A280),'Прайс-лист'!$U$11:$U$310,0)),"")</f>
        <v/>
      </c>
      <c r="I280" s="61">
        <f>IFERROR(INDEX('Прайс-лист'!$S$11:$S$310,MATCH(ROWS($A$16:A280),'Прайс-лист'!$U$11:$U$310,0)),"")</f>
        <v/>
      </c>
      <c r="J280" s="61">
        <f>IFERROR($I280*0.22,"")</f>
        <v/>
      </c>
      <c r="K280" s="61">
        <f>IFERROR($I280+$J280,"")</f>
        <v/>
      </c>
      <c r="L280" s="59">
        <f>IFERROR(INDEX('Прайс-лист'!$Q$11:$Q$310,MATCH(ROWS($A$16:A280),'Прайс-лист'!$U$11:$U$310,0)),"")</f>
        <v/>
      </c>
    </row>
    <row r="281" ht="13.5" customHeight="1" s="49">
      <c r="A281" s="64">
        <f>IFERROR(IF(INDEX('Прайс-лист'!$U$11:$U$310,MATCH(ROWS($A$16:A281),'Прайс-лист'!$U$11:$U$310,0))="","",ROWS($A$16:A281)),"")</f>
        <v/>
      </c>
      <c r="B281" s="58">
        <f>IFERROR(INDEX('Прайс-лист'!$A$11:$A$310,MATCH(ROWS($A$16:A281),'Прайс-лист'!$U$11:$U$310,0)),"")</f>
        <v/>
      </c>
      <c r="C281" s="58">
        <f>IFERROR(INDEX('Прайс-лист'!$B$11:$B$310,MATCH(ROWS($A$16:A281),'Прайс-лист'!$U$11:$U$310,0)),"")</f>
        <v/>
      </c>
      <c r="D281" s="59">
        <f>IFERROR(INDEX('Прайс-лист'!$C$11:$C$310,MATCH(ROWS($A$16:A281),'Прайс-лист'!$U$11:$U$310,0)),"")</f>
        <v/>
      </c>
      <c r="E281" s="59">
        <f>IFERROR(INDEX('Прайс-лист'!$E$11:$E$310,MATCH(ROWS($A$16:A281),'Прайс-лист'!$U$11:$U$310,0)),"")</f>
        <v/>
      </c>
      <c r="F281" s="58">
        <f>IFERROR(INDEX('Прайс-лист'!$F$11:$F$310,MATCH(ROWS($A$16:A281),'Прайс-лист'!$U$11:$U$310,0)),"")</f>
        <v/>
      </c>
      <c r="G281" s="61">
        <f>IFERROR(INDEX('Прайс-лист'!$R$11:$R$310,MATCH(ROWS($A$16:A281),'Прайс-лист'!$U$11:$U$310,0)),"")</f>
        <v/>
      </c>
      <c r="H281" s="60">
        <f>IFERROR(INDEX('Прайс-лист'!$P$11:$P$310,MATCH(ROWS($A$16:A281),'Прайс-лист'!$U$11:$U$310,0)),"")</f>
        <v/>
      </c>
      <c r="I281" s="61">
        <f>IFERROR(INDEX('Прайс-лист'!$S$11:$S$310,MATCH(ROWS($A$16:A281),'Прайс-лист'!$U$11:$U$310,0)),"")</f>
        <v/>
      </c>
      <c r="J281" s="61">
        <f>IFERROR($I281*0.22,"")</f>
        <v/>
      </c>
      <c r="K281" s="61">
        <f>IFERROR($I281+$J281,"")</f>
        <v/>
      </c>
      <c r="L281" s="59">
        <f>IFERROR(INDEX('Прайс-лист'!$Q$11:$Q$310,MATCH(ROWS($A$16:A281),'Прайс-лист'!$U$11:$U$310,0)),"")</f>
        <v/>
      </c>
    </row>
    <row r="282" ht="13.5" customHeight="1" s="49">
      <c r="A282" s="64">
        <f>IFERROR(IF(INDEX('Прайс-лист'!$U$11:$U$310,MATCH(ROWS($A$16:A282),'Прайс-лист'!$U$11:$U$310,0))="","",ROWS($A$16:A282)),"")</f>
        <v/>
      </c>
      <c r="B282" s="58">
        <f>IFERROR(INDEX('Прайс-лист'!$A$11:$A$310,MATCH(ROWS($A$16:A282),'Прайс-лист'!$U$11:$U$310,0)),"")</f>
        <v/>
      </c>
      <c r="C282" s="58">
        <f>IFERROR(INDEX('Прайс-лист'!$B$11:$B$310,MATCH(ROWS($A$16:A282),'Прайс-лист'!$U$11:$U$310,0)),"")</f>
        <v/>
      </c>
      <c r="D282" s="59">
        <f>IFERROR(INDEX('Прайс-лист'!$C$11:$C$310,MATCH(ROWS($A$16:A282),'Прайс-лист'!$U$11:$U$310,0)),"")</f>
        <v/>
      </c>
      <c r="E282" s="59">
        <f>IFERROR(INDEX('Прайс-лист'!$E$11:$E$310,MATCH(ROWS($A$16:A282),'Прайс-лист'!$U$11:$U$310,0)),"")</f>
        <v/>
      </c>
      <c r="F282" s="58">
        <f>IFERROR(INDEX('Прайс-лист'!$F$11:$F$310,MATCH(ROWS($A$16:A282),'Прайс-лист'!$U$11:$U$310,0)),"")</f>
        <v/>
      </c>
      <c r="G282" s="61">
        <f>IFERROR(INDEX('Прайс-лист'!$R$11:$R$310,MATCH(ROWS($A$16:A282),'Прайс-лист'!$U$11:$U$310,0)),"")</f>
        <v/>
      </c>
      <c r="H282" s="60">
        <f>IFERROR(INDEX('Прайс-лист'!$P$11:$P$310,MATCH(ROWS($A$16:A282),'Прайс-лист'!$U$11:$U$310,0)),"")</f>
        <v/>
      </c>
      <c r="I282" s="61">
        <f>IFERROR(INDEX('Прайс-лист'!$S$11:$S$310,MATCH(ROWS($A$16:A282),'Прайс-лист'!$U$11:$U$310,0)),"")</f>
        <v/>
      </c>
      <c r="J282" s="61">
        <f>IFERROR($I282*0.22,"")</f>
        <v/>
      </c>
      <c r="K282" s="61">
        <f>IFERROR($I282+$J282,"")</f>
        <v/>
      </c>
      <c r="L282" s="59">
        <f>IFERROR(INDEX('Прайс-лист'!$Q$11:$Q$310,MATCH(ROWS($A$16:A282),'Прайс-лист'!$U$11:$U$310,0)),"")</f>
        <v/>
      </c>
    </row>
    <row r="283" ht="13.5" customHeight="1" s="49">
      <c r="A283" s="64">
        <f>IFERROR(IF(INDEX('Прайс-лист'!$U$11:$U$310,MATCH(ROWS($A$16:A283),'Прайс-лист'!$U$11:$U$310,0))="","",ROWS($A$16:A283)),"")</f>
        <v/>
      </c>
      <c r="B283" s="58">
        <f>IFERROR(INDEX('Прайс-лист'!$A$11:$A$310,MATCH(ROWS($A$16:A283),'Прайс-лист'!$U$11:$U$310,0)),"")</f>
        <v/>
      </c>
      <c r="C283" s="58">
        <f>IFERROR(INDEX('Прайс-лист'!$B$11:$B$310,MATCH(ROWS($A$16:A283),'Прайс-лист'!$U$11:$U$310,0)),"")</f>
        <v/>
      </c>
      <c r="D283" s="59">
        <f>IFERROR(INDEX('Прайс-лист'!$C$11:$C$310,MATCH(ROWS($A$16:A283),'Прайс-лист'!$U$11:$U$310,0)),"")</f>
        <v/>
      </c>
      <c r="E283" s="59">
        <f>IFERROR(INDEX('Прайс-лист'!$E$11:$E$310,MATCH(ROWS($A$16:A283),'Прайс-лист'!$U$11:$U$310,0)),"")</f>
        <v/>
      </c>
      <c r="F283" s="58">
        <f>IFERROR(INDEX('Прайс-лист'!$F$11:$F$310,MATCH(ROWS($A$16:A283),'Прайс-лист'!$U$11:$U$310,0)),"")</f>
        <v/>
      </c>
      <c r="G283" s="61">
        <f>IFERROR(INDEX('Прайс-лист'!$R$11:$R$310,MATCH(ROWS($A$16:A283),'Прайс-лист'!$U$11:$U$310,0)),"")</f>
        <v/>
      </c>
      <c r="H283" s="60">
        <f>IFERROR(INDEX('Прайс-лист'!$P$11:$P$310,MATCH(ROWS($A$16:A283),'Прайс-лист'!$U$11:$U$310,0)),"")</f>
        <v/>
      </c>
      <c r="I283" s="61">
        <f>IFERROR(INDEX('Прайс-лист'!$S$11:$S$310,MATCH(ROWS($A$16:A283),'Прайс-лист'!$U$11:$U$310,0)),"")</f>
        <v/>
      </c>
      <c r="J283" s="61">
        <f>IFERROR($I283*0.22,"")</f>
        <v/>
      </c>
      <c r="K283" s="61">
        <f>IFERROR($I283+$J283,"")</f>
        <v/>
      </c>
      <c r="L283" s="59">
        <f>IFERROR(INDEX('Прайс-лист'!$Q$11:$Q$310,MATCH(ROWS($A$16:A283),'Прайс-лист'!$U$11:$U$310,0)),"")</f>
        <v/>
      </c>
    </row>
    <row r="284" ht="13.5" customHeight="1" s="49">
      <c r="A284" s="64">
        <f>IFERROR(IF(INDEX('Прайс-лист'!$U$11:$U$310,MATCH(ROWS($A$16:A284),'Прайс-лист'!$U$11:$U$310,0))="","",ROWS($A$16:A284)),"")</f>
        <v/>
      </c>
      <c r="B284" s="58">
        <f>IFERROR(INDEX('Прайс-лист'!$A$11:$A$310,MATCH(ROWS($A$16:A284),'Прайс-лист'!$U$11:$U$310,0)),"")</f>
        <v/>
      </c>
      <c r="C284" s="58">
        <f>IFERROR(INDEX('Прайс-лист'!$B$11:$B$310,MATCH(ROWS($A$16:A284),'Прайс-лист'!$U$11:$U$310,0)),"")</f>
        <v/>
      </c>
      <c r="D284" s="59">
        <f>IFERROR(INDEX('Прайс-лист'!$C$11:$C$310,MATCH(ROWS($A$16:A284),'Прайс-лист'!$U$11:$U$310,0)),"")</f>
        <v/>
      </c>
      <c r="E284" s="59">
        <f>IFERROR(INDEX('Прайс-лист'!$E$11:$E$310,MATCH(ROWS($A$16:A284),'Прайс-лист'!$U$11:$U$310,0)),"")</f>
        <v/>
      </c>
      <c r="F284" s="58">
        <f>IFERROR(INDEX('Прайс-лист'!$F$11:$F$310,MATCH(ROWS($A$16:A284),'Прайс-лист'!$U$11:$U$310,0)),"")</f>
        <v/>
      </c>
      <c r="G284" s="61">
        <f>IFERROR(INDEX('Прайс-лист'!$R$11:$R$310,MATCH(ROWS($A$16:A284),'Прайс-лист'!$U$11:$U$310,0)),"")</f>
        <v/>
      </c>
      <c r="H284" s="60">
        <f>IFERROR(INDEX('Прайс-лист'!$P$11:$P$310,MATCH(ROWS($A$16:A284),'Прайс-лист'!$U$11:$U$310,0)),"")</f>
        <v/>
      </c>
      <c r="I284" s="61">
        <f>IFERROR(INDEX('Прайс-лист'!$S$11:$S$310,MATCH(ROWS($A$16:A284),'Прайс-лист'!$U$11:$U$310,0)),"")</f>
        <v/>
      </c>
      <c r="J284" s="61">
        <f>IFERROR($I284*0.22,"")</f>
        <v/>
      </c>
      <c r="K284" s="61">
        <f>IFERROR($I284+$J284,"")</f>
        <v/>
      </c>
      <c r="L284" s="59">
        <f>IFERROR(INDEX('Прайс-лист'!$Q$11:$Q$310,MATCH(ROWS($A$16:A284),'Прайс-лист'!$U$11:$U$310,0)),"")</f>
        <v/>
      </c>
    </row>
    <row r="285" ht="13.5" customHeight="1" s="49">
      <c r="A285" s="64">
        <f>IFERROR(IF(INDEX('Прайс-лист'!$U$11:$U$310,MATCH(ROWS($A$16:A285),'Прайс-лист'!$U$11:$U$310,0))="","",ROWS($A$16:A285)),"")</f>
        <v/>
      </c>
      <c r="B285" s="58">
        <f>IFERROR(INDEX('Прайс-лист'!$A$11:$A$310,MATCH(ROWS($A$16:A285),'Прайс-лист'!$U$11:$U$310,0)),"")</f>
        <v/>
      </c>
      <c r="C285" s="58">
        <f>IFERROR(INDEX('Прайс-лист'!$B$11:$B$310,MATCH(ROWS($A$16:A285),'Прайс-лист'!$U$11:$U$310,0)),"")</f>
        <v/>
      </c>
      <c r="D285" s="59">
        <f>IFERROR(INDEX('Прайс-лист'!$C$11:$C$310,MATCH(ROWS($A$16:A285),'Прайс-лист'!$U$11:$U$310,0)),"")</f>
        <v/>
      </c>
      <c r="E285" s="59">
        <f>IFERROR(INDEX('Прайс-лист'!$E$11:$E$310,MATCH(ROWS($A$16:A285),'Прайс-лист'!$U$11:$U$310,0)),"")</f>
        <v/>
      </c>
      <c r="F285" s="58">
        <f>IFERROR(INDEX('Прайс-лист'!$F$11:$F$310,MATCH(ROWS($A$16:A285),'Прайс-лист'!$U$11:$U$310,0)),"")</f>
        <v/>
      </c>
      <c r="G285" s="61">
        <f>IFERROR(INDEX('Прайс-лист'!$R$11:$R$310,MATCH(ROWS($A$16:A285),'Прайс-лист'!$U$11:$U$310,0)),"")</f>
        <v/>
      </c>
      <c r="H285" s="60">
        <f>IFERROR(INDEX('Прайс-лист'!$P$11:$P$310,MATCH(ROWS($A$16:A285),'Прайс-лист'!$U$11:$U$310,0)),"")</f>
        <v/>
      </c>
      <c r="I285" s="61">
        <f>IFERROR(INDEX('Прайс-лист'!$S$11:$S$310,MATCH(ROWS($A$16:A285),'Прайс-лист'!$U$11:$U$310,0)),"")</f>
        <v/>
      </c>
      <c r="J285" s="61">
        <f>IFERROR($I285*0.22,"")</f>
        <v/>
      </c>
      <c r="K285" s="61">
        <f>IFERROR($I285+$J285,"")</f>
        <v/>
      </c>
      <c r="L285" s="59">
        <f>IFERROR(INDEX('Прайс-лист'!$Q$11:$Q$310,MATCH(ROWS($A$16:A285),'Прайс-лист'!$U$11:$U$310,0)),"")</f>
        <v/>
      </c>
    </row>
    <row r="286" ht="13.5" customHeight="1" s="49">
      <c r="A286" s="64">
        <f>IFERROR(IF(INDEX('Прайс-лист'!$U$11:$U$310,MATCH(ROWS($A$16:A286),'Прайс-лист'!$U$11:$U$310,0))="","",ROWS($A$16:A286)),"")</f>
        <v/>
      </c>
      <c r="B286" s="58">
        <f>IFERROR(INDEX('Прайс-лист'!$A$11:$A$310,MATCH(ROWS($A$16:A286),'Прайс-лист'!$U$11:$U$310,0)),"")</f>
        <v/>
      </c>
      <c r="C286" s="58">
        <f>IFERROR(INDEX('Прайс-лист'!$B$11:$B$310,MATCH(ROWS($A$16:A286),'Прайс-лист'!$U$11:$U$310,0)),"")</f>
        <v/>
      </c>
      <c r="D286" s="59">
        <f>IFERROR(INDEX('Прайс-лист'!$C$11:$C$310,MATCH(ROWS($A$16:A286),'Прайс-лист'!$U$11:$U$310,0)),"")</f>
        <v/>
      </c>
      <c r="E286" s="59">
        <f>IFERROR(INDEX('Прайс-лист'!$E$11:$E$310,MATCH(ROWS($A$16:A286),'Прайс-лист'!$U$11:$U$310,0)),"")</f>
        <v/>
      </c>
      <c r="F286" s="58">
        <f>IFERROR(INDEX('Прайс-лист'!$F$11:$F$310,MATCH(ROWS($A$16:A286),'Прайс-лист'!$U$11:$U$310,0)),"")</f>
        <v/>
      </c>
      <c r="G286" s="61">
        <f>IFERROR(INDEX('Прайс-лист'!$R$11:$R$310,MATCH(ROWS($A$16:A286),'Прайс-лист'!$U$11:$U$310,0)),"")</f>
        <v/>
      </c>
      <c r="H286" s="60">
        <f>IFERROR(INDEX('Прайс-лист'!$P$11:$P$310,MATCH(ROWS($A$16:A286),'Прайс-лист'!$U$11:$U$310,0)),"")</f>
        <v/>
      </c>
      <c r="I286" s="61">
        <f>IFERROR(INDEX('Прайс-лист'!$S$11:$S$310,MATCH(ROWS($A$16:A286),'Прайс-лист'!$U$11:$U$310,0)),"")</f>
        <v/>
      </c>
      <c r="J286" s="61">
        <f>IFERROR($I286*0.22,"")</f>
        <v/>
      </c>
      <c r="K286" s="61">
        <f>IFERROR($I286+$J286,"")</f>
        <v/>
      </c>
      <c r="L286" s="59">
        <f>IFERROR(INDEX('Прайс-лист'!$Q$11:$Q$310,MATCH(ROWS($A$16:A286),'Прайс-лист'!$U$11:$U$310,0)),"")</f>
        <v/>
      </c>
    </row>
    <row r="287" ht="13.5" customHeight="1" s="49">
      <c r="A287" s="64">
        <f>IFERROR(IF(INDEX('Прайс-лист'!$U$11:$U$310,MATCH(ROWS($A$16:A287),'Прайс-лист'!$U$11:$U$310,0))="","",ROWS($A$16:A287)),"")</f>
        <v/>
      </c>
      <c r="B287" s="58">
        <f>IFERROR(INDEX('Прайс-лист'!$A$11:$A$310,MATCH(ROWS($A$16:A287),'Прайс-лист'!$U$11:$U$310,0)),"")</f>
        <v/>
      </c>
      <c r="C287" s="58">
        <f>IFERROR(INDEX('Прайс-лист'!$B$11:$B$310,MATCH(ROWS($A$16:A287),'Прайс-лист'!$U$11:$U$310,0)),"")</f>
        <v/>
      </c>
      <c r="D287" s="59">
        <f>IFERROR(INDEX('Прайс-лист'!$C$11:$C$310,MATCH(ROWS($A$16:A287),'Прайс-лист'!$U$11:$U$310,0)),"")</f>
        <v/>
      </c>
      <c r="E287" s="59">
        <f>IFERROR(INDEX('Прайс-лист'!$E$11:$E$310,MATCH(ROWS($A$16:A287),'Прайс-лист'!$U$11:$U$310,0)),"")</f>
        <v/>
      </c>
      <c r="F287" s="58">
        <f>IFERROR(INDEX('Прайс-лист'!$F$11:$F$310,MATCH(ROWS($A$16:A287),'Прайс-лист'!$U$11:$U$310,0)),"")</f>
        <v/>
      </c>
      <c r="G287" s="61">
        <f>IFERROR(INDEX('Прайс-лист'!$R$11:$R$310,MATCH(ROWS($A$16:A287),'Прайс-лист'!$U$11:$U$310,0)),"")</f>
        <v/>
      </c>
      <c r="H287" s="60">
        <f>IFERROR(INDEX('Прайс-лист'!$P$11:$P$310,MATCH(ROWS($A$16:A287),'Прайс-лист'!$U$11:$U$310,0)),"")</f>
        <v/>
      </c>
      <c r="I287" s="61">
        <f>IFERROR(INDEX('Прайс-лист'!$S$11:$S$310,MATCH(ROWS($A$16:A287),'Прайс-лист'!$U$11:$U$310,0)),"")</f>
        <v/>
      </c>
      <c r="J287" s="61">
        <f>IFERROR($I287*0.22,"")</f>
        <v/>
      </c>
      <c r="K287" s="61">
        <f>IFERROR($I287+$J287,"")</f>
        <v/>
      </c>
      <c r="L287" s="59">
        <f>IFERROR(INDEX('Прайс-лист'!$Q$11:$Q$310,MATCH(ROWS($A$16:A287),'Прайс-лист'!$U$11:$U$310,0)),"")</f>
        <v/>
      </c>
    </row>
    <row r="288" ht="13.5" customHeight="1" s="49">
      <c r="A288" s="64">
        <f>IFERROR(IF(INDEX('Прайс-лист'!$U$11:$U$310,MATCH(ROWS($A$16:A288),'Прайс-лист'!$U$11:$U$310,0))="","",ROWS($A$16:A288)),"")</f>
        <v/>
      </c>
      <c r="B288" s="58">
        <f>IFERROR(INDEX('Прайс-лист'!$A$11:$A$310,MATCH(ROWS($A$16:A288),'Прайс-лист'!$U$11:$U$310,0)),"")</f>
        <v/>
      </c>
      <c r="C288" s="58">
        <f>IFERROR(INDEX('Прайс-лист'!$B$11:$B$310,MATCH(ROWS($A$16:A288),'Прайс-лист'!$U$11:$U$310,0)),"")</f>
        <v/>
      </c>
      <c r="D288" s="59">
        <f>IFERROR(INDEX('Прайс-лист'!$C$11:$C$310,MATCH(ROWS($A$16:A288),'Прайс-лист'!$U$11:$U$310,0)),"")</f>
        <v/>
      </c>
      <c r="E288" s="59">
        <f>IFERROR(INDEX('Прайс-лист'!$E$11:$E$310,MATCH(ROWS($A$16:A288),'Прайс-лист'!$U$11:$U$310,0)),"")</f>
        <v/>
      </c>
      <c r="F288" s="58">
        <f>IFERROR(INDEX('Прайс-лист'!$F$11:$F$310,MATCH(ROWS($A$16:A288),'Прайс-лист'!$U$11:$U$310,0)),"")</f>
        <v/>
      </c>
      <c r="G288" s="61">
        <f>IFERROR(INDEX('Прайс-лист'!$R$11:$R$310,MATCH(ROWS($A$16:A288),'Прайс-лист'!$U$11:$U$310,0)),"")</f>
        <v/>
      </c>
      <c r="H288" s="60">
        <f>IFERROR(INDEX('Прайс-лист'!$P$11:$P$310,MATCH(ROWS($A$16:A288),'Прайс-лист'!$U$11:$U$310,0)),"")</f>
        <v/>
      </c>
      <c r="I288" s="61">
        <f>IFERROR(INDEX('Прайс-лист'!$S$11:$S$310,MATCH(ROWS($A$16:A288),'Прайс-лист'!$U$11:$U$310,0)),"")</f>
        <v/>
      </c>
      <c r="J288" s="61">
        <f>IFERROR($I288*0.22,"")</f>
        <v/>
      </c>
      <c r="K288" s="61">
        <f>IFERROR($I288+$J288,"")</f>
        <v/>
      </c>
      <c r="L288" s="59">
        <f>IFERROR(INDEX('Прайс-лист'!$Q$11:$Q$310,MATCH(ROWS($A$16:A288),'Прайс-лист'!$U$11:$U$310,0)),"")</f>
        <v/>
      </c>
    </row>
    <row r="289" ht="13.5" customHeight="1" s="49">
      <c r="A289" s="64">
        <f>IFERROR(IF(INDEX('Прайс-лист'!$U$11:$U$310,MATCH(ROWS($A$16:A289),'Прайс-лист'!$U$11:$U$310,0))="","",ROWS($A$16:A289)),"")</f>
        <v/>
      </c>
      <c r="B289" s="58">
        <f>IFERROR(INDEX('Прайс-лист'!$A$11:$A$310,MATCH(ROWS($A$16:A289),'Прайс-лист'!$U$11:$U$310,0)),"")</f>
        <v/>
      </c>
      <c r="C289" s="58">
        <f>IFERROR(INDEX('Прайс-лист'!$B$11:$B$310,MATCH(ROWS($A$16:A289),'Прайс-лист'!$U$11:$U$310,0)),"")</f>
        <v/>
      </c>
      <c r="D289" s="59">
        <f>IFERROR(INDEX('Прайс-лист'!$C$11:$C$310,MATCH(ROWS($A$16:A289),'Прайс-лист'!$U$11:$U$310,0)),"")</f>
        <v/>
      </c>
      <c r="E289" s="59">
        <f>IFERROR(INDEX('Прайс-лист'!$E$11:$E$310,MATCH(ROWS($A$16:A289),'Прайс-лист'!$U$11:$U$310,0)),"")</f>
        <v/>
      </c>
      <c r="F289" s="58">
        <f>IFERROR(INDEX('Прайс-лист'!$F$11:$F$310,MATCH(ROWS($A$16:A289),'Прайс-лист'!$U$11:$U$310,0)),"")</f>
        <v/>
      </c>
      <c r="G289" s="61">
        <f>IFERROR(INDEX('Прайс-лист'!$R$11:$R$310,MATCH(ROWS($A$16:A289),'Прайс-лист'!$U$11:$U$310,0)),"")</f>
        <v/>
      </c>
      <c r="H289" s="60">
        <f>IFERROR(INDEX('Прайс-лист'!$P$11:$P$310,MATCH(ROWS($A$16:A289),'Прайс-лист'!$U$11:$U$310,0)),"")</f>
        <v/>
      </c>
      <c r="I289" s="61">
        <f>IFERROR(INDEX('Прайс-лист'!$S$11:$S$310,MATCH(ROWS($A$16:A289),'Прайс-лист'!$U$11:$U$310,0)),"")</f>
        <v/>
      </c>
      <c r="J289" s="61">
        <f>IFERROR($I289*0.22,"")</f>
        <v/>
      </c>
      <c r="K289" s="61">
        <f>IFERROR($I289+$J289,"")</f>
        <v/>
      </c>
      <c r="L289" s="59">
        <f>IFERROR(INDEX('Прайс-лист'!$Q$11:$Q$310,MATCH(ROWS($A$16:A289),'Прайс-лист'!$U$11:$U$310,0)),"")</f>
        <v/>
      </c>
    </row>
    <row r="290" ht="13.5" customHeight="1" s="49">
      <c r="A290" s="64">
        <f>IFERROR(IF(INDEX('Прайс-лист'!$U$11:$U$310,MATCH(ROWS($A$16:A290),'Прайс-лист'!$U$11:$U$310,0))="","",ROWS($A$16:A290)),"")</f>
        <v/>
      </c>
      <c r="B290" s="58">
        <f>IFERROR(INDEX('Прайс-лист'!$A$11:$A$310,MATCH(ROWS($A$16:A290),'Прайс-лист'!$U$11:$U$310,0)),"")</f>
        <v/>
      </c>
      <c r="C290" s="58">
        <f>IFERROR(INDEX('Прайс-лист'!$B$11:$B$310,MATCH(ROWS($A$16:A290),'Прайс-лист'!$U$11:$U$310,0)),"")</f>
        <v/>
      </c>
      <c r="D290" s="59">
        <f>IFERROR(INDEX('Прайс-лист'!$C$11:$C$310,MATCH(ROWS($A$16:A290),'Прайс-лист'!$U$11:$U$310,0)),"")</f>
        <v/>
      </c>
      <c r="E290" s="59">
        <f>IFERROR(INDEX('Прайс-лист'!$E$11:$E$310,MATCH(ROWS($A$16:A290),'Прайс-лист'!$U$11:$U$310,0)),"")</f>
        <v/>
      </c>
      <c r="F290" s="58">
        <f>IFERROR(INDEX('Прайс-лист'!$F$11:$F$310,MATCH(ROWS($A$16:A290),'Прайс-лист'!$U$11:$U$310,0)),"")</f>
        <v/>
      </c>
      <c r="G290" s="61">
        <f>IFERROR(INDEX('Прайс-лист'!$R$11:$R$310,MATCH(ROWS($A$16:A290),'Прайс-лист'!$U$11:$U$310,0)),"")</f>
        <v/>
      </c>
      <c r="H290" s="60">
        <f>IFERROR(INDEX('Прайс-лист'!$P$11:$P$310,MATCH(ROWS($A$16:A290),'Прайс-лист'!$U$11:$U$310,0)),"")</f>
        <v/>
      </c>
      <c r="I290" s="61">
        <f>IFERROR(INDEX('Прайс-лист'!$S$11:$S$310,MATCH(ROWS($A$16:A290),'Прайс-лист'!$U$11:$U$310,0)),"")</f>
        <v/>
      </c>
      <c r="J290" s="61">
        <f>IFERROR($I290*0.22,"")</f>
        <v/>
      </c>
      <c r="K290" s="61">
        <f>IFERROR($I290+$J290,"")</f>
        <v/>
      </c>
      <c r="L290" s="59">
        <f>IFERROR(INDEX('Прайс-лист'!$Q$11:$Q$310,MATCH(ROWS($A$16:A290),'Прайс-лист'!$U$11:$U$310,0)),"")</f>
        <v/>
      </c>
    </row>
    <row r="291" ht="13.5" customHeight="1" s="49">
      <c r="A291" s="64">
        <f>IFERROR(IF(INDEX('Прайс-лист'!$U$11:$U$310,MATCH(ROWS($A$16:A291),'Прайс-лист'!$U$11:$U$310,0))="","",ROWS($A$16:A291)),"")</f>
        <v/>
      </c>
      <c r="B291" s="58">
        <f>IFERROR(INDEX('Прайс-лист'!$A$11:$A$310,MATCH(ROWS($A$16:A291),'Прайс-лист'!$U$11:$U$310,0)),"")</f>
        <v/>
      </c>
      <c r="C291" s="58">
        <f>IFERROR(INDEX('Прайс-лист'!$B$11:$B$310,MATCH(ROWS($A$16:A291),'Прайс-лист'!$U$11:$U$310,0)),"")</f>
        <v/>
      </c>
      <c r="D291" s="59">
        <f>IFERROR(INDEX('Прайс-лист'!$C$11:$C$310,MATCH(ROWS($A$16:A291),'Прайс-лист'!$U$11:$U$310,0)),"")</f>
        <v/>
      </c>
      <c r="E291" s="59">
        <f>IFERROR(INDEX('Прайс-лист'!$E$11:$E$310,MATCH(ROWS($A$16:A291),'Прайс-лист'!$U$11:$U$310,0)),"")</f>
        <v/>
      </c>
      <c r="F291" s="58">
        <f>IFERROR(INDEX('Прайс-лист'!$F$11:$F$310,MATCH(ROWS($A$16:A291),'Прайс-лист'!$U$11:$U$310,0)),"")</f>
        <v/>
      </c>
      <c r="G291" s="61">
        <f>IFERROR(INDEX('Прайс-лист'!$R$11:$R$310,MATCH(ROWS($A$16:A291),'Прайс-лист'!$U$11:$U$310,0)),"")</f>
        <v/>
      </c>
      <c r="H291" s="60">
        <f>IFERROR(INDEX('Прайс-лист'!$P$11:$P$310,MATCH(ROWS($A$16:A291),'Прайс-лист'!$U$11:$U$310,0)),"")</f>
        <v/>
      </c>
      <c r="I291" s="61">
        <f>IFERROR(INDEX('Прайс-лист'!$S$11:$S$310,MATCH(ROWS($A$16:A291),'Прайс-лист'!$U$11:$U$310,0)),"")</f>
        <v/>
      </c>
      <c r="J291" s="61">
        <f>IFERROR($I291*0.22,"")</f>
        <v/>
      </c>
      <c r="K291" s="61">
        <f>IFERROR($I291+$J291,"")</f>
        <v/>
      </c>
      <c r="L291" s="59">
        <f>IFERROR(INDEX('Прайс-лист'!$Q$11:$Q$310,MATCH(ROWS($A$16:A291),'Прайс-лист'!$U$11:$U$310,0)),"")</f>
        <v/>
      </c>
    </row>
    <row r="292" ht="13.5" customHeight="1" s="49">
      <c r="A292" s="64">
        <f>IFERROR(IF(INDEX('Прайс-лист'!$U$11:$U$310,MATCH(ROWS($A$16:A292),'Прайс-лист'!$U$11:$U$310,0))="","",ROWS($A$16:A292)),"")</f>
        <v/>
      </c>
      <c r="B292" s="58">
        <f>IFERROR(INDEX('Прайс-лист'!$A$11:$A$310,MATCH(ROWS($A$16:A292),'Прайс-лист'!$U$11:$U$310,0)),"")</f>
        <v/>
      </c>
      <c r="C292" s="58">
        <f>IFERROR(INDEX('Прайс-лист'!$B$11:$B$310,MATCH(ROWS($A$16:A292),'Прайс-лист'!$U$11:$U$310,0)),"")</f>
        <v/>
      </c>
      <c r="D292" s="59">
        <f>IFERROR(INDEX('Прайс-лист'!$C$11:$C$310,MATCH(ROWS($A$16:A292),'Прайс-лист'!$U$11:$U$310,0)),"")</f>
        <v/>
      </c>
      <c r="E292" s="59">
        <f>IFERROR(INDEX('Прайс-лист'!$E$11:$E$310,MATCH(ROWS($A$16:A292),'Прайс-лист'!$U$11:$U$310,0)),"")</f>
        <v/>
      </c>
      <c r="F292" s="58">
        <f>IFERROR(INDEX('Прайс-лист'!$F$11:$F$310,MATCH(ROWS($A$16:A292),'Прайс-лист'!$U$11:$U$310,0)),"")</f>
        <v/>
      </c>
      <c r="G292" s="61">
        <f>IFERROR(INDEX('Прайс-лист'!$R$11:$R$310,MATCH(ROWS($A$16:A292),'Прайс-лист'!$U$11:$U$310,0)),"")</f>
        <v/>
      </c>
      <c r="H292" s="60">
        <f>IFERROR(INDEX('Прайс-лист'!$P$11:$P$310,MATCH(ROWS($A$16:A292),'Прайс-лист'!$U$11:$U$310,0)),"")</f>
        <v/>
      </c>
      <c r="I292" s="61">
        <f>IFERROR(INDEX('Прайс-лист'!$S$11:$S$310,MATCH(ROWS($A$16:A292),'Прайс-лист'!$U$11:$U$310,0)),"")</f>
        <v/>
      </c>
      <c r="J292" s="61">
        <f>IFERROR($I292*0.22,"")</f>
        <v/>
      </c>
      <c r="K292" s="61">
        <f>IFERROR($I292+$J292,"")</f>
        <v/>
      </c>
      <c r="L292" s="59">
        <f>IFERROR(INDEX('Прайс-лист'!$Q$11:$Q$310,MATCH(ROWS($A$16:A292),'Прайс-лист'!$U$11:$U$310,0)),"")</f>
        <v/>
      </c>
    </row>
    <row r="293" ht="13.5" customHeight="1" s="49">
      <c r="A293" s="64">
        <f>IFERROR(IF(INDEX('Прайс-лист'!$U$11:$U$310,MATCH(ROWS($A$16:A293),'Прайс-лист'!$U$11:$U$310,0))="","",ROWS($A$16:A293)),"")</f>
        <v/>
      </c>
      <c r="B293" s="58">
        <f>IFERROR(INDEX('Прайс-лист'!$A$11:$A$310,MATCH(ROWS($A$16:A293),'Прайс-лист'!$U$11:$U$310,0)),"")</f>
        <v/>
      </c>
      <c r="C293" s="58">
        <f>IFERROR(INDEX('Прайс-лист'!$B$11:$B$310,MATCH(ROWS($A$16:A293),'Прайс-лист'!$U$11:$U$310,0)),"")</f>
        <v/>
      </c>
      <c r="D293" s="59">
        <f>IFERROR(INDEX('Прайс-лист'!$C$11:$C$310,MATCH(ROWS($A$16:A293),'Прайс-лист'!$U$11:$U$310,0)),"")</f>
        <v/>
      </c>
      <c r="E293" s="59">
        <f>IFERROR(INDEX('Прайс-лист'!$E$11:$E$310,MATCH(ROWS($A$16:A293),'Прайс-лист'!$U$11:$U$310,0)),"")</f>
        <v/>
      </c>
      <c r="F293" s="58">
        <f>IFERROR(INDEX('Прайс-лист'!$F$11:$F$310,MATCH(ROWS($A$16:A293),'Прайс-лист'!$U$11:$U$310,0)),"")</f>
        <v/>
      </c>
      <c r="G293" s="61">
        <f>IFERROR(INDEX('Прайс-лист'!$R$11:$R$310,MATCH(ROWS($A$16:A293),'Прайс-лист'!$U$11:$U$310,0)),"")</f>
        <v/>
      </c>
      <c r="H293" s="60">
        <f>IFERROR(INDEX('Прайс-лист'!$P$11:$P$310,MATCH(ROWS($A$16:A293),'Прайс-лист'!$U$11:$U$310,0)),"")</f>
        <v/>
      </c>
      <c r="I293" s="61">
        <f>IFERROR(INDEX('Прайс-лист'!$S$11:$S$310,MATCH(ROWS($A$16:A293),'Прайс-лист'!$U$11:$U$310,0)),"")</f>
        <v/>
      </c>
      <c r="J293" s="61">
        <f>IFERROR($I293*0.22,"")</f>
        <v/>
      </c>
      <c r="K293" s="61">
        <f>IFERROR($I293+$J293,"")</f>
        <v/>
      </c>
      <c r="L293" s="59">
        <f>IFERROR(INDEX('Прайс-лист'!$Q$11:$Q$310,MATCH(ROWS($A$16:A293),'Прайс-лист'!$U$11:$U$310,0)),"")</f>
        <v/>
      </c>
    </row>
    <row r="294" ht="13.5" customHeight="1" s="49">
      <c r="A294" s="64">
        <f>IFERROR(IF(INDEX('Прайс-лист'!$U$11:$U$310,MATCH(ROWS($A$16:A294),'Прайс-лист'!$U$11:$U$310,0))="","",ROWS($A$16:A294)),"")</f>
        <v/>
      </c>
      <c r="B294" s="58">
        <f>IFERROR(INDEX('Прайс-лист'!$A$11:$A$310,MATCH(ROWS($A$16:A294),'Прайс-лист'!$U$11:$U$310,0)),"")</f>
        <v/>
      </c>
      <c r="C294" s="58">
        <f>IFERROR(INDEX('Прайс-лист'!$B$11:$B$310,MATCH(ROWS($A$16:A294),'Прайс-лист'!$U$11:$U$310,0)),"")</f>
        <v/>
      </c>
      <c r="D294" s="59">
        <f>IFERROR(INDEX('Прайс-лист'!$C$11:$C$310,MATCH(ROWS($A$16:A294),'Прайс-лист'!$U$11:$U$310,0)),"")</f>
        <v/>
      </c>
      <c r="E294" s="59">
        <f>IFERROR(INDEX('Прайс-лист'!$E$11:$E$310,MATCH(ROWS($A$16:A294),'Прайс-лист'!$U$11:$U$310,0)),"")</f>
        <v/>
      </c>
      <c r="F294" s="58">
        <f>IFERROR(INDEX('Прайс-лист'!$F$11:$F$310,MATCH(ROWS($A$16:A294),'Прайс-лист'!$U$11:$U$310,0)),"")</f>
        <v/>
      </c>
      <c r="G294" s="61">
        <f>IFERROR(INDEX('Прайс-лист'!$R$11:$R$310,MATCH(ROWS($A$16:A294),'Прайс-лист'!$U$11:$U$310,0)),"")</f>
        <v/>
      </c>
      <c r="H294" s="60">
        <f>IFERROR(INDEX('Прайс-лист'!$P$11:$P$310,MATCH(ROWS($A$16:A294),'Прайс-лист'!$U$11:$U$310,0)),"")</f>
        <v/>
      </c>
      <c r="I294" s="61">
        <f>IFERROR(INDEX('Прайс-лист'!$S$11:$S$310,MATCH(ROWS($A$16:A294),'Прайс-лист'!$U$11:$U$310,0)),"")</f>
        <v/>
      </c>
      <c r="J294" s="61">
        <f>IFERROR($I294*0.22,"")</f>
        <v/>
      </c>
      <c r="K294" s="61">
        <f>IFERROR($I294+$J294,"")</f>
        <v/>
      </c>
      <c r="L294" s="59">
        <f>IFERROR(INDEX('Прайс-лист'!$Q$11:$Q$310,MATCH(ROWS($A$16:A294),'Прайс-лист'!$U$11:$U$310,0)),"")</f>
        <v/>
      </c>
    </row>
    <row r="295" ht="13.5" customHeight="1" s="49">
      <c r="A295" s="64">
        <f>IFERROR(IF(INDEX('Прайс-лист'!$U$11:$U$310,MATCH(ROWS($A$16:A295),'Прайс-лист'!$U$11:$U$310,0))="","",ROWS($A$16:A295)),"")</f>
        <v/>
      </c>
      <c r="B295" s="58">
        <f>IFERROR(INDEX('Прайс-лист'!$A$11:$A$310,MATCH(ROWS($A$16:A295),'Прайс-лист'!$U$11:$U$310,0)),"")</f>
        <v/>
      </c>
      <c r="C295" s="58">
        <f>IFERROR(INDEX('Прайс-лист'!$B$11:$B$310,MATCH(ROWS($A$16:A295),'Прайс-лист'!$U$11:$U$310,0)),"")</f>
        <v/>
      </c>
      <c r="D295" s="59">
        <f>IFERROR(INDEX('Прайс-лист'!$C$11:$C$310,MATCH(ROWS($A$16:A295),'Прайс-лист'!$U$11:$U$310,0)),"")</f>
        <v/>
      </c>
      <c r="E295" s="59">
        <f>IFERROR(INDEX('Прайс-лист'!$E$11:$E$310,MATCH(ROWS($A$16:A295),'Прайс-лист'!$U$11:$U$310,0)),"")</f>
        <v/>
      </c>
      <c r="F295" s="58">
        <f>IFERROR(INDEX('Прайс-лист'!$F$11:$F$310,MATCH(ROWS($A$16:A295),'Прайс-лист'!$U$11:$U$310,0)),"")</f>
        <v/>
      </c>
      <c r="G295" s="61">
        <f>IFERROR(INDEX('Прайс-лист'!$R$11:$R$310,MATCH(ROWS($A$16:A295),'Прайс-лист'!$U$11:$U$310,0)),"")</f>
        <v/>
      </c>
      <c r="H295" s="60">
        <f>IFERROR(INDEX('Прайс-лист'!$P$11:$P$310,MATCH(ROWS($A$16:A295),'Прайс-лист'!$U$11:$U$310,0)),"")</f>
        <v/>
      </c>
      <c r="I295" s="61">
        <f>IFERROR(INDEX('Прайс-лист'!$S$11:$S$310,MATCH(ROWS($A$16:A295),'Прайс-лист'!$U$11:$U$310,0)),"")</f>
        <v/>
      </c>
      <c r="J295" s="61">
        <f>IFERROR($I295*0.22,"")</f>
        <v/>
      </c>
      <c r="K295" s="61">
        <f>IFERROR($I295+$J295,"")</f>
        <v/>
      </c>
      <c r="L295" s="59">
        <f>IFERROR(INDEX('Прайс-лист'!$Q$11:$Q$310,MATCH(ROWS($A$16:A295),'Прайс-лист'!$U$11:$U$310,0)),"")</f>
        <v/>
      </c>
    </row>
    <row r="296" ht="13.5" customHeight="1" s="49">
      <c r="A296" s="64">
        <f>IFERROR(IF(INDEX('Прайс-лист'!$U$11:$U$310,MATCH(ROWS($A$16:A296),'Прайс-лист'!$U$11:$U$310,0))="","",ROWS($A$16:A296)),"")</f>
        <v/>
      </c>
      <c r="B296" s="58">
        <f>IFERROR(INDEX('Прайс-лист'!$A$11:$A$310,MATCH(ROWS($A$16:A296),'Прайс-лист'!$U$11:$U$310,0)),"")</f>
        <v/>
      </c>
      <c r="C296" s="58">
        <f>IFERROR(INDEX('Прайс-лист'!$B$11:$B$310,MATCH(ROWS($A$16:A296),'Прайс-лист'!$U$11:$U$310,0)),"")</f>
        <v/>
      </c>
      <c r="D296" s="59">
        <f>IFERROR(INDEX('Прайс-лист'!$C$11:$C$310,MATCH(ROWS($A$16:A296),'Прайс-лист'!$U$11:$U$310,0)),"")</f>
        <v/>
      </c>
      <c r="E296" s="59">
        <f>IFERROR(INDEX('Прайс-лист'!$E$11:$E$310,MATCH(ROWS($A$16:A296),'Прайс-лист'!$U$11:$U$310,0)),"")</f>
        <v/>
      </c>
      <c r="F296" s="58">
        <f>IFERROR(INDEX('Прайс-лист'!$F$11:$F$310,MATCH(ROWS($A$16:A296),'Прайс-лист'!$U$11:$U$310,0)),"")</f>
        <v/>
      </c>
      <c r="G296" s="61">
        <f>IFERROR(INDEX('Прайс-лист'!$R$11:$R$310,MATCH(ROWS($A$16:A296),'Прайс-лист'!$U$11:$U$310,0)),"")</f>
        <v/>
      </c>
      <c r="H296" s="60">
        <f>IFERROR(INDEX('Прайс-лист'!$P$11:$P$310,MATCH(ROWS($A$16:A296),'Прайс-лист'!$U$11:$U$310,0)),"")</f>
        <v/>
      </c>
      <c r="I296" s="61">
        <f>IFERROR(INDEX('Прайс-лист'!$S$11:$S$310,MATCH(ROWS($A$16:A296),'Прайс-лист'!$U$11:$U$310,0)),"")</f>
        <v/>
      </c>
      <c r="J296" s="61">
        <f>IFERROR($I296*0.22,"")</f>
        <v/>
      </c>
      <c r="K296" s="61">
        <f>IFERROR($I296+$J296,"")</f>
        <v/>
      </c>
      <c r="L296" s="59">
        <f>IFERROR(INDEX('Прайс-лист'!$Q$11:$Q$310,MATCH(ROWS($A$16:A296),'Прайс-лист'!$U$11:$U$310,0)),"")</f>
        <v/>
      </c>
    </row>
    <row r="297" ht="13.5" customHeight="1" s="49">
      <c r="A297" s="64">
        <f>IFERROR(IF(INDEX('Прайс-лист'!$U$11:$U$310,MATCH(ROWS($A$16:A297),'Прайс-лист'!$U$11:$U$310,0))="","",ROWS($A$16:A297)),"")</f>
        <v/>
      </c>
      <c r="B297" s="58">
        <f>IFERROR(INDEX('Прайс-лист'!$A$11:$A$310,MATCH(ROWS($A$16:A297),'Прайс-лист'!$U$11:$U$310,0)),"")</f>
        <v/>
      </c>
      <c r="C297" s="58">
        <f>IFERROR(INDEX('Прайс-лист'!$B$11:$B$310,MATCH(ROWS($A$16:A297),'Прайс-лист'!$U$11:$U$310,0)),"")</f>
        <v/>
      </c>
      <c r="D297" s="59">
        <f>IFERROR(INDEX('Прайс-лист'!$C$11:$C$310,MATCH(ROWS($A$16:A297),'Прайс-лист'!$U$11:$U$310,0)),"")</f>
        <v/>
      </c>
      <c r="E297" s="59">
        <f>IFERROR(INDEX('Прайс-лист'!$E$11:$E$310,MATCH(ROWS($A$16:A297),'Прайс-лист'!$U$11:$U$310,0)),"")</f>
        <v/>
      </c>
      <c r="F297" s="58">
        <f>IFERROR(INDEX('Прайс-лист'!$F$11:$F$310,MATCH(ROWS($A$16:A297),'Прайс-лист'!$U$11:$U$310,0)),"")</f>
        <v/>
      </c>
      <c r="G297" s="61">
        <f>IFERROR(INDEX('Прайс-лист'!$R$11:$R$310,MATCH(ROWS($A$16:A297),'Прайс-лист'!$U$11:$U$310,0)),"")</f>
        <v/>
      </c>
      <c r="H297" s="60">
        <f>IFERROR(INDEX('Прайс-лист'!$P$11:$P$310,MATCH(ROWS($A$16:A297),'Прайс-лист'!$U$11:$U$310,0)),"")</f>
        <v/>
      </c>
      <c r="I297" s="61">
        <f>IFERROR(INDEX('Прайс-лист'!$S$11:$S$310,MATCH(ROWS($A$16:A297),'Прайс-лист'!$U$11:$U$310,0)),"")</f>
        <v/>
      </c>
      <c r="J297" s="61">
        <f>IFERROR($I297*0.22,"")</f>
        <v/>
      </c>
      <c r="K297" s="61">
        <f>IFERROR($I297+$J297,"")</f>
        <v/>
      </c>
      <c r="L297" s="59">
        <f>IFERROR(INDEX('Прайс-лист'!$Q$11:$Q$310,MATCH(ROWS($A$16:A297),'Прайс-лист'!$U$11:$U$310,0)),"")</f>
        <v/>
      </c>
    </row>
    <row r="298" ht="13.5" customHeight="1" s="49">
      <c r="A298" s="64">
        <f>IFERROR(IF(INDEX('Прайс-лист'!$U$11:$U$310,MATCH(ROWS($A$16:A298),'Прайс-лист'!$U$11:$U$310,0))="","",ROWS($A$16:A298)),"")</f>
        <v/>
      </c>
      <c r="B298" s="58">
        <f>IFERROR(INDEX('Прайс-лист'!$A$11:$A$310,MATCH(ROWS($A$16:A298),'Прайс-лист'!$U$11:$U$310,0)),"")</f>
        <v/>
      </c>
      <c r="C298" s="58">
        <f>IFERROR(INDEX('Прайс-лист'!$B$11:$B$310,MATCH(ROWS($A$16:A298),'Прайс-лист'!$U$11:$U$310,0)),"")</f>
        <v/>
      </c>
      <c r="D298" s="59">
        <f>IFERROR(INDEX('Прайс-лист'!$C$11:$C$310,MATCH(ROWS($A$16:A298),'Прайс-лист'!$U$11:$U$310,0)),"")</f>
        <v/>
      </c>
      <c r="E298" s="59">
        <f>IFERROR(INDEX('Прайс-лист'!$E$11:$E$310,MATCH(ROWS($A$16:A298),'Прайс-лист'!$U$11:$U$310,0)),"")</f>
        <v/>
      </c>
      <c r="F298" s="58">
        <f>IFERROR(INDEX('Прайс-лист'!$F$11:$F$310,MATCH(ROWS($A$16:A298),'Прайс-лист'!$U$11:$U$310,0)),"")</f>
        <v/>
      </c>
      <c r="G298" s="61">
        <f>IFERROR(INDEX('Прайс-лист'!$R$11:$R$310,MATCH(ROWS($A$16:A298),'Прайс-лист'!$U$11:$U$310,0)),"")</f>
        <v/>
      </c>
      <c r="H298" s="60">
        <f>IFERROR(INDEX('Прайс-лист'!$P$11:$P$310,MATCH(ROWS($A$16:A298),'Прайс-лист'!$U$11:$U$310,0)),"")</f>
        <v/>
      </c>
      <c r="I298" s="61">
        <f>IFERROR(INDEX('Прайс-лист'!$S$11:$S$310,MATCH(ROWS($A$16:A298),'Прайс-лист'!$U$11:$U$310,0)),"")</f>
        <v/>
      </c>
      <c r="J298" s="61">
        <f>IFERROR($I298*0.22,"")</f>
        <v/>
      </c>
      <c r="K298" s="61">
        <f>IFERROR($I298+$J298,"")</f>
        <v/>
      </c>
      <c r="L298" s="59">
        <f>IFERROR(INDEX('Прайс-лист'!$Q$11:$Q$310,MATCH(ROWS($A$16:A298),'Прайс-лист'!$U$11:$U$310,0)),"")</f>
        <v/>
      </c>
    </row>
    <row r="299" ht="13.5" customHeight="1" s="49">
      <c r="A299" s="64">
        <f>IFERROR(IF(INDEX('Прайс-лист'!$U$11:$U$310,MATCH(ROWS($A$16:A299),'Прайс-лист'!$U$11:$U$310,0))="","",ROWS($A$16:A299)),"")</f>
        <v/>
      </c>
      <c r="B299" s="58">
        <f>IFERROR(INDEX('Прайс-лист'!$A$11:$A$310,MATCH(ROWS($A$16:A299),'Прайс-лист'!$U$11:$U$310,0)),"")</f>
        <v/>
      </c>
      <c r="C299" s="58">
        <f>IFERROR(INDEX('Прайс-лист'!$B$11:$B$310,MATCH(ROWS($A$16:A299),'Прайс-лист'!$U$11:$U$310,0)),"")</f>
        <v/>
      </c>
      <c r="D299" s="59">
        <f>IFERROR(INDEX('Прайс-лист'!$C$11:$C$310,MATCH(ROWS($A$16:A299),'Прайс-лист'!$U$11:$U$310,0)),"")</f>
        <v/>
      </c>
      <c r="E299" s="59">
        <f>IFERROR(INDEX('Прайс-лист'!$E$11:$E$310,MATCH(ROWS($A$16:A299),'Прайс-лист'!$U$11:$U$310,0)),"")</f>
        <v/>
      </c>
      <c r="F299" s="58">
        <f>IFERROR(INDEX('Прайс-лист'!$F$11:$F$310,MATCH(ROWS($A$16:A299),'Прайс-лист'!$U$11:$U$310,0)),"")</f>
        <v/>
      </c>
      <c r="G299" s="61">
        <f>IFERROR(INDEX('Прайс-лист'!$R$11:$R$310,MATCH(ROWS($A$16:A299),'Прайс-лист'!$U$11:$U$310,0)),"")</f>
        <v/>
      </c>
      <c r="H299" s="60">
        <f>IFERROR(INDEX('Прайс-лист'!$P$11:$P$310,MATCH(ROWS($A$16:A299),'Прайс-лист'!$U$11:$U$310,0)),"")</f>
        <v/>
      </c>
      <c r="I299" s="61">
        <f>IFERROR(INDEX('Прайс-лист'!$S$11:$S$310,MATCH(ROWS($A$16:A299),'Прайс-лист'!$U$11:$U$310,0)),"")</f>
        <v/>
      </c>
      <c r="J299" s="61">
        <f>IFERROR($I299*0.22,"")</f>
        <v/>
      </c>
      <c r="K299" s="61">
        <f>IFERROR($I299+$J299,"")</f>
        <v/>
      </c>
      <c r="L299" s="59">
        <f>IFERROR(INDEX('Прайс-лист'!$Q$11:$Q$310,MATCH(ROWS($A$16:A299),'Прайс-лист'!$U$11:$U$310,0)),"")</f>
        <v/>
      </c>
    </row>
    <row r="300" ht="13.5" customHeight="1" s="49">
      <c r="A300" s="64">
        <f>IFERROR(IF(INDEX('Прайс-лист'!$U$11:$U$310,MATCH(ROWS($A$16:A300),'Прайс-лист'!$U$11:$U$310,0))="","",ROWS($A$16:A300)),"")</f>
        <v/>
      </c>
      <c r="B300" s="58">
        <f>IFERROR(INDEX('Прайс-лист'!$A$11:$A$310,MATCH(ROWS($A$16:A300),'Прайс-лист'!$U$11:$U$310,0)),"")</f>
        <v/>
      </c>
      <c r="C300" s="58">
        <f>IFERROR(INDEX('Прайс-лист'!$B$11:$B$310,MATCH(ROWS($A$16:A300),'Прайс-лист'!$U$11:$U$310,0)),"")</f>
        <v/>
      </c>
      <c r="D300" s="59">
        <f>IFERROR(INDEX('Прайс-лист'!$C$11:$C$310,MATCH(ROWS($A$16:A300),'Прайс-лист'!$U$11:$U$310,0)),"")</f>
        <v/>
      </c>
      <c r="E300" s="59">
        <f>IFERROR(INDEX('Прайс-лист'!$E$11:$E$310,MATCH(ROWS($A$16:A300),'Прайс-лист'!$U$11:$U$310,0)),"")</f>
        <v/>
      </c>
      <c r="F300" s="58">
        <f>IFERROR(INDEX('Прайс-лист'!$F$11:$F$310,MATCH(ROWS($A$16:A300),'Прайс-лист'!$U$11:$U$310,0)),"")</f>
        <v/>
      </c>
      <c r="G300" s="61">
        <f>IFERROR(INDEX('Прайс-лист'!$R$11:$R$310,MATCH(ROWS($A$16:A300),'Прайс-лист'!$U$11:$U$310,0)),"")</f>
        <v/>
      </c>
      <c r="H300" s="60">
        <f>IFERROR(INDEX('Прайс-лист'!$P$11:$P$310,MATCH(ROWS($A$16:A300),'Прайс-лист'!$U$11:$U$310,0)),"")</f>
        <v/>
      </c>
      <c r="I300" s="61">
        <f>IFERROR(INDEX('Прайс-лист'!$S$11:$S$310,MATCH(ROWS($A$16:A300),'Прайс-лист'!$U$11:$U$310,0)),"")</f>
        <v/>
      </c>
      <c r="J300" s="61">
        <f>IFERROR($I300*0.22,"")</f>
        <v/>
      </c>
      <c r="K300" s="61">
        <f>IFERROR($I300+$J300,"")</f>
        <v/>
      </c>
      <c r="L300" s="59">
        <f>IFERROR(INDEX('Прайс-лист'!$Q$11:$Q$310,MATCH(ROWS($A$16:A300),'Прайс-лист'!$U$11:$U$310,0)),"")</f>
        <v/>
      </c>
    </row>
    <row r="301" ht="13.5" customHeight="1" s="49">
      <c r="A301" s="64">
        <f>IFERROR(IF(INDEX('Прайс-лист'!$U$11:$U$310,MATCH(ROWS($A$16:A301),'Прайс-лист'!$U$11:$U$310,0))="","",ROWS($A$16:A301)),"")</f>
        <v/>
      </c>
      <c r="B301" s="58">
        <f>IFERROR(INDEX('Прайс-лист'!$A$11:$A$310,MATCH(ROWS($A$16:A301),'Прайс-лист'!$U$11:$U$310,0)),"")</f>
        <v/>
      </c>
      <c r="C301" s="58">
        <f>IFERROR(INDEX('Прайс-лист'!$B$11:$B$310,MATCH(ROWS($A$16:A301),'Прайс-лист'!$U$11:$U$310,0)),"")</f>
        <v/>
      </c>
      <c r="D301" s="59">
        <f>IFERROR(INDEX('Прайс-лист'!$C$11:$C$310,MATCH(ROWS($A$16:A301),'Прайс-лист'!$U$11:$U$310,0)),"")</f>
        <v/>
      </c>
      <c r="E301" s="59">
        <f>IFERROR(INDEX('Прайс-лист'!$E$11:$E$310,MATCH(ROWS($A$16:A301),'Прайс-лист'!$U$11:$U$310,0)),"")</f>
        <v/>
      </c>
      <c r="F301" s="58">
        <f>IFERROR(INDEX('Прайс-лист'!$F$11:$F$310,MATCH(ROWS($A$16:A301),'Прайс-лист'!$U$11:$U$310,0)),"")</f>
        <v/>
      </c>
      <c r="G301" s="61">
        <f>IFERROR(INDEX('Прайс-лист'!$R$11:$R$310,MATCH(ROWS($A$16:A301),'Прайс-лист'!$U$11:$U$310,0)),"")</f>
        <v/>
      </c>
      <c r="H301" s="60">
        <f>IFERROR(INDEX('Прайс-лист'!$P$11:$P$310,MATCH(ROWS($A$16:A301),'Прайс-лист'!$U$11:$U$310,0)),"")</f>
        <v/>
      </c>
      <c r="I301" s="61">
        <f>IFERROR(INDEX('Прайс-лист'!$S$11:$S$310,MATCH(ROWS($A$16:A301),'Прайс-лист'!$U$11:$U$310,0)),"")</f>
        <v/>
      </c>
      <c r="J301" s="61">
        <f>IFERROR($I301*0.22,"")</f>
        <v/>
      </c>
      <c r="K301" s="61">
        <f>IFERROR($I301+$J301,"")</f>
        <v/>
      </c>
      <c r="L301" s="59">
        <f>IFERROR(INDEX('Прайс-лист'!$Q$11:$Q$310,MATCH(ROWS($A$16:A301),'Прайс-лист'!$U$11:$U$310,0)),"")</f>
        <v/>
      </c>
    </row>
    <row r="302" ht="13.5" customHeight="1" s="49">
      <c r="A302" s="64">
        <f>IFERROR(IF(INDEX('Прайс-лист'!$U$11:$U$310,MATCH(ROWS($A$16:A302),'Прайс-лист'!$U$11:$U$310,0))="","",ROWS($A$16:A302)),"")</f>
        <v/>
      </c>
      <c r="B302" s="58">
        <f>IFERROR(INDEX('Прайс-лист'!$A$11:$A$310,MATCH(ROWS($A$16:A302),'Прайс-лист'!$U$11:$U$310,0)),"")</f>
        <v/>
      </c>
      <c r="C302" s="58">
        <f>IFERROR(INDEX('Прайс-лист'!$B$11:$B$310,MATCH(ROWS($A$16:A302),'Прайс-лист'!$U$11:$U$310,0)),"")</f>
        <v/>
      </c>
      <c r="D302" s="59">
        <f>IFERROR(INDEX('Прайс-лист'!$C$11:$C$310,MATCH(ROWS($A$16:A302),'Прайс-лист'!$U$11:$U$310,0)),"")</f>
        <v/>
      </c>
      <c r="E302" s="59">
        <f>IFERROR(INDEX('Прайс-лист'!$E$11:$E$310,MATCH(ROWS($A$16:A302),'Прайс-лист'!$U$11:$U$310,0)),"")</f>
        <v/>
      </c>
      <c r="F302" s="58">
        <f>IFERROR(INDEX('Прайс-лист'!$F$11:$F$310,MATCH(ROWS($A$16:A302),'Прайс-лист'!$U$11:$U$310,0)),"")</f>
        <v/>
      </c>
      <c r="G302" s="61">
        <f>IFERROR(INDEX('Прайс-лист'!$R$11:$R$310,MATCH(ROWS($A$16:A302),'Прайс-лист'!$U$11:$U$310,0)),"")</f>
        <v/>
      </c>
      <c r="H302" s="60">
        <f>IFERROR(INDEX('Прайс-лист'!$P$11:$P$310,MATCH(ROWS($A$16:A302),'Прайс-лист'!$U$11:$U$310,0)),"")</f>
        <v/>
      </c>
      <c r="I302" s="61">
        <f>IFERROR(INDEX('Прайс-лист'!$S$11:$S$310,MATCH(ROWS($A$16:A302),'Прайс-лист'!$U$11:$U$310,0)),"")</f>
        <v/>
      </c>
      <c r="J302" s="61">
        <f>IFERROR($I302*0.22,"")</f>
        <v/>
      </c>
      <c r="K302" s="61">
        <f>IFERROR($I302+$J302,"")</f>
        <v/>
      </c>
      <c r="L302" s="59">
        <f>IFERROR(INDEX('Прайс-лист'!$Q$11:$Q$310,MATCH(ROWS($A$16:A302),'Прайс-лист'!$U$11:$U$310,0)),"")</f>
        <v/>
      </c>
    </row>
    <row r="303" ht="13.5" customHeight="1" s="49">
      <c r="A303" s="64">
        <f>IFERROR(IF(INDEX('Прайс-лист'!$U$11:$U$310,MATCH(ROWS($A$16:A303),'Прайс-лист'!$U$11:$U$310,0))="","",ROWS($A$16:A303)),"")</f>
        <v/>
      </c>
      <c r="B303" s="58">
        <f>IFERROR(INDEX('Прайс-лист'!$A$11:$A$310,MATCH(ROWS($A$16:A303),'Прайс-лист'!$U$11:$U$310,0)),"")</f>
        <v/>
      </c>
      <c r="C303" s="58">
        <f>IFERROR(INDEX('Прайс-лист'!$B$11:$B$310,MATCH(ROWS($A$16:A303),'Прайс-лист'!$U$11:$U$310,0)),"")</f>
        <v/>
      </c>
      <c r="D303" s="59">
        <f>IFERROR(INDEX('Прайс-лист'!$C$11:$C$310,MATCH(ROWS($A$16:A303),'Прайс-лист'!$U$11:$U$310,0)),"")</f>
        <v/>
      </c>
      <c r="E303" s="59">
        <f>IFERROR(INDEX('Прайс-лист'!$E$11:$E$310,MATCH(ROWS($A$16:A303),'Прайс-лист'!$U$11:$U$310,0)),"")</f>
        <v/>
      </c>
      <c r="F303" s="58">
        <f>IFERROR(INDEX('Прайс-лист'!$F$11:$F$310,MATCH(ROWS($A$16:A303),'Прайс-лист'!$U$11:$U$310,0)),"")</f>
        <v/>
      </c>
      <c r="G303" s="61">
        <f>IFERROR(INDEX('Прайс-лист'!$R$11:$R$310,MATCH(ROWS($A$16:A303),'Прайс-лист'!$U$11:$U$310,0)),"")</f>
        <v/>
      </c>
      <c r="H303" s="60">
        <f>IFERROR(INDEX('Прайс-лист'!$P$11:$P$310,MATCH(ROWS($A$16:A303),'Прайс-лист'!$U$11:$U$310,0)),"")</f>
        <v/>
      </c>
      <c r="I303" s="61">
        <f>IFERROR(INDEX('Прайс-лист'!$S$11:$S$310,MATCH(ROWS($A$16:A303),'Прайс-лист'!$U$11:$U$310,0)),"")</f>
        <v/>
      </c>
      <c r="J303" s="61">
        <f>IFERROR($I303*0.22,"")</f>
        <v/>
      </c>
      <c r="K303" s="61">
        <f>IFERROR($I303+$J303,"")</f>
        <v/>
      </c>
      <c r="L303" s="59">
        <f>IFERROR(INDEX('Прайс-лист'!$Q$11:$Q$310,MATCH(ROWS($A$16:A303),'Прайс-лист'!$U$11:$U$310,0)),"")</f>
        <v/>
      </c>
    </row>
    <row r="304" ht="13.5" customHeight="1" s="49">
      <c r="A304" s="64">
        <f>IFERROR(IF(INDEX('Прайс-лист'!$U$11:$U$310,MATCH(ROWS($A$16:A304),'Прайс-лист'!$U$11:$U$310,0))="","",ROWS($A$16:A304)),"")</f>
        <v/>
      </c>
      <c r="B304" s="58">
        <f>IFERROR(INDEX('Прайс-лист'!$A$11:$A$310,MATCH(ROWS($A$16:A304),'Прайс-лист'!$U$11:$U$310,0)),"")</f>
        <v/>
      </c>
      <c r="C304" s="58">
        <f>IFERROR(INDEX('Прайс-лист'!$B$11:$B$310,MATCH(ROWS($A$16:A304),'Прайс-лист'!$U$11:$U$310,0)),"")</f>
        <v/>
      </c>
      <c r="D304" s="59">
        <f>IFERROR(INDEX('Прайс-лист'!$C$11:$C$310,MATCH(ROWS($A$16:A304),'Прайс-лист'!$U$11:$U$310,0)),"")</f>
        <v/>
      </c>
      <c r="E304" s="59">
        <f>IFERROR(INDEX('Прайс-лист'!$E$11:$E$310,MATCH(ROWS($A$16:A304),'Прайс-лист'!$U$11:$U$310,0)),"")</f>
        <v/>
      </c>
      <c r="F304" s="58">
        <f>IFERROR(INDEX('Прайс-лист'!$F$11:$F$310,MATCH(ROWS($A$16:A304),'Прайс-лист'!$U$11:$U$310,0)),"")</f>
        <v/>
      </c>
      <c r="G304" s="61">
        <f>IFERROR(INDEX('Прайс-лист'!$R$11:$R$310,MATCH(ROWS($A$16:A304),'Прайс-лист'!$U$11:$U$310,0)),"")</f>
        <v/>
      </c>
      <c r="H304" s="60">
        <f>IFERROR(INDEX('Прайс-лист'!$P$11:$P$310,MATCH(ROWS($A$16:A304),'Прайс-лист'!$U$11:$U$310,0)),"")</f>
        <v/>
      </c>
      <c r="I304" s="61">
        <f>IFERROR(INDEX('Прайс-лист'!$S$11:$S$310,MATCH(ROWS($A$16:A304),'Прайс-лист'!$U$11:$U$310,0)),"")</f>
        <v/>
      </c>
      <c r="J304" s="61">
        <f>IFERROR($I304*0.22,"")</f>
        <v/>
      </c>
      <c r="K304" s="61">
        <f>IFERROR($I304+$J304,"")</f>
        <v/>
      </c>
      <c r="L304" s="59">
        <f>IFERROR(INDEX('Прайс-лист'!$Q$11:$Q$310,MATCH(ROWS($A$16:A304),'Прайс-лист'!$U$11:$U$310,0)),"")</f>
        <v/>
      </c>
    </row>
    <row r="305" ht="13.5" customHeight="1" s="49">
      <c r="A305" s="64">
        <f>IFERROR(IF(INDEX('Прайс-лист'!$U$11:$U$310,MATCH(ROWS($A$16:A305),'Прайс-лист'!$U$11:$U$310,0))="","",ROWS($A$16:A305)),"")</f>
        <v/>
      </c>
      <c r="B305" s="58">
        <f>IFERROR(INDEX('Прайс-лист'!$A$11:$A$310,MATCH(ROWS($A$16:A305),'Прайс-лист'!$U$11:$U$310,0)),"")</f>
        <v/>
      </c>
      <c r="C305" s="58">
        <f>IFERROR(INDEX('Прайс-лист'!$B$11:$B$310,MATCH(ROWS($A$16:A305),'Прайс-лист'!$U$11:$U$310,0)),"")</f>
        <v/>
      </c>
      <c r="D305" s="59">
        <f>IFERROR(INDEX('Прайс-лист'!$C$11:$C$310,MATCH(ROWS($A$16:A305),'Прайс-лист'!$U$11:$U$310,0)),"")</f>
        <v/>
      </c>
      <c r="E305" s="59">
        <f>IFERROR(INDEX('Прайс-лист'!$E$11:$E$310,MATCH(ROWS($A$16:A305),'Прайс-лист'!$U$11:$U$310,0)),"")</f>
        <v/>
      </c>
      <c r="F305" s="58">
        <f>IFERROR(INDEX('Прайс-лист'!$F$11:$F$310,MATCH(ROWS($A$16:A305),'Прайс-лист'!$U$11:$U$310,0)),"")</f>
        <v/>
      </c>
      <c r="G305" s="61">
        <f>IFERROR(INDEX('Прайс-лист'!$R$11:$R$310,MATCH(ROWS($A$16:A305),'Прайс-лист'!$U$11:$U$310,0)),"")</f>
        <v/>
      </c>
      <c r="H305" s="60">
        <f>IFERROR(INDEX('Прайс-лист'!$P$11:$P$310,MATCH(ROWS($A$16:A305),'Прайс-лист'!$U$11:$U$310,0)),"")</f>
        <v/>
      </c>
      <c r="I305" s="61">
        <f>IFERROR(INDEX('Прайс-лист'!$S$11:$S$310,MATCH(ROWS($A$16:A305),'Прайс-лист'!$U$11:$U$310,0)),"")</f>
        <v/>
      </c>
      <c r="J305" s="61">
        <f>IFERROR($I305*0.22,"")</f>
        <v/>
      </c>
      <c r="K305" s="61">
        <f>IFERROR($I305+$J305,"")</f>
        <v/>
      </c>
      <c r="L305" s="59">
        <f>IFERROR(INDEX('Прайс-лист'!$Q$11:$Q$310,MATCH(ROWS($A$16:A305),'Прайс-лист'!$U$11:$U$310,0)),"")</f>
        <v/>
      </c>
    </row>
    <row r="306" ht="13.5" customHeight="1" s="49">
      <c r="A306" s="64">
        <f>IFERROR(IF(INDEX('Прайс-лист'!$U$11:$U$310,MATCH(ROWS($A$16:A306),'Прайс-лист'!$U$11:$U$310,0))="","",ROWS($A$16:A306)),"")</f>
        <v/>
      </c>
      <c r="B306" s="58">
        <f>IFERROR(INDEX('Прайс-лист'!$A$11:$A$310,MATCH(ROWS($A$16:A306),'Прайс-лист'!$U$11:$U$310,0)),"")</f>
        <v/>
      </c>
      <c r="C306" s="58">
        <f>IFERROR(INDEX('Прайс-лист'!$B$11:$B$310,MATCH(ROWS($A$16:A306),'Прайс-лист'!$U$11:$U$310,0)),"")</f>
        <v/>
      </c>
      <c r="D306" s="59">
        <f>IFERROR(INDEX('Прайс-лист'!$C$11:$C$310,MATCH(ROWS($A$16:A306),'Прайс-лист'!$U$11:$U$310,0)),"")</f>
        <v/>
      </c>
      <c r="E306" s="59">
        <f>IFERROR(INDEX('Прайс-лист'!$E$11:$E$310,MATCH(ROWS($A$16:A306),'Прайс-лист'!$U$11:$U$310,0)),"")</f>
        <v/>
      </c>
      <c r="F306" s="58">
        <f>IFERROR(INDEX('Прайс-лист'!$F$11:$F$310,MATCH(ROWS($A$16:A306),'Прайс-лист'!$U$11:$U$310,0)),"")</f>
        <v/>
      </c>
      <c r="G306" s="61">
        <f>IFERROR(INDEX('Прайс-лист'!$R$11:$R$310,MATCH(ROWS($A$16:A306),'Прайс-лист'!$U$11:$U$310,0)),"")</f>
        <v/>
      </c>
      <c r="H306" s="60">
        <f>IFERROR(INDEX('Прайс-лист'!$P$11:$P$310,MATCH(ROWS($A$16:A306),'Прайс-лист'!$U$11:$U$310,0)),"")</f>
        <v/>
      </c>
      <c r="I306" s="61">
        <f>IFERROR(INDEX('Прайс-лист'!$S$11:$S$310,MATCH(ROWS($A$16:A306),'Прайс-лист'!$U$11:$U$310,0)),"")</f>
        <v/>
      </c>
      <c r="J306" s="61">
        <f>IFERROR($I306*0.22,"")</f>
        <v/>
      </c>
      <c r="K306" s="61">
        <f>IFERROR($I306+$J306,"")</f>
        <v/>
      </c>
      <c r="L306" s="59">
        <f>IFERROR(INDEX('Прайс-лист'!$Q$11:$Q$310,MATCH(ROWS($A$16:A306),'Прайс-лист'!$U$11:$U$310,0)),"")</f>
        <v/>
      </c>
    </row>
    <row r="307" ht="13.5" customHeight="1" s="49">
      <c r="A307" s="64">
        <f>IFERROR(IF(INDEX('Прайс-лист'!$U$11:$U$310,MATCH(ROWS($A$16:A307),'Прайс-лист'!$U$11:$U$310,0))="","",ROWS($A$16:A307)),"")</f>
        <v/>
      </c>
      <c r="B307" s="58">
        <f>IFERROR(INDEX('Прайс-лист'!$A$11:$A$310,MATCH(ROWS($A$16:A307),'Прайс-лист'!$U$11:$U$310,0)),"")</f>
        <v/>
      </c>
      <c r="C307" s="58">
        <f>IFERROR(INDEX('Прайс-лист'!$B$11:$B$310,MATCH(ROWS($A$16:A307),'Прайс-лист'!$U$11:$U$310,0)),"")</f>
        <v/>
      </c>
      <c r="D307" s="59">
        <f>IFERROR(INDEX('Прайс-лист'!$C$11:$C$310,MATCH(ROWS($A$16:A307),'Прайс-лист'!$U$11:$U$310,0)),"")</f>
        <v/>
      </c>
      <c r="E307" s="59">
        <f>IFERROR(INDEX('Прайс-лист'!$E$11:$E$310,MATCH(ROWS($A$16:A307),'Прайс-лист'!$U$11:$U$310,0)),"")</f>
        <v/>
      </c>
      <c r="F307" s="58">
        <f>IFERROR(INDEX('Прайс-лист'!$F$11:$F$310,MATCH(ROWS($A$16:A307),'Прайс-лист'!$U$11:$U$310,0)),"")</f>
        <v/>
      </c>
      <c r="G307" s="61">
        <f>IFERROR(INDEX('Прайс-лист'!$R$11:$R$310,MATCH(ROWS($A$16:A307),'Прайс-лист'!$U$11:$U$310,0)),"")</f>
        <v/>
      </c>
      <c r="H307" s="60">
        <f>IFERROR(INDEX('Прайс-лист'!$P$11:$P$310,MATCH(ROWS($A$16:A307),'Прайс-лист'!$U$11:$U$310,0)),"")</f>
        <v/>
      </c>
      <c r="I307" s="61">
        <f>IFERROR(INDEX('Прайс-лист'!$S$11:$S$310,MATCH(ROWS($A$16:A307),'Прайс-лист'!$U$11:$U$310,0)),"")</f>
        <v/>
      </c>
      <c r="J307" s="61">
        <f>IFERROR($I307*0.22,"")</f>
        <v/>
      </c>
      <c r="K307" s="61">
        <f>IFERROR($I307+$J307,"")</f>
        <v/>
      </c>
      <c r="L307" s="59">
        <f>IFERROR(INDEX('Прайс-лист'!$Q$11:$Q$310,MATCH(ROWS($A$16:A307),'Прайс-лист'!$U$11:$U$310,0)),"")</f>
        <v/>
      </c>
    </row>
    <row r="308" ht="13.5" customHeight="1" s="49">
      <c r="A308" s="64">
        <f>IFERROR(IF(INDEX('Прайс-лист'!$U$11:$U$310,MATCH(ROWS($A$16:A308),'Прайс-лист'!$U$11:$U$310,0))="","",ROWS($A$16:A308)),"")</f>
        <v/>
      </c>
      <c r="B308" s="58">
        <f>IFERROR(INDEX('Прайс-лист'!$A$11:$A$310,MATCH(ROWS($A$16:A308),'Прайс-лист'!$U$11:$U$310,0)),"")</f>
        <v/>
      </c>
      <c r="C308" s="58">
        <f>IFERROR(INDEX('Прайс-лист'!$B$11:$B$310,MATCH(ROWS($A$16:A308),'Прайс-лист'!$U$11:$U$310,0)),"")</f>
        <v/>
      </c>
      <c r="D308" s="59">
        <f>IFERROR(INDEX('Прайс-лист'!$C$11:$C$310,MATCH(ROWS($A$16:A308),'Прайс-лист'!$U$11:$U$310,0)),"")</f>
        <v/>
      </c>
      <c r="E308" s="59">
        <f>IFERROR(INDEX('Прайс-лист'!$E$11:$E$310,MATCH(ROWS($A$16:A308),'Прайс-лист'!$U$11:$U$310,0)),"")</f>
        <v/>
      </c>
      <c r="F308" s="58">
        <f>IFERROR(INDEX('Прайс-лист'!$F$11:$F$310,MATCH(ROWS($A$16:A308),'Прайс-лист'!$U$11:$U$310,0)),"")</f>
        <v/>
      </c>
      <c r="G308" s="61">
        <f>IFERROR(INDEX('Прайс-лист'!$R$11:$R$310,MATCH(ROWS($A$16:A308),'Прайс-лист'!$U$11:$U$310,0)),"")</f>
        <v/>
      </c>
      <c r="H308" s="60">
        <f>IFERROR(INDEX('Прайс-лист'!$P$11:$P$310,MATCH(ROWS($A$16:A308),'Прайс-лист'!$U$11:$U$310,0)),"")</f>
        <v/>
      </c>
      <c r="I308" s="61">
        <f>IFERROR(INDEX('Прайс-лист'!$S$11:$S$310,MATCH(ROWS($A$16:A308),'Прайс-лист'!$U$11:$U$310,0)),"")</f>
        <v/>
      </c>
      <c r="J308" s="61">
        <f>IFERROR($I308*0.22,"")</f>
        <v/>
      </c>
      <c r="K308" s="61">
        <f>IFERROR($I308+$J308,"")</f>
        <v/>
      </c>
      <c r="L308" s="59">
        <f>IFERROR(INDEX('Прайс-лист'!$Q$11:$Q$310,MATCH(ROWS($A$16:A308),'Прайс-лист'!$U$11:$U$310,0)),"")</f>
        <v/>
      </c>
    </row>
    <row r="309" ht="13.5" customHeight="1" s="49">
      <c r="A309" s="64">
        <f>IFERROR(IF(INDEX('Прайс-лист'!$U$11:$U$310,MATCH(ROWS($A$16:A309),'Прайс-лист'!$U$11:$U$310,0))="","",ROWS($A$16:A309)),"")</f>
        <v/>
      </c>
      <c r="B309" s="58">
        <f>IFERROR(INDEX('Прайс-лист'!$A$11:$A$310,MATCH(ROWS($A$16:A309),'Прайс-лист'!$U$11:$U$310,0)),"")</f>
        <v/>
      </c>
      <c r="C309" s="58">
        <f>IFERROR(INDEX('Прайс-лист'!$B$11:$B$310,MATCH(ROWS($A$16:A309),'Прайс-лист'!$U$11:$U$310,0)),"")</f>
        <v/>
      </c>
      <c r="D309" s="59">
        <f>IFERROR(INDEX('Прайс-лист'!$C$11:$C$310,MATCH(ROWS($A$16:A309),'Прайс-лист'!$U$11:$U$310,0)),"")</f>
        <v/>
      </c>
      <c r="E309" s="59">
        <f>IFERROR(INDEX('Прайс-лист'!$E$11:$E$310,MATCH(ROWS($A$16:A309),'Прайс-лист'!$U$11:$U$310,0)),"")</f>
        <v/>
      </c>
      <c r="F309" s="58">
        <f>IFERROR(INDEX('Прайс-лист'!$F$11:$F$310,MATCH(ROWS($A$16:A309),'Прайс-лист'!$U$11:$U$310,0)),"")</f>
        <v/>
      </c>
      <c r="G309" s="61">
        <f>IFERROR(INDEX('Прайс-лист'!$R$11:$R$310,MATCH(ROWS($A$16:A309),'Прайс-лист'!$U$11:$U$310,0)),"")</f>
        <v/>
      </c>
      <c r="H309" s="60">
        <f>IFERROR(INDEX('Прайс-лист'!$P$11:$P$310,MATCH(ROWS($A$16:A309),'Прайс-лист'!$U$11:$U$310,0)),"")</f>
        <v/>
      </c>
      <c r="I309" s="61">
        <f>IFERROR(INDEX('Прайс-лист'!$S$11:$S$310,MATCH(ROWS($A$16:A309),'Прайс-лист'!$U$11:$U$310,0)),"")</f>
        <v/>
      </c>
      <c r="J309" s="61">
        <f>IFERROR($I309*0.22,"")</f>
        <v/>
      </c>
      <c r="K309" s="61">
        <f>IFERROR($I309+$J309,"")</f>
        <v/>
      </c>
      <c r="L309" s="59">
        <f>IFERROR(INDEX('Прайс-лист'!$Q$11:$Q$310,MATCH(ROWS($A$16:A309),'Прайс-лист'!$U$11:$U$310,0)),"")</f>
        <v/>
      </c>
    </row>
    <row r="310" ht="13.5" customHeight="1" s="49">
      <c r="A310" s="64">
        <f>IFERROR(IF(INDEX('Прайс-лист'!$U$11:$U$310,MATCH(ROWS($A$16:A310),'Прайс-лист'!$U$11:$U$310,0))="","",ROWS($A$16:A310)),"")</f>
        <v/>
      </c>
      <c r="B310" s="58">
        <f>IFERROR(INDEX('Прайс-лист'!$A$11:$A$310,MATCH(ROWS($A$16:A310),'Прайс-лист'!$U$11:$U$310,0)),"")</f>
        <v/>
      </c>
      <c r="C310" s="58">
        <f>IFERROR(INDEX('Прайс-лист'!$B$11:$B$310,MATCH(ROWS($A$16:A310),'Прайс-лист'!$U$11:$U$310,0)),"")</f>
        <v/>
      </c>
      <c r="D310" s="59">
        <f>IFERROR(INDEX('Прайс-лист'!$C$11:$C$310,MATCH(ROWS($A$16:A310),'Прайс-лист'!$U$11:$U$310,0)),"")</f>
        <v/>
      </c>
      <c r="E310" s="59">
        <f>IFERROR(INDEX('Прайс-лист'!$E$11:$E$310,MATCH(ROWS($A$16:A310),'Прайс-лист'!$U$11:$U$310,0)),"")</f>
        <v/>
      </c>
      <c r="F310" s="58">
        <f>IFERROR(INDEX('Прайс-лист'!$F$11:$F$310,MATCH(ROWS($A$16:A310),'Прайс-лист'!$U$11:$U$310,0)),"")</f>
        <v/>
      </c>
      <c r="G310" s="61">
        <f>IFERROR(INDEX('Прайс-лист'!$R$11:$R$310,MATCH(ROWS($A$16:A310),'Прайс-лист'!$U$11:$U$310,0)),"")</f>
        <v/>
      </c>
      <c r="H310" s="60">
        <f>IFERROR(INDEX('Прайс-лист'!$P$11:$P$310,MATCH(ROWS($A$16:A310),'Прайс-лист'!$U$11:$U$310,0)),"")</f>
        <v/>
      </c>
      <c r="I310" s="61">
        <f>IFERROR(INDEX('Прайс-лист'!$S$11:$S$310,MATCH(ROWS($A$16:A310),'Прайс-лист'!$U$11:$U$310,0)),"")</f>
        <v/>
      </c>
      <c r="J310" s="61">
        <f>IFERROR($I310*0.22,"")</f>
        <v/>
      </c>
      <c r="K310" s="61">
        <f>IFERROR($I310+$J310,"")</f>
        <v/>
      </c>
      <c r="L310" s="59">
        <f>IFERROR(INDEX('Прайс-лист'!$Q$11:$Q$310,MATCH(ROWS($A$16:A310),'Прайс-лист'!$U$11:$U$310,0)),"")</f>
        <v/>
      </c>
    </row>
    <row r="311" ht="13.5" customHeight="1" s="49">
      <c r="A311" s="64">
        <f>IFERROR(IF(INDEX('Прайс-лист'!$U$11:$U$310,MATCH(ROWS($A$16:A311),'Прайс-лист'!$U$11:$U$310,0))="","",ROWS($A$16:A311)),"")</f>
        <v/>
      </c>
      <c r="B311" s="58">
        <f>IFERROR(INDEX('Прайс-лист'!$A$11:$A$310,MATCH(ROWS($A$16:A311),'Прайс-лист'!$U$11:$U$310,0)),"")</f>
        <v/>
      </c>
      <c r="C311" s="58">
        <f>IFERROR(INDEX('Прайс-лист'!$B$11:$B$310,MATCH(ROWS($A$16:A311),'Прайс-лист'!$U$11:$U$310,0)),"")</f>
        <v/>
      </c>
      <c r="D311" s="59">
        <f>IFERROR(INDEX('Прайс-лист'!$C$11:$C$310,MATCH(ROWS($A$16:A311),'Прайс-лист'!$U$11:$U$310,0)),"")</f>
        <v/>
      </c>
      <c r="E311" s="59">
        <f>IFERROR(INDEX('Прайс-лист'!$E$11:$E$310,MATCH(ROWS($A$16:A311),'Прайс-лист'!$U$11:$U$310,0)),"")</f>
        <v/>
      </c>
      <c r="F311" s="58">
        <f>IFERROR(INDEX('Прайс-лист'!$F$11:$F$310,MATCH(ROWS($A$16:A311),'Прайс-лист'!$U$11:$U$310,0)),"")</f>
        <v/>
      </c>
      <c r="G311" s="61">
        <f>IFERROR(INDEX('Прайс-лист'!$R$11:$R$310,MATCH(ROWS($A$16:A311),'Прайс-лист'!$U$11:$U$310,0)),"")</f>
        <v/>
      </c>
      <c r="H311" s="60">
        <f>IFERROR(INDEX('Прайс-лист'!$P$11:$P$310,MATCH(ROWS($A$16:A311),'Прайс-лист'!$U$11:$U$310,0)),"")</f>
        <v/>
      </c>
      <c r="I311" s="61">
        <f>IFERROR(INDEX('Прайс-лист'!$S$11:$S$310,MATCH(ROWS($A$16:A311),'Прайс-лист'!$U$11:$U$310,0)),"")</f>
        <v/>
      </c>
      <c r="J311" s="61">
        <f>IFERROR($I311*0.22,"")</f>
        <v/>
      </c>
      <c r="K311" s="61">
        <f>IFERROR($I311+$J311,"")</f>
        <v/>
      </c>
      <c r="L311" s="59">
        <f>IFERROR(INDEX('Прайс-лист'!$Q$11:$Q$310,MATCH(ROWS($A$16:A311),'Прайс-лист'!$U$11:$U$310,0)),"")</f>
        <v/>
      </c>
    </row>
    <row r="312" ht="13.5" customHeight="1" s="49">
      <c r="A312" s="64">
        <f>IFERROR(IF(INDEX('Прайс-лист'!$U$11:$U$310,MATCH(ROWS($A$16:A312),'Прайс-лист'!$U$11:$U$310,0))="","",ROWS($A$16:A312)),"")</f>
        <v/>
      </c>
      <c r="B312" s="58">
        <f>IFERROR(INDEX('Прайс-лист'!$A$11:$A$310,MATCH(ROWS($A$16:A312),'Прайс-лист'!$U$11:$U$310,0)),"")</f>
        <v/>
      </c>
      <c r="C312" s="58">
        <f>IFERROR(INDEX('Прайс-лист'!$B$11:$B$310,MATCH(ROWS($A$16:A312),'Прайс-лист'!$U$11:$U$310,0)),"")</f>
        <v/>
      </c>
      <c r="D312" s="59">
        <f>IFERROR(INDEX('Прайс-лист'!$C$11:$C$310,MATCH(ROWS($A$16:A312),'Прайс-лист'!$U$11:$U$310,0)),"")</f>
        <v/>
      </c>
      <c r="E312" s="59">
        <f>IFERROR(INDEX('Прайс-лист'!$E$11:$E$310,MATCH(ROWS($A$16:A312),'Прайс-лист'!$U$11:$U$310,0)),"")</f>
        <v/>
      </c>
      <c r="F312" s="58">
        <f>IFERROR(INDEX('Прайс-лист'!$F$11:$F$310,MATCH(ROWS($A$16:A312),'Прайс-лист'!$U$11:$U$310,0)),"")</f>
        <v/>
      </c>
      <c r="G312" s="61">
        <f>IFERROR(INDEX('Прайс-лист'!$R$11:$R$310,MATCH(ROWS($A$16:A312),'Прайс-лист'!$U$11:$U$310,0)),"")</f>
        <v/>
      </c>
      <c r="H312" s="60">
        <f>IFERROR(INDEX('Прайс-лист'!$P$11:$P$310,MATCH(ROWS($A$16:A312),'Прайс-лист'!$U$11:$U$310,0)),"")</f>
        <v/>
      </c>
      <c r="I312" s="61">
        <f>IFERROR(INDEX('Прайс-лист'!$S$11:$S$310,MATCH(ROWS($A$16:A312),'Прайс-лист'!$U$11:$U$310,0)),"")</f>
        <v/>
      </c>
      <c r="J312" s="61">
        <f>IFERROR($I312*0.22,"")</f>
        <v/>
      </c>
      <c r="K312" s="61">
        <f>IFERROR($I312+$J312,"")</f>
        <v/>
      </c>
      <c r="L312" s="59">
        <f>IFERROR(INDEX('Прайс-лист'!$Q$11:$Q$310,MATCH(ROWS($A$16:A312),'Прайс-лист'!$U$11:$U$310,0)),"")</f>
        <v/>
      </c>
    </row>
    <row r="313" ht="13.5" customHeight="1" s="49">
      <c r="A313" s="64">
        <f>IFERROR(IF(INDEX('Прайс-лист'!$U$11:$U$310,MATCH(ROWS($A$16:A313),'Прайс-лист'!$U$11:$U$310,0))="","",ROWS($A$16:A313)),"")</f>
        <v/>
      </c>
      <c r="B313" s="58">
        <f>IFERROR(INDEX('Прайс-лист'!$A$11:$A$310,MATCH(ROWS($A$16:A313),'Прайс-лист'!$U$11:$U$310,0)),"")</f>
        <v/>
      </c>
      <c r="C313" s="58">
        <f>IFERROR(INDEX('Прайс-лист'!$B$11:$B$310,MATCH(ROWS($A$16:A313),'Прайс-лист'!$U$11:$U$310,0)),"")</f>
        <v/>
      </c>
      <c r="D313" s="59">
        <f>IFERROR(INDEX('Прайс-лист'!$C$11:$C$310,MATCH(ROWS($A$16:A313),'Прайс-лист'!$U$11:$U$310,0)),"")</f>
        <v/>
      </c>
      <c r="E313" s="59">
        <f>IFERROR(INDEX('Прайс-лист'!$E$11:$E$310,MATCH(ROWS($A$16:A313),'Прайс-лист'!$U$11:$U$310,0)),"")</f>
        <v/>
      </c>
      <c r="F313" s="58">
        <f>IFERROR(INDEX('Прайс-лист'!$F$11:$F$310,MATCH(ROWS($A$16:A313),'Прайс-лист'!$U$11:$U$310,0)),"")</f>
        <v/>
      </c>
      <c r="G313" s="61">
        <f>IFERROR(INDEX('Прайс-лист'!$R$11:$R$310,MATCH(ROWS($A$16:A313),'Прайс-лист'!$U$11:$U$310,0)),"")</f>
        <v/>
      </c>
      <c r="H313" s="60">
        <f>IFERROR(INDEX('Прайс-лист'!$P$11:$P$310,MATCH(ROWS($A$16:A313),'Прайс-лист'!$U$11:$U$310,0)),"")</f>
        <v/>
      </c>
      <c r="I313" s="61">
        <f>IFERROR(INDEX('Прайс-лист'!$S$11:$S$310,MATCH(ROWS($A$16:A313),'Прайс-лист'!$U$11:$U$310,0)),"")</f>
        <v/>
      </c>
      <c r="J313" s="61">
        <f>IFERROR($I313*0.22,"")</f>
        <v/>
      </c>
      <c r="K313" s="61">
        <f>IFERROR($I313+$J313,"")</f>
        <v/>
      </c>
      <c r="L313" s="59">
        <f>IFERROR(INDEX('Прайс-лист'!$Q$11:$Q$310,MATCH(ROWS($A$16:A313),'Прайс-лист'!$U$11:$U$310,0)),"")</f>
        <v/>
      </c>
    </row>
    <row r="314" ht="13.5" customHeight="1" s="49">
      <c r="A314" s="64">
        <f>IFERROR(IF(INDEX('Прайс-лист'!$U$11:$U$310,MATCH(ROWS($A$16:A314),'Прайс-лист'!$U$11:$U$310,0))="","",ROWS($A$16:A314)),"")</f>
        <v/>
      </c>
      <c r="B314" s="58">
        <f>IFERROR(INDEX('Прайс-лист'!$A$11:$A$310,MATCH(ROWS($A$16:A314),'Прайс-лист'!$U$11:$U$310,0)),"")</f>
        <v/>
      </c>
      <c r="C314" s="58">
        <f>IFERROR(INDEX('Прайс-лист'!$B$11:$B$310,MATCH(ROWS($A$16:A314),'Прайс-лист'!$U$11:$U$310,0)),"")</f>
        <v/>
      </c>
      <c r="D314" s="59">
        <f>IFERROR(INDEX('Прайс-лист'!$C$11:$C$310,MATCH(ROWS($A$16:A314),'Прайс-лист'!$U$11:$U$310,0)),"")</f>
        <v/>
      </c>
      <c r="E314" s="59">
        <f>IFERROR(INDEX('Прайс-лист'!$E$11:$E$310,MATCH(ROWS($A$16:A314),'Прайс-лист'!$U$11:$U$310,0)),"")</f>
        <v/>
      </c>
      <c r="F314" s="58">
        <f>IFERROR(INDEX('Прайс-лист'!$F$11:$F$310,MATCH(ROWS($A$16:A314),'Прайс-лист'!$U$11:$U$310,0)),"")</f>
        <v/>
      </c>
      <c r="G314" s="61">
        <f>IFERROR(INDEX('Прайс-лист'!$R$11:$R$310,MATCH(ROWS($A$16:A314),'Прайс-лист'!$U$11:$U$310,0)),"")</f>
        <v/>
      </c>
      <c r="H314" s="60">
        <f>IFERROR(INDEX('Прайс-лист'!$P$11:$P$310,MATCH(ROWS($A$16:A314),'Прайс-лист'!$U$11:$U$310,0)),"")</f>
        <v/>
      </c>
      <c r="I314" s="61">
        <f>IFERROR(INDEX('Прайс-лист'!$S$11:$S$310,MATCH(ROWS($A$16:A314),'Прайс-лист'!$U$11:$U$310,0)),"")</f>
        <v/>
      </c>
      <c r="J314" s="61">
        <f>IFERROR($I314*0.22,"")</f>
        <v/>
      </c>
      <c r="K314" s="61">
        <f>IFERROR($I314+$J314,"")</f>
        <v/>
      </c>
      <c r="L314" s="59">
        <f>IFERROR(INDEX('Прайс-лист'!$Q$11:$Q$310,MATCH(ROWS($A$16:A314),'Прайс-лист'!$U$11:$U$310,0)),"")</f>
        <v/>
      </c>
    </row>
    <row r="315" ht="13.5" customHeight="1" s="49">
      <c r="A315" s="64">
        <f>IFERROR(IF(INDEX('Прайс-лист'!$U$11:$U$310,MATCH(ROWS($A$16:A315),'Прайс-лист'!$U$11:$U$310,0))="","",ROWS($A$16:A315)),"")</f>
        <v/>
      </c>
      <c r="B315" s="58">
        <f>IFERROR(INDEX('Прайс-лист'!$A$11:$A$310,MATCH(ROWS($A$16:A315),'Прайс-лист'!$U$11:$U$310,0)),"")</f>
        <v/>
      </c>
      <c r="C315" s="58">
        <f>IFERROR(INDEX('Прайс-лист'!$B$11:$B$310,MATCH(ROWS($A$16:A315),'Прайс-лист'!$U$11:$U$310,0)),"")</f>
        <v/>
      </c>
      <c r="D315" s="59">
        <f>IFERROR(INDEX('Прайс-лист'!$C$11:$C$310,MATCH(ROWS($A$16:A315),'Прайс-лист'!$U$11:$U$310,0)),"")</f>
        <v/>
      </c>
      <c r="E315" s="59">
        <f>IFERROR(INDEX('Прайс-лист'!$E$11:$E$310,MATCH(ROWS($A$16:A315),'Прайс-лист'!$U$11:$U$310,0)),"")</f>
        <v/>
      </c>
      <c r="F315" s="58">
        <f>IFERROR(INDEX('Прайс-лист'!$F$11:$F$310,MATCH(ROWS($A$16:A315),'Прайс-лист'!$U$11:$U$310,0)),"")</f>
        <v/>
      </c>
      <c r="G315" s="61">
        <f>IFERROR(INDEX('Прайс-лист'!$R$11:$R$310,MATCH(ROWS($A$16:A315),'Прайс-лист'!$U$11:$U$310,0)),"")</f>
        <v/>
      </c>
      <c r="H315" s="60">
        <f>IFERROR(INDEX('Прайс-лист'!$P$11:$P$310,MATCH(ROWS($A$16:A315),'Прайс-лист'!$U$11:$U$310,0)),"")</f>
        <v/>
      </c>
      <c r="I315" s="61">
        <f>IFERROR(INDEX('Прайс-лист'!$S$11:$S$310,MATCH(ROWS($A$16:A315),'Прайс-лист'!$U$11:$U$310,0)),"")</f>
        <v/>
      </c>
      <c r="J315" s="61">
        <f>IFERROR($I315*0.22,"")</f>
        <v/>
      </c>
      <c r="K315" s="61">
        <f>IFERROR($I315+$J315,"")</f>
        <v/>
      </c>
      <c r="L315" s="59">
        <f>IFERROR(INDEX('Прайс-лист'!$Q$11:$Q$310,MATCH(ROWS($A$16:A315),'Прайс-лист'!$U$11:$U$310,0)),"")</f>
        <v/>
      </c>
    </row>
    <row r="316" ht="15" customHeight="1" s="49">
      <c r="A316" s="64" t="n"/>
      <c r="B316" s="58" t="n"/>
      <c r="C316" s="58" t="n"/>
      <c r="D316" s="59" t="n"/>
      <c r="E316" s="59" t="n"/>
      <c r="F316" s="58" t="n"/>
      <c r="G316" s="61" t="n"/>
      <c r="H316" s="60" t="n"/>
      <c r="I316" s="61" t="n"/>
      <c r="J316" s="61">
        <f>IFERROR($I316*0.22,"")</f>
        <v/>
      </c>
      <c r="K316" s="61">
        <f>IFERROR($I316+$J316,"")</f>
        <v/>
      </c>
      <c r="L316" s="59" t="n"/>
    </row>
    <row r="317" ht="13.5" customHeight="1" s="49">
      <c r="A317" s="73" t="inlineStr">
        <is>
          <t>Цены, наличие товара, бонусы и специальные условия подтверждаются менеджером после проверки заказа. Прайс-лист не является публичной офертой.</t>
        </is>
      </c>
    </row>
    <row r="318" ht="13.5" customHeight="1" s="49"/>
  </sheetData>
  <mergeCells count="3">
    <mergeCell ref="A2:L2"/>
    <mergeCell ref="A317:L318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7"/>
  <sheetViews>
    <sheetView showFormulas="0" showGridLines="0" showRowColHeaders="1" showZeros="1" rightToLeft="0" tabSelected="0" showOutlineSymbols="1" defaultGridColor="1" view="normal" topLeftCell="A3" colorId="64" zoomScale="106" zoomScaleNormal="106" zoomScalePageLayoutView="100" workbookViewId="0">
      <selection pane="topLeft" activeCell="A62" activeCellId="0" sqref="A62"/>
    </sheetView>
  </sheetViews>
  <sheetFormatPr baseColWidth="8" defaultColWidth="8.66796875" defaultRowHeight="15" zeroHeight="0" outlineLevelRow="0"/>
  <cols>
    <col width="28" customWidth="1" style="48" min="1" max="1"/>
    <col width="36" customWidth="1" style="48" min="2" max="2"/>
    <col width="44" customWidth="1" style="48" min="3" max="3"/>
    <col width="30" customWidth="1" style="48" min="4" max="4"/>
    <col width="4" customWidth="1" style="48" min="5" max="5"/>
  </cols>
  <sheetData>
    <row r="1" ht="30" customHeight="1" s="49">
      <c r="A1" s="74" t="inlineStr">
        <is>
          <t>Партнерская программа регулярных закупок ПЧК</t>
        </is>
      </c>
      <c r="E1" s="75" t="n"/>
      <c r="F1" s="75" t="n"/>
    </row>
    <row r="2" ht="25.5" customHeight="1" s="49">
      <c r="A2" s="76" t="inlineStr">
        <is>
          <t>Больше регулярности — больше партнерских преимуществ</t>
        </is>
      </c>
      <c r="E2" s="76" t="n"/>
      <c r="F2" s="76" t="n"/>
    </row>
    <row r="3" ht="39.75" customHeight="1" s="49">
      <c r="A3" s="77" t="inlineStr">
        <is>
          <t>Мы обновили подход к работе с B2B-клиентами. Условия зависят от суммы заказа, регулярности закупок, роста объема, ширины ассортимента и платежной дисциплины.</t>
        </is>
      </c>
      <c r="E3" s="78" t="n"/>
      <c r="F3" s="78" t="n"/>
    </row>
    <row r="4" ht="24" customHeight="1" s="49">
      <c r="A4" s="79" t="n"/>
      <c r="B4" s="79" t="n"/>
      <c r="C4" s="79" t="n"/>
      <c r="D4" s="79" t="n"/>
      <c r="E4" s="79" t="n"/>
      <c r="F4" s="79" t="n"/>
    </row>
    <row r="5" ht="24" customHeight="1" s="49">
      <c r="A5" s="80" t="inlineStr">
        <is>
          <t>1. Ценовые уровни</t>
        </is>
      </c>
      <c r="E5" s="81" t="n"/>
      <c r="F5" s="81" t="n"/>
    </row>
    <row r="6" ht="24" customFormat="1" customHeight="1" s="82">
      <c r="A6" s="83" t="inlineStr">
        <is>
          <t>Уровень</t>
        </is>
      </c>
      <c r="B6" s="83" t="inlineStr">
        <is>
          <t>Сумма заказа без НДС</t>
        </is>
      </c>
      <c r="C6" s="83" t="inlineStr">
        <is>
          <t>Что означает</t>
        </is>
      </c>
      <c r="D6" s="83" t="inlineStr">
        <is>
          <t>Индивидуальные условия</t>
        </is>
      </c>
      <c r="E6" s="83" t="n"/>
      <c r="F6" s="83" t="n"/>
    </row>
    <row r="7" ht="24" customFormat="1" customHeight="1" s="82">
      <c r="A7" s="84" t="inlineStr">
        <is>
          <t>Базовый</t>
        </is>
      </c>
      <c r="B7" s="84" t="inlineStr">
        <is>
          <t>от 15 000 до 50 000 ₽</t>
        </is>
      </c>
      <c r="C7" s="84" t="inlineStr">
        <is>
          <t>стартовый заказ, базовые условия</t>
        </is>
      </c>
      <c r="D7" s="58" t="inlineStr">
        <is>
          <t>нет</t>
        </is>
      </c>
      <c r="E7" s="84" t="n"/>
      <c r="F7" s="84" t="n"/>
    </row>
    <row r="8" ht="24" customFormat="1" customHeight="1" s="82">
      <c r="A8" s="84" t="inlineStr">
        <is>
          <t>Опт</t>
        </is>
      </c>
      <c r="B8" s="84" t="inlineStr">
        <is>
          <t>от 50 000 ₽</t>
        </is>
      </c>
      <c r="C8" s="84" t="inlineStr">
        <is>
          <t>стандартный оптовый уровень</t>
        </is>
      </c>
      <c r="D8" s="58" t="inlineStr">
        <is>
          <t>нет</t>
        </is>
      </c>
      <c r="E8" s="84" t="n"/>
      <c r="F8" s="84" t="n"/>
    </row>
    <row r="9" ht="24" customFormat="1" customHeight="1" s="82">
      <c r="A9" s="84" t="inlineStr">
        <is>
          <t>Опт+</t>
        </is>
      </c>
      <c r="B9" s="84" t="inlineStr">
        <is>
          <t>от 150 000 ₽</t>
        </is>
      </c>
      <c r="C9" s="84" t="inlineStr">
        <is>
          <t>улучшенный уровень для увеличенного заказа</t>
        </is>
      </c>
      <c r="D9" s="58" t="inlineStr">
        <is>
          <t>только как исключение</t>
        </is>
      </c>
      <c r="E9" s="84" t="n"/>
      <c r="F9" s="84" t="n"/>
    </row>
    <row r="10" ht="24" customFormat="1" customHeight="1" s="82">
      <c r="A10" s="84" t="inlineStr">
        <is>
          <t>Партнер</t>
        </is>
      </c>
      <c r="B10" s="84" t="inlineStr">
        <is>
          <t>от 300 000 ₽</t>
        </is>
      </c>
      <c r="C10" s="84" t="inlineStr">
        <is>
          <t>расширенные партнерские преимущества</t>
        </is>
      </c>
      <c r="D10" s="58" t="inlineStr">
        <is>
          <t>частично возможны</t>
        </is>
      </c>
      <c r="E10" s="84" t="n"/>
      <c r="F10" s="84" t="n"/>
    </row>
    <row r="11" ht="28.5" customFormat="1" customHeight="1" s="82">
      <c r="A11" s="84" t="inlineStr">
        <is>
          <t>Ключевой партнер</t>
        </is>
      </c>
      <c r="B11" s="84" t="inlineStr">
        <is>
          <t>от 500 000 ₽</t>
        </is>
      </c>
      <c r="C11" s="84" t="inlineStr">
        <is>
          <t>индивидуальные условия и возможность ретробонуса</t>
        </is>
      </c>
      <c r="D11" s="58" t="inlineStr">
        <is>
          <t>да</t>
        </is>
      </c>
      <c r="E11" s="84" t="n"/>
      <c r="F11" s="84" t="n"/>
    </row>
    <row r="12" ht="24" customHeight="1" s="49">
      <c r="A12" s="79" t="n"/>
      <c r="B12" s="79" t="n"/>
      <c r="C12" s="79" t="n"/>
      <c r="D12" s="79" t="n"/>
      <c r="E12" s="79" t="n"/>
      <c r="F12" s="79" t="n"/>
    </row>
    <row r="13" ht="24" customHeight="1" s="49">
      <c r="A13" s="80" t="inlineStr">
        <is>
          <t>2. Как получить больше преимуществ</t>
        </is>
      </c>
      <c r="E13" s="81" t="n"/>
      <c r="F13" s="81" t="n"/>
    </row>
    <row r="14" ht="24" customHeight="1" s="49">
      <c r="A14" s="83" t="inlineStr">
        <is>
          <t>Механика</t>
        </is>
      </c>
      <c r="B14" s="83" t="inlineStr">
        <is>
          <t>Что нужно сделать</t>
        </is>
      </c>
      <c r="C14" s="83" t="inlineStr">
        <is>
          <t>Что может получить клиент</t>
        </is>
      </c>
      <c r="D14" s="83" t="inlineStr">
        <is>
          <t>Комментарий</t>
        </is>
      </c>
      <c r="E14" s="85" t="n"/>
      <c r="F14" s="85" t="n"/>
    </row>
    <row r="15" ht="30" customHeight="1" s="49">
      <c r="A15" s="84" t="inlineStr">
        <is>
          <t>Ценовые уровни</t>
        </is>
      </c>
      <c r="B15" s="84" t="inlineStr">
        <is>
          <t>увеличить сумму заказа</t>
        </is>
      </c>
      <c r="C15" s="84" t="inlineStr">
        <is>
          <t>перейти на более выгодный уровень</t>
        </is>
      </c>
      <c r="D15" s="84" t="inlineStr">
        <is>
          <t>уровень считается от суммы без НДС</t>
        </is>
      </c>
      <c r="E15" s="79" t="n"/>
      <c r="F15" s="79" t="n"/>
    </row>
    <row r="16" ht="30" customHeight="1" s="49">
      <c r="A16" s="84" t="inlineStr">
        <is>
          <t>Бонус за регулярность</t>
        </is>
      </c>
      <c r="B16" s="84" t="inlineStr">
        <is>
          <t>закупать каждый месяц</t>
        </is>
      </c>
      <c r="C16" s="84" t="inlineStr">
        <is>
          <t>товарный бонус на следующий заказ</t>
        </is>
      </c>
      <c r="D16" s="84" t="inlineStr">
        <is>
          <t>регулярность считается от 15 000 ₽ без НДС</t>
        </is>
      </c>
      <c r="E16" s="79" t="n"/>
      <c r="F16" s="79" t="n"/>
    </row>
    <row r="17" ht="24" customHeight="1" s="49">
      <c r="A17" s="84" t="inlineStr">
        <is>
          <t>Бонус за рост заказа</t>
        </is>
      </c>
      <c r="B17" s="84" t="inlineStr">
        <is>
          <t>увеличить сумму к прошлому заказу</t>
        </is>
      </c>
      <c r="C17" s="84" t="inlineStr">
        <is>
          <t>дополнительный товарный бонус</t>
        </is>
      </c>
      <c r="D17" s="84" t="inlineStr">
        <is>
          <t>расчет подтверждает менеджер</t>
        </is>
      </c>
      <c r="E17" s="79" t="n"/>
      <c r="F17" s="79" t="n"/>
    </row>
    <row r="18" ht="24" customHeight="1" s="49">
      <c r="A18" s="84" t="inlineStr">
        <is>
          <t>Бонус за ширину ассортимента</t>
        </is>
      </c>
      <c r="B18" s="84" t="inlineStr">
        <is>
          <t>добавить больше SKU в заказ</t>
        </is>
      </c>
      <c r="C18" s="84" t="inlineStr">
        <is>
          <t>образцы, бонусные позиции, расширенные условия</t>
        </is>
      </c>
      <c r="D18" s="84" t="inlineStr">
        <is>
          <t>бонусы не автоматические</t>
        </is>
      </c>
      <c r="E18" s="79" t="n"/>
      <c r="F18" s="79" t="n"/>
    </row>
    <row r="19" ht="30.75" customHeight="1" s="49">
      <c r="A19" s="84" t="inlineStr">
        <is>
          <t>Ретробонус</t>
        </is>
      </c>
      <c r="B19" s="84" t="inlineStr">
        <is>
          <t>выполнять согласованный план закупок</t>
        </is>
      </c>
      <c r="C19" s="84" t="inlineStr">
        <is>
          <t>бонус по итогам месяца или квартала</t>
        </is>
      </c>
      <c r="D19" s="84" t="inlineStr">
        <is>
          <t>для Партнера и Ключевого партнера</t>
        </is>
      </c>
      <c r="E19" s="79" t="n"/>
      <c r="F19" s="79" t="n"/>
    </row>
    <row r="20" ht="24" customHeight="1" s="49">
      <c r="A20" s="79" t="n"/>
      <c r="B20" s="79" t="n"/>
      <c r="C20" s="79" t="n"/>
      <c r="D20" s="79" t="n"/>
      <c r="E20" s="79" t="n"/>
      <c r="F20" s="79" t="n"/>
    </row>
    <row r="21" ht="24" customHeight="1" s="49">
      <c r="A21" s="80" t="inlineStr">
        <is>
          <t>3. Бонус за регулярность</t>
        </is>
      </c>
      <c r="E21" s="81" t="n"/>
      <c r="F21" s="81" t="n"/>
    </row>
    <row r="22" ht="24" customFormat="1" customHeight="1" s="82">
      <c r="A22" s="83" t="inlineStr">
        <is>
          <t>Регулярность закупок</t>
        </is>
      </c>
      <c r="B22" s="83" t="inlineStr">
        <is>
          <t>Возможное преимущество</t>
        </is>
      </c>
      <c r="C22" s="83" t="inlineStr">
        <is>
          <t>Уточнение</t>
        </is>
      </c>
      <c r="D22" s="83" t="n"/>
      <c r="E22" s="83" t="n"/>
      <c r="F22" s="83" t="n"/>
    </row>
    <row r="23" ht="30" customFormat="1" customHeight="1" s="82">
      <c r="A23" s="84" t="inlineStr">
        <is>
          <t>2 месяца подряд</t>
        </is>
      </c>
      <c r="B23" s="84" t="inlineStr">
        <is>
          <t>образцы новинок или небольшой товарный бонус в следующий заказ</t>
        </is>
      </c>
      <c r="C23" s="58" t="inlineStr">
        <is>
          <t>заказы от 15 000 ₽ без НДС</t>
        </is>
      </c>
      <c r="D23" s="84" t="n"/>
      <c r="E23" s="84" t="n"/>
      <c r="F23" s="84" t="n"/>
    </row>
    <row r="24" ht="27.75" customFormat="1" customHeight="1" s="82">
      <c r="A24" s="84" t="inlineStr">
        <is>
          <t>3 месяца подряд</t>
        </is>
      </c>
      <c r="B24" s="84" t="inlineStr">
        <is>
          <t>повышенный товарный бонус в следующий заказ</t>
        </is>
      </c>
      <c r="C24" s="58" t="inlineStr">
        <is>
          <t>при отсутствии просрочки</t>
        </is>
      </c>
      <c r="D24" s="84" t="n"/>
      <c r="E24" s="84" t="n"/>
      <c r="F24" s="84" t="n"/>
    </row>
    <row r="25" ht="27" customFormat="1" customHeight="1" s="82">
      <c r="A25" s="84" t="inlineStr">
        <is>
          <t>6 месяцев подряд</t>
        </is>
      </c>
      <c r="B25" s="84" t="inlineStr">
        <is>
          <t>возможность индивидуальных условий и участия в ретробонусной программе</t>
        </is>
      </c>
      <c r="C25" s="58" t="inlineStr">
        <is>
          <t>согласуется индивидуально</t>
        </is>
      </c>
      <c r="D25" s="84" t="n"/>
      <c r="E25" s="84" t="n"/>
      <c r="F25" s="84" t="n"/>
    </row>
    <row r="26" ht="24" customHeight="1" s="49">
      <c r="A26" s="84" t="n"/>
      <c r="B26" s="84" t="n"/>
      <c r="C26" s="84" t="n"/>
      <c r="D26" s="84" t="n"/>
      <c r="E26" s="79" t="n"/>
      <c r="F26" s="79" t="n"/>
    </row>
    <row r="27" ht="24" customHeight="1" s="49">
      <c r="A27" s="80" t="inlineStr">
        <is>
          <t>4. Бонус за рост заказа</t>
        </is>
      </c>
      <c r="E27" s="81" t="n"/>
      <c r="F27" s="81" t="n"/>
    </row>
    <row r="28" ht="24" customFormat="1" customHeight="1" s="82">
      <c r="A28" s="83" t="inlineStr">
        <is>
          <t>Рост к предыдущему заказу</t>
        </is>
      </c>
      <c r="B28" s="83" t="inlineStr">
        <is>
          <t>Возможное преимущество</t>
        </is>
      </c>
      <c r="C28" s="83" t="inlineStr">
        <is>
          <t>Защита от некорректного расчета</t>
        </is>
      </c>
      <c r="D28" s="83" t="n"/>
      <c r="E28" s="83" t="n"/>
      <c r="F28" s="83" t="n"/>
    </row>
    <row r="29" ht="24" customFormat="1" customHeight="1" s="82">
      <c r="A29" s="84" t="inlineStr">
        <is>
          <t>рост 15%</t>
        </is>
      </c>
      <c r="B29" s="86" t="inlineStr">
        <is>
          <t>+2% товарный бонус</t>
        </is>
      </c>
      <c r="C29" s="84" t="inlineStr">
        <is>
          <t>сравнение с предыдущей сопоставимой закупкой</t>
        </is>
      </c>
      <c r="D29" s="84" t="n"/>
      <c r="E29" s="84" t="n"/>
      <c r="F29" s="84" t="n"/>
    </row>
    <row r="30" ht="24" customFormat="1" customHeight="1" s="82">
      <c r="A30" s="84" t="inlineStr">
        <is>
          <t>рост 25%</t>
        </is>
      </c>
      <c r="B30" s="86" t="inlineStr">
        <is>
          <t>+3% товарный бонус</t>
        </is>
      </c>
      <c r="C30" s="84" t="inlineStr">
        <is>
          <t>условия подтверждает менеджер</t>
        </is>
      </c>
      <c r="D30" s="84" t="n"/>
      <c r="E30" s="84" t="n"/>
      <c r="F30" s="84" t="n"/>
    </row>
    <row r="31" ht="28.5" customFormat="1" customHeight="1" s="82">
      <c r="A31" s="84" t="inlineStr">
        <is>
          <t>рост 40%+</t>
        </is>
      </c>
      <c r="B31" s="84" t="inlineStr">
        <is>
          <t>индивидуальный бонус или расширенные условия</t>
        </is>
      </c>
      <c r="C31" s="86" t="inlineStr">
        <is>
          <t>исключается сравнение со случайно малым заказом</t>
        </is>
      </c>
      <c r="D31" s="84" t="n"/>
      <c r="E31" s="84" t="n"/>
      <c r="F31" s="84" t="n"/>
    </row>
    <row r="32" ht="24" customHeight="1" s="49">
      <c r="A32" s="79" t="n"/>
      <c r="B32" s="79" t="n"/>
      <c r="C32" s="79" t="n"/>
      <c r="D32" s="79" t="n"/>
      <c r="E32" s="79" t="n"/>
      <c r="F32" s="79" t="n"/>
    </row>
    <row r="33" ht="24" customHeight="1" s="49">
      <c r="A33" s="80" t="inlineStr">
        <is>
          <t>5. Бонус за ширину ассортимента</t>
        </is>
      </c>
      <c r="E33" s="81" t="n"/>
      <c r="F33" s="81" t="n"/>
    </row>
    <row r="34" ht="24" customHeight="1" s="49">
      <c r="A34" s="83" t="inlineStr">
        <is>
          <t>Количество SKU в заказе</t>
        </is>
      </c>
      <c r="B34" s="83" t="inlineStr">
        <is>
          <t>Возможное преимущество</t>
        </is>
      </c>
      <c r="C34" s="83" t="inlineStr">
        <is>
          <t>Коммерческий смысл</t>
        </is>
      </c>
      <c r="D34" s="83" t="n"/>
      <c r="E34" s="83" t="n"/>
      <c r="F34" s="83" t="n"/>
    </row>
    <row r="35" ht="24" customHeight="1" s="49">
      <c r="A35" s="59" t="inlineStr">
        <is>
          <t>от 10 SKU</t>
        </is>
      </c>
      <c r="B35" s="59" t="inlineStr">
        <is>
          <t>образцы новинок для тестирования</t>
        </is>
      </c>
      <c r="C35" s="87" t="inlineStr">
        <is>
          <t xml:space="preserve"> расширяем будущую закупку</t>
        </is>
      </c>
      <c r="D35" s="79" t="n"/>
      <c r="E35" s="79" t="n"/>
      <c r="F35" s="79" t="n"/>
    </row>
    <row r="36" ht="31.5" customHeight="1" s="49">
      <c r="A36" s="59" t="inlineStr">
        <is>
          <t>от 20 SKU</t>
        </is>
      </c>
      <c r="B36" s="87" t="inlineStr">
        <is>
          <t>товарный бонус (+2-3% от суммы заказа) или расширенный набор образцов</t>
        </is>
      </c>
      <c r="C36" s="87" t="inlineStr">
        <is>
          <t xml:space="preserve">увеличивает долю ПЧК в ассортименте </t>
        </is>
      </c>
      <c r="D36" s="79" t="n"/>
      <c r="E36" s="79" t="n"/>
      <c r="F36" s="79" t="n"/>
    </row>
    <row r="37" ht="31.5" customHeight="1" s="49">
      <c r="A37" s="59" t="inlineStr">
        <is>
          <t>от 30 SKU</t>
        </is>
      </c>
      <c r="B37" s="87" t="inlineStr">
        <is>
          <t>повышенный товарный бонус (+4% от суммы заказа) или индивидуальное условие</t>
        </is>
      </c>
      <c r="C37" s="87" t="inlineStr">
        <is>
          <t>широкая матрица - залог хороших продаж</t>
        </is>
      </c>
      <c r="D37" s="79" t="n"/>
      <c r="E37" s="79" t="n"/>
      <c r="F37" s="79" t="n"/>
    </row>
    <row r="38" ht="24" customHeight="1" s="49">
      <c r="A38" s="79" t="n"/>
      <c r="B38" s="79" t="n"/>
      <c r="C38" s="79" t="n"/>
      <c r="D38" s="79" t="n"/>
      <c r="E38" s="79" t="n"/>
      <c r="F38" s="79" t="n"/>
    </row>
    <row r="39" ht="24" customFormat="1" customHeight="1" s="82">
      <c r="A39" s="80" t="inlineStr">
        <is>
          <t>6. Ретробонус</t>
        </is>
      </c>
      <c r="E39" s="80" t="n"/>
      <c r="F39" s="80" t="n"/>
    </row>
    <row r="40" ht="24" customFormat="1" customHeight="1" s="82">
      <c r="A40" s="83" t="inlineStr">
        <is>
          <t>Уровень клиента</t>
        </is>
      </c>
      <c r="B40" s="83" t="inlineStr">
        <is>
          <t>Ретробонус</t>
        </is>
      </c>
      <c r="C40" s="83" t="inlineStr">
        <is>
          <t>Комментарий</t>
        </is>
      </c>
      <c r="D40" s="83" t="n"/>
      <c r="E40" s="83" t="n"/>
      <c r="F40" s="83" t="n"/>
    </row>
    <row r="41" ht="24" customFormat="1" customHeight="1" s="82">
      <c r="A41" s="84" t="inlineStr">
        <is>
          <t>Базовый</t>
        </is>
      </c>
      <c r="B41" s="84" t="inlineStr">
        <is>
          <t>не применяется</t>
        </is>
      </c>
      <c r="C41" s="84" t="inlineStr">
        <is>
          <t>стартовый уровень</t>
        </is>
      </c>
      <c r="D41" s="84" t="n"/>
      <c r="E41" s="84" t="n"/>
      <c r="F41" s="84" t="n"/>
    </row>
    <row r="42" ht="24" customFormat="1" customHeight="1" s="82">
      <c r="A42" s="84" t="inlineStr">
        <is>
          <t>Опт</t>
        </is>
      </c>
      <c r="B42" s="84" t="inlineStr">
        <is>
          <t>не применяется</t>
        </is>
      </c>
      <c r="C42" s="84" t="inlineStr">
        <is>
          <t>стандартный опт</t>
        </is>
      </c>
      <c r="D42" s="84" t="n"/>
      <c r="E42" s="84" t="n"/>
      <c r="F42" s="84" t="n"/>
    </row>
    <row r="43" ht="24" customFormat="1" customHeight="1" s="82">
      <c r="A43" s="84" t="inlineStr">
        <is>
          <t>Опт+</t>
        </is>
      </c>
      <c r="B43" s="84" t="inlineStr">
        <is>
          <t>возможен только как исключение</t>
        </is>
      </c>
      <c r="C43" s="84" t="inlineStr">
        <is>
          <t>по решению руководителя</t>
        </is>
      </c>
      <c r="D43" s="84" t="n"/>
      <c r="E43" s="84" t="n"/>
      <c r="F43" s="84" t="n"/>
    </row>
    <row r="44" ht="24" customFormat="1" customHeight="1" s="82">
      <c r="A44" s="84" t="inlineStr">
        <is>
          <t>Партнер</t>
        </is>
      </c>
      <c r="B44" s="84" t="inlineStr">
        <is>
          <t>может быть согласован по итогам периода</t>
        </is>
      </c>
      <c r="C44" s="84" t="inlineStr">
        <is>
          <t>месяц или квартал</t>
        </is>
      </c>
      <c r="D44" s="84" t="n"/>
      <c r="E44" s="84" t="n"/>
      <c r="F44" s="84" t="n"/>
    </row>
    <row r="45" ht="24" customFormat="1" customHeight="1" s="82">
      <c r="A45" s="84" t="inlineStr">
        <is>
          <t>Ключевой партнер</t>
        </is>
      </c>
      <c r="B45" s="84" t="inlineStr">
        <is>
          <t>может быть согласован индивидуально</t>
        </is>
      </c>
      <c r="C45" s="84" t="inlineStr">
        <is>
          <t>при регулярности и платежной дисциплине</t>
        </is>
      </c>
      <c r="D45" s="84" t="n"/>
      <c r="E45" s="84" t="n"/>
      <c r="F45" s="84" t="n"/>
    </row>
    <row r="46" ht="24" customHeight="1" s="49">
      <c r="A46" s="79" t="n"/>
      <c r="B46" s="79" t="n"/>
      <c r="C46" s="79" t="n"/>
      <c r="D46" s="79" t="n"/>
      <c r="E46" s="79" t="n"/>
      <c r="F46" s="79" t="n"/>
    </row>
    <row r="47" ht="24" customFormat="1" customHeight="1" s="82">
      <c r="A47" s="80" t="inlineStr">
        <is>
          <t>7. Образцы и новинки</t>
        </is>
      </c>
      <c r="E47" s="80" t="n"/>
      <c r="F47" s="80" t="n"/>
    </row>
    <row r="48" ht="24" customFormat="1" customHeight="1" s="82">
      <c r="A48" s="83" t="inlineStr">
        <is>
          <t>Основание</t>
        </is>
      </c>
      <c r="B48" s="83" t="inlineStr">
        <is>
          <t>Возможное преимущество</t>
        </is>
      </c>
      <c r="C48" s="83" t="inlineStr">
        <is>
          <t>Комментарий</t>
        </is>
      </c>
      <c r="D48" s="83" t="n"/>
      <c r="E48" s="83" t="n"/>
      <c r="F48" s="83" t="n"/>
    </row>
    <row r="49" ht="24" customFormat="1" customHeight="1" s="82">
      <c r="A49" s="84" t="inlineStr">
        <is>
          <t>заказ от уровня Опт+</t>
        </is>
      </c>
      <c r="B49" s="84" t="inlineStr">
        <is>
          <t>образцы новинок</t>
        </is>
      </c>
      <c r="C49" s="84" t="inlineStr">
        <is>
          <t>по согласованию с менеджером</t>
        </is>
      </c>
      <c r="D49" s="84" t="n"/>
      <c r="E49" s="84" t="n"/>
      <c r="F49" s="84" t="n"/>
    </row>
    <row r="50" ht="24" customFormat="1" customHeight="1" s="82">
      <c r="A50" s="84" t="inlineStr">
        <is>
          <t>расширение ассортимента</t>
        </is>
      </c>
      <c r="B50" s="84" t="inlineStr">
        <is>
          <t>дегустационный набор</t>
        </is>
      </c>
      <c r="C50" s="84" t="inlineStr">
        <is>
          <t>под профиль клиента</t>
        </is>
      </c>
      <c r="D50" s="84" t="n"/>
      <c r="E50" s="84" t="n"/>
      <c r="F50" s="84" t="n"/>
    </row>
    <row r="51" ht="24" customFormat="1" customHeight="1" s="82">
      <c r="A51" s="84" t="inlineStr">
        <is>
          <t>регулярные закупки</t>
        </is>
      </c>
      <c r="B51" s="84" t="inlineStr">
        <is>
          <t>ранний доступ к новым позициям</t>
        </is>
      </c>
      <c r="C51" s="84" t="inlineStr">
        <is>
          <t>не является обязательным бонусом</t>
        </is>
      </c>
      <c r="D51" s="84" t="n"/>
      <c r="E51" s="84" t="n"/>
      <c r="F51" s="84" t="n"/>
    </row>
    <row r="52" ht="24" customFormat="1" customHeight="1" s="82">
      <c r="A52" s="84" t="inlineStr">
        <is>
          <t>крупный заказ</t>
        </is>
      </c>
      <c r="B52" s="84" t="inlineStr">
        <is>
          <t>индивидуальная подборка образцов</t>
        </is>
      </c>
      <c r="C52" s="84" t="inlineStr">
        <is>
          <t>с учетом задач клиента</t>
        </is>
      </c>
      <c r="D52" s="84" t="n"/>
      <c r="E52" s="84" t="n"/>
      <c r="F52" s="84" t="n"/>
    </row>
    <row r="53" ht="24" customHeight="1" s="49">
      <c r="A53" s="80" t="inlineStr">
        <is>
          <t>8. Ограничения программы</t>
        </is>
      </c>
      <c r="E53" s="81" t="n"/>
      <c r="F53" s="81" t="n"/>
    </row>
    <row r="54" ht="24" customHeight="1" s="49">
      <c r="A54" s="83" t="inlineStr">
        <is>
          <t>Условие</t>
        </is>
      </c>
      <c r="B54" s="83" t="inlineStr">
        <is>
          <t>Правило</t>
        </is>
      </c>
      <c r="C54" s="83" t="inlineStr">
        <is>
          <t>Комментарий</t>
        </is>
      </c>
      <c r="D54" s="83" t="n"/>
      <c r="E54" s="83" t="n"/>
      <c r="F54" s="83" t="n"/>
    </row>
    <row r="55" ht="36" customHeight="1" s="49">
      <c r="A55" s="84" t="inlineStr">
        <is>
          <t>есть просроченная задолженность</t>
        </is>
      </c>
      <c r="B55" s="84" t="inlineStr">
        <is>
          <t>бонусы и специальные условия не применяются</t>
        </is>
      </c>
      <c r="C55" s="84" t="inlineStr">
        <is>
          <t>до полного закрытия долга</t>
        </is>
      </c>
      <c r="D55" s="79" t="n"/>
      <c r="E55" s="79" t="n"/>
      <c r="F55" s="79" t="n"/>
    </row>
    <row r="56" ht="24" customHeight="1" s="49">
      <c r="A56" s="84" t="inlineStr">
        <is>
          <t>предоставлена отсрочка платежа</t>
        </is>
      </c>
      <c r="B56" s="84" t="inlineStr">
        <is>
          <t>бонусы могут быть ограничены</t>
        </is>
      </c>
      <c r="C56" s="84" t="inlineStr">
        <is>
          <t>согласуется индивидуально</t>
        </is>
      </c>
      <c r="D56" s="79" t="n"/>
      <c r="E56" s="79" t="n"/>
      <c r="F56" s="79" t="n"/>
    </row>
    <row r="57" ht="30.75" customHeight="1" s="49">
      <c r="A57" s="84" t="inlineStr">
        <is>
          <t>специальная цена</t>
        </is>
      </c>
      <c r="B57" s="84" t="inlineStr">
        <is>
          <t>дополнительные бонусы согласуются отдельно</t>
        </is>
      </c>
      <c r="C57" s="84" t="inlineStr">
        <is>
          <t>без автоматического суммирования</t>
        </is>
      </c>
      <c r="D57" s="79" t="n"/>
      <c r="E57" s="79" t="n"/>
      <c r="F57" s="79" t="n"/>
    </row>
    <row r="58" ht="30.75" customHeight="1" s="49">
      <c r="A58" s="84" t="inlineStr">
        <is>
          <t>акционная или распродажная позиция</t>
        </is>
      </c>
      <c r="B58" s="84" t="inlineStr">
        <is>
          <t>бонусы могут не применяться</t>
        </is>
      </c>
      <c r="C58" s="84" t="inlineStr">
        <is>
          <t>по решению менеджера</t>
        </is>
      </c>
      <c r="D58" s="79" t="n"/>
      <c r="E58" s="79" t="n"/>
      <c r="F58" s="79" t="n"/>
    </row>
    <row r="59" ht="24" customHeight="1" s="49">
      <c r="A59" s="84" t="inlineStr">
        <is>
          <t>индивидуальные условия</t>
        </is>
      </c>
      <c r="B59" s="84" t="inlineStr">
        <is>
          <t>финально подтверждаются менеджером</t>
        </is>
      </c>
      <c r="C59" s="84" t="inlineStr">
        <is>
          <t>после проверки заказа</t>
        </is>
      </c>
      <c r="D59" s="79" t="n"/>
      <c r="E59" s="79" t="n"/>
      <c r="F59" s="79" t="n"/>
    </row>
    <row r="60" ht="24" customHeight="1" s="49">
      <c r="A60" s="80" t="inlineStr">
        <is>
          <t>9. Как воспользоваться программой</t>
        </is>
      </c>
      <c r="E60" s="81" t="n"/>
      <c r="F60" s="81" t="n"/>
    </row>
    <row r="61" ht="24" customHeight="1" s="49">
      <c r="A61" s="83" t="inlineStr">
        <is>
          <t>Шаг</t>
        </is>
      </c>
      <c r="B61" s="83" t="inlineStr">
        <is>
          <t>Действие</t>
        </is>
      </c>
      <c r="C61" s="83" t="inlineStr">
        <is>
          <t>Результат</t>
        </is>
      </c>
      <c r="D61" s="83" t="n"/>
      <c r="E61" s="83" t="n"/>
      <c r="F61" s="83" t="n"/>
    </row>
    <row r="62" ht="30.75" customHeight="1" s="49">
      <c r="A62" s="58" t="inlineStr">
        <is>
          <t>1</t>
        </is>
      </c>
      <c r="B62" s="84" t="inlineStr">
        <is>
          <t>Укажите количество на листе «Прайс-лист»</t>
        </is>
      </c>
      <c r="C62" s="84" t="inlineStr">
        <is>
          <t>бланк заказа соберется автоматически</t>
        </is>
      </c>
      <c r="D62" s="79" t="n"/>
      <c r="E62" s="79" t="n"/>
      <c r="F62" s="79" t="n"/>
    </row>
    <row r="63" ht="31.5" customHeight="1" s="49">
      <c r="A63" s="58" t="inlineStr">
        <is>
          <t>2</t>
        </is>
      </c>
      <c r="B63" s="84" t="inlineStr">
        <is>
          <t>Проверьте сумму и предварительный уровень</t>
        </is>
      </c>
      <c r="C63" s="84" t="inlineStr">
        <is>
          <t>будет виден добор до следующего уровня</t>
        </is>
      </c>
      <c r="D63" s="79" t="n"/>
      <c r="E63" s="79" t="n"/>
      <c r="F63" s="79" t="n"/>
    </row>
    <row r="64" ht="24" customHeight="1" s="49">
      <c r="A64" s="58" t="inlineStr">
        <is>
          <t>3</t>
        </is>
      </c>
      <c r="B64" s="84" t="inlineStr">
        <is>
          <t>Отправьте файл менеджеру</t>
        </is>
      </c>
      <c r="C64" s="84" t="inlineStr">
        <is>
          <t>менеджер проверит наличие, цены и бонусы</t>
        </is>
      </c>
      <c r="D64" s="79" t="n"/>
      <c r="E64" s="79" t="n"/>
      <c r="F64" s="79" t="n"/>
    </row>
    <row r="65" ht="24" customHeight="1" s="49">
      <c r="A65" s="58" t="inlineStr">
        <is>
          <t>4</t>
        </is>
      </c>
      <c r="B65" s="84" t="inlineStr">
        <is>
          <t>Согласуйте регулярный формат закупок</t>
        </is>
      </c>
      <c r="C65" s="84" t="inlineStr">
        <is>
          <t>можно получить больше партнерских преимуществ</t>
        </is>
      </c>
      <c r="D65" s="79" t="n"/>
      <c r="E65" s="79" t="n"/>
      <c r="F65" s="79" t="n"/>
    </row>
    <row r="66" ht="24" customHeight="1" s="49">
      <c r="A66" s="79" t="n"/>
      <c r="B66" s="79" t="n"/>
      <c r="C66" s="79" t="n"/>
      <c r="D66" s="79" t="n"/>
      <c r="E66" s="79" t="n"/>
      <c r="F66" s="79" t="n"/>
    </row>
    <row r="67" ht="39.75" customHeight="1" s="49">
      <c r="A67" s="88" t="inlineStr">
        <is>
          <t>Хотите получать больше преимуществ от регулярных закупок? Заполните заказ или напишите менеджеру — мы рассчитаем ваш уровень, возможные бонусы и условия следующей закупки.</t>
        </is>
      </c>
      <c r="E67" s="79" t="n"/>
      <c r="F67" s="79" t="n"/>
    </row>
  </sheetData>
  <mergeCells count="13">
    <mergeCell ref="A1:D1"/>
    <mergeCell ref="A5:D5"/>
    <mergeCell ref="A67:D67"/>
    <mergeCell ref="A27:D27"/>
    <mergeCell ref="A53:D53"/>
    <mergeCell ref="A3:D3"/>
    <mergeCell ref="A21:D21"/>
    <mergeCell ref="A39:D39"/>
    <mergeCell ref="A2:D2"/>
    <mergeCell ref="A33:D33"/>
    <mergeCell ref="A47:D47"/>
    <mergeCell ref="A60:D60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0"/>
  <sheetViews>
    <sheetView showFormulas="0" showGridLines="1" showRowColHeaders="1" showZeros="1" rightToLeft="0" tabSelected="0" showOutlineSymbols="1" defaultGridColor="1" view="normal" topLeftCell="A4" colorId="64" zoomScale="230" zoomScaleNormal="230" zoomScalePageLayoutView="100" workbookViewId="0">
      <selection pane="topLeft" activeCell="B10" activeCellId="0" sqref="B10"/>
    </sheetView>
  </sheetViews>
  <sheetFormatPr baseColWidth="8" defaultColWidth="8.83203125" defaultRowHeight="15" zeroHeight="0" outlineLevelRow="0"/>
  <cols>
    <col width="28" customWidth="1" style="48" min="1" max="1"/>
    <col width="95" customWidth="1" style="48" min="2" max="2"/>
  </cols>
  <sheetData>
    <row r="1" ht="15" customHeight="1" s="49">
      <c r="A1" s="50" t="inlineStr">
        <is>
          <t>Условия работы</t>
        </is>
      </c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3" ht="55.5" customHeight="1" s="49">
      <c r="A3" s="71" t="inlineStr">
        <is>
          <t>1. Как оформить заказ</t>
        </is>
      </c>
      <c r="B3" s="89" t="inlineStr">
        <is>
          <t>Укажите количество на листе «Прайс-лист». Выбранные позиции автоматически попадут в «Бланк заказа». После этого отправьте файл менеджеру.</t>
        </is>
      </c>
    </row>
    <row r="4" ht="55.5" customHeight="1" s="49">
      <c r="A4" s="71" t="inlineStr">
        <is>
          <t>2. Минимальный заказ</t>
        </is>
      </c>
      <c r="B4" s="89" t="inlineStr">
        <is>
          <t>Минимальная сумма заказа — 15 000 ₽ без НДС. Ценовой уровень рассчитывается от суммы заказа без НДС.</t>
        </is>
      </c>
    </row>
    <row r="5" ht="55.5" customHeight="1" s="49">
      <c r="A5" s="71" t="inlineStr">
        <is>
          <t>3. Цены и НДС</t>
        </is>
      </c>
      <c r="B5" s="89" t="inlineStr">
        <is>
          <t>Цены в прайсе указаны без НДС. В бланке заказа НДС рассчитывается отдельной строкой. Итоговая сумма отображается с НДС.</t>
        </is>
      </c>
    </row>
    <row r="6" ht="55.5" customHeight="1" s="49">
      <c r="A6" s="71" t="inlineStr">
        <is>
          <t>4. Подтверждение заказа</t>
        </is>
      </c>
      <c r="B6" s="89" t="inlineStr">
        <is>
          <t>Цены, наличие, бонусы и специальные условия подтверждаются менеджером. Прайс-лист не является публичной офертой.</t>
        </is>
      </c>
    </row>
    <row r="7" ht="55.5" customHeight="1" s="49">
      <c r="A7" s="71" t="inlineStr">
        <is>
          <t>5. Оплата</t>
        </is>
      </c>
      <c r="B7" s="89" t="inlineStr">
        <is>
          <t>Для новых клиентов первая отгрузка осуществляется по 100% предоплате. Индивидуальные условия возможны после согласования и при отсутствии задолженности.</t>
        </is>
      </c>
    </row>
    <row r="8" ht="55.5" customHeight="1" s="49">
      <c r="A8" s="71" t="inlineStr">
        <is>
          <t>6. Отсрочка платежа</t>
        </is>
      </c>
      <c r="B8" s="89" t="inlineStr">
        <is>
          <t>Отсрочка может быть согласована индивидуально для регулярных клиентов с положительной историей оплат. При отсрочке бонусы могут быть ограничены.</t>
        </is>
      </c>
    </row>
    <row r="9" ht="55.5" customHeight="1" s="49">
      <c r="A9" s="71" t="inlineStr">
        <is>
          <t>7. Доставка</t>
        </is>
      </c>
      <c r="B9" s="89" t="inlineStr">
        <is>
          <t>Условия доставки согласуются с менеджером после подтверждения заказа. Возможны самовывоз, транспортная компания или иной согласованный способ.</t>
        </is>
      </c>
    </row>
    <row r="10" ht="55.5" customHeight="1" s="49">
      <c r="A10" s="71" t="inlineStr">
        <is>
          <t>8. Партнерские преимущества</t>
        </is>
      </c>
      <c r="B10" s="89" t="inlineStr">
        <is>
          <t>Бонусы, ретробонусы, образцы и специальные условия применяются после подтверждения менеджером и доступны только клиентам без просроченной задолженности.</t>
        </is>
      </c>
    </row>
  </sheetData>
  <mergeCells count="1">
    <mergeCell ref="A1:D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"/>
  <sheetViews>
    <sheetView showFormulas="0" showGridLines="1" showRowColHeaders="1" showZeros="1" rightToLeft="0" tabSelected="1" showOutlineSymbols="1" defaultGridColor="1" view="normal" topLeftCell="A1" colorId="64" zoomScale="335" zoomScaleNormal="335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15.66" customWidth="1" style="48" min="1" max="1"/>
    <col width="47.5" customWidth="1" style="48" min="2" max="2"/>
    <col width="33.52" customWidth="1" style="48" min="3" max="3"/>
  </cols>
  <sheetData>
    <row r="1" ht="15" customHeight="1" s="49">
      <c r="A1" s="90" t="inlineStr">
        <is>
          <t>Ставка НДС</t>
        </is>
      </c>
      <c r="B1" s="91" t="n">
        <v>0.22</v>
      </c>
      <c r="C1" s="90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3" ht="13.5" customHeight="1" s="49">
      <c r="A3" s="92" t="inlineStr">
        <is>
          <t>Уровень</t>
        </is>
      </c>
      <c r="B3" s="92" t="inlineStr">
        <is>
          <t>Порог без НДС</t>
        </is>
      </c>
      <c r="C3" s="92" t="inlineStr">
        <is>
          <t>Комментарий</t>
        </is>
      </c>
    </row>
    <row r="4" ht="13.5" customHeight="1" s="49">
      <c r="A4" s="48" t="inlineStr">
        <is>
          <t>Базовый</t>
        </is>
      </c>
      <c r="B4" s="93" t="n">
        <v>15000</v>
      </c>
      <c r="C4" s="48" t="inlineStr">
        <is>
          <t>Минимальный заказ / базовый уровень</t>
        </is>
      </c>
    </row>
    <row r="5" ht="13.5" customHeight="1" s="49">
      <c r="A5" s="48" t="inlineStr">
        <is>
          <t>Опт</t>
        </is>
      </c>
      <c r="B5" s="93" t="n">
        <v>50000</v>
      </c>
      <c r="C5" s="48" t="inlineStr">
        <is>
          <t>Стандартный оптовый уровень</t>
        </is>
      </c>
    </row>
    <row r="6" ht="13.5" customHeight="1" s="49">
      <c r="A6" s="48" t="inlineStr">
        <is>
          <t>Опт+</t>
        </is>
      </c>
      <c r="B6" s="93" t="n">
        <v>150000</v>
      </c>
      <c r="C6" s="48" t="inlineStr">
        <is>
          <t>Усиленные условия</t>
        </is>
      </c>
    </row>
    <row r="7" ht="13.5" customHeight="1" s="49">
      <c r="A7" s="48" t="inlineStr">
        <is>
          <t>Партнер</t>
        </is>
      </c>
      <c r="B7" s="93" t="n">
        <v>300000</v>
      </c>
      <c r="C7" s="48" t="inlineStr">
        <is>
          <t>Частично индивидуальные условия</t>
        </is>
      </c>
    </row>
    <row r="8" ht="13.5" customHeight="1" s="49">
      <c r="A8" s="48" t="inlineStr">
        <is>
          <t>Ключевой партнер</t>
        </is>
      </c>
      <c r="B8" s="93" t="n">
        <v>500000</v>
      </c>
      <c r="C8" s="48" t="inlineStr">
        <is>
          <t>Индивидуальные условия</t>
        </is>
      </c>
    </row>
    <row r="10" ht="13.5" customHeight="1" s="49">
      <c r="A10" s="48" t="inlineStr">
        <is>
          <t>Кол-во SKU</t>
        </is>
      </c>
      <c r="B10" s="48" t="inlineStr">
        <is>
          <t>Подсказка</t>
        </is>
      </c>
    </row>
    <row r="11" ht="13.5" customHeight="1" s="49">
      <c r="A11" s="48" t="inlineStr">
        <is>
          <t>10+</t>
        </is>
      </c>
      <c r="B11" s="48" t="inlineStr">
        <is>
          <t>Возможны образцы новинок</t>
        </is>
      </c>
    </row>
    <row r="12" ht="13.5" customHeight="1" s="49">
      <c r="A12" s="48" t="inlineStr">
        <is>
          <t>20+</t>
        </is>
      </c>
      <c r="B12" s="48" t="inlineStr">
        <is>
          <t>Возможен бонус за ширину ассортимента</t>
        </is>
      </c>
    </row>
    <row r="13" ht="13.5" customHeight="1" s="49">
      <c r="A13" s="48" t="inlineStr">
        <is>
          <t>30+</t>
        </is>
      </c>
      <c r="B13" s="48" t="inlineStr">
        <is>
          <t>Возможен расширенный бонус за ширину ассортимента</t>
        </is>
      </c>
    </row>
    <row r="15">
      <c r="A15" s="48" t="inlineStr">
        <is>
          <t>Сумма заказа по Базовым ценам</t>
        </is>
      </c>
      <c r="B15" s="48">
        <f>SUMPRODUCT('Прайс-лист'!$P$11:$P$310,'Прайс-лист'!$I$11:$I$310)</f>
        <v/>
      </c>
      <c r="C15" s="48" t="inlineStr">
        <is>
          <t>Используется для авто-определения уровня клиента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2026-05-11T07:33:06Z</dcterms:created>
  <dcterms:modified xmlns:dcterms="http://purl.org/dc/terms/" xmlns:xsi="http://www.w3.org/2001/XMLSchema-instance" xsi:type="dcterms:W3CDTF">2026-05-19T11:39:53Z</dcterms:modified>
  <cp:lastModifiedBy>Андрей Мануйлов</cp:lastModifiedBy>
  <cp:revision>0</cp:revision>
</cp:coreProperties>
</file>